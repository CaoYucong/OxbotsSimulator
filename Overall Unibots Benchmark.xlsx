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yucong/Desktop/"/>
    </mc:Choice>
  </mc:AlternateContent>
  <xr:revisionPtr revIDLastSave="0" documentId="13_ncr:1_{0149E109-38D5-344E-8875-37721F10A1D5}" xr6:coauthVersionLast="47" xr6:coauthVersionMax="47" xr10:uidLastSave="{00000000-0000-0000-0000-000000000000}"/>
  <bookViews>
    <workbookView xWindow="0" yWindow="600" windowWidth="38400" windowHeight="19500" xr2:uid="{ADE10BCA-7541-5544-8BF5-72B3F50F8422}"/>
  </bookViews>
  <sheets>
    <sheet name="Raw Data" sheetId="1" r:id="rId1"/>
  </sheets>
  <definedNames>
    <definedName name="_xlnm._FilterDatabase" localSheetId="0" hidden="1">'Raw Data'!$B$1:$E$837</definedName>
    <definedName name="_xlchart.v1.0" hidden="1">'Raw Data'!$C$2:$C$962</definedName>
    <definedName name="_xlchart.v1.1" hidden="1">'Raw Data'!$R$1</definedName>
    <definedName name="_xlchart.v1.10" hidden="1">'Raw Data'!$H$1</definedName>
    <definedName name="_xlchart.v1.11" hidden="1">'Raw Data'!$H$2:$H$2804</definedName>
    <definedName name="_xlchart.v1.2" hidden="1">'Raw Data'!$R$2:$R$962</definedName>
    <definedName name="_xlchart.v1.3" hidden="1">'Raw Data'!$B$2:$B$1939</definedName>
    <definedName name="_xlchart.v1.4" hidden="1">'Raw Data'!$S$1</definedName>
    <definedName name="_xlchart.v1.5" hidden="1">'Raw Data'!$S$2:$S$1939</definedName>
    <definedName name="_xlchart.v1.6" hidden="1">'Raw Data'!$C$2:$C$2490</definedName>
    <definedName name="_xlchart.v1.7" hidden="1">'Raw Data'!$S$1</definedName>
    <definedName name="_xlchart.v1.8" hidden="1">'Raw Data'!$S$2:$S$2490</definedName>
    <definedName name="_xlchart.v1.9" hidden="1">'Raw Data'!$B$2:$B$2804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20" i="1" l="1"/>
  <c r="R820" i="1"/>
  <c r="S820" i="1"/>
  <c r="Q821" i="1"/>
  <c r="R821" i="1"/>
  <c r="S821" i="1"/>
  <c r="Q822" i="1"/>
  <c r="R822" i="1"/>
  <c r="S822" i="1"/>
  <c r="Q823" i="1"/>
  <c r="R823" i="1"/>
  <c r="S823" i="1"/>
  <c r="Q824" i="1"/>
  <c r="R824" i="1"/>
  <c r="S824" i="1"/>
  <c r="Q825" i="1"/>
  <c r="R825" i="1"/>
  <c r="S825" i="1"/>
  <c r="Q826" i="1"/>
  <c r="R826" i="1"/>
  <c r="S826" i="1"/>
  <c r="Q827" i="1"/>
  <c r="R827" i="1"/>
  <c r="S827" i="1"/>
  <c r="Q828" i="1"/>
  <c r="R828" i="1"/>
  <c r="S828" i="1"/>
  <c r="Q829" i="1"/>
  <c r="R829" i="1"/>
  <c r="S829" i="1"/>
  <c r="Q830" i="1"/>
  <c r="R830" i="1"/>
  <c r="S830" i="1"/>
  <c r="Q831" i="1"/>
  <c r="R831" i="1"/>
  <c r="S831" i="1"/>
  <c r="Q832" i="1"/>
  <c r="R832" i="1"/>
  <c r="S832" i="1"/>
  <c r="Q833" i="1"/>
  <c r="R833" i="1"/>
  <c r="S833" i="1"/>
  <c r="Q834" i="1"/>
  <c r="R834" i="1"/>
  <c r="S834" i="1"/>
  <c r="Q835" i="1"/>
  <c r="R835" i="1"/>
  <c r="S835" i="1"/>
  <c r="Q836" i="1"/>
  <c r="R836" i="1"/>
  <c r="S836" i="1"/>
  <c r="Q837" i="1"/>
  <c r="R837" i="1"/>
  <c r="S837" i="1"/>
  <c r="Q615" i="1"/>
  <c r="R615" i="1"/>
  <c r="S615" i="1"/>
  <c r="Q628" i="1"/>
  <c r="R628" i="1"/>
  <c r="S628" i="1"/>
  <c r="Q629" i="1"/>
  <c r="R629" i="1"/>
  <c r="S629" i="1"/>
  <c r="Q686" i="1"/>
  <c r="R686" i="1"/>
  <c r="S686" i="1"/>
  <c r="Q695" i="1"/>
  <c r="R695" i="1"/>
  <c r="S695" i="1"/>
  <c r="Q696" i="1"/>
  <c r="R696" i="1"/>
  <c r="S696" i="1"/>
  <c r="Q707" i="1"/>
  <c r="R707" i="1"/>
  <c r="S707" i="1"/>
  <c r="Q708" i="1"/>
  <c r="R708" i="1"/>
  <c r="S708" i="1"/>
  <c r="Q709" i="1"/>
  <c r="R709" i="1"/>
  <c r="S709" i="1"/>
  <c r="Q134" i="1"/>
  <c r="R134" i="1"/>
  <c r="S134" i="1"/>
  <c r="Q117" i="1"/>
  <c r="R117" i="1"/>
  <c r="S117" i="1"/>
  <c r="Q206" i="1"/>
  <c r="R206" i="1"/>
  <c r="S206" i="1"/>
  <c r="Q213" i="1"/>
  <c r="R213" i="1"/>
  <c r="S213" i="1"/>
  <c r="Q215" i="1"/>
  <c r="R215" i="1"/>
  <c r="S215" i="1"/>
  <c r="Q217" i="1"/>
  <c r="R217" i="1"/>
  <c r="S217" i="1"/>
  <c r="Q218" i="1"/>
  <c r="R218" i="1"/>
  <c r="S218" i="1"/>
  <c r="Q240" i="1"/>
  <c r="R240" i="1"/>
  <c r="S240" i="1"/>
  <c r="Q243" i="1"/>
  <c r="R243" i="1"/>
  <c r="S243" i="1"/>
  <c r="Q225" i="1"/>
  <c r="R225" i="1"/>
  <c r="S225" i="1"/>
  <c r="Q227" i="1"/>
  <c r="R227" i="1"/>
  <c r="S227" i="1"/>
  <c r="Q252" i="1"/>
  <c r="R252" i="1"/>
  <c r="S252" i="1"/>
  <c r="Q255" i="1"/>
  <c r="R255" i="1"/>
  <c r="S255" i="1"/>
  <c r="Q317" i="1"/>
  <c r="R317" i="1"/>
  <c r="S317" i="1"/>
  <c r="Q318" i="1"/>
  <c r="R318" i="1"/>
  <c r="S318" i="1"/>
  <c r="Q324" i="1"/>
  <c r="R324" i="1"/>
  <c r="S324" i="1"/>
  <c r="Q344" i="1"/>
  <c r="R344" i="1"/>
  <c r="S344" i="1"/>
  <c r="Q377" i="1"/>
  <c r="R377" i="1"/>
  <c r="S377" i="1"/>
  <c r="Q378" i="1"/>
  <c r="R378" i="1"/>
  <c r="S378" i="1"/>
  <c r="Q384" i="1"/>
  <c r="R384" i="1"/>
  <c r="S384" i="1"/>
  <c r="Q435" i="1"/>
  <c r="R435" i="1"/>
  <c r="S435" i="1"/>
  <c r="Q436" i="1"/>
  <c r="R436" i="1"/>
  <c r="S436" i="1"/>
  <c r="Q427" i="1"/>
  <c r="R427" i="1"/>
  <c r="S427" i="1"/>
  <c r="Q578" i="1"/>
  <c r="R578" i="1"/>
  <c r="S578" i="1"/>
  <c r="Q589" i="1"/>
  <c r="R589" i="1"/>
  <c r="S589" i="1"/>
  <c r="Q616" i="1"/>
  <c r="R616" i="1"/>
  <c r="S616" i="1"/>
  <c r="Q697" i="1"/>
  <c r="R697" i="1"/>
  <c r="S697" i="1"/>
  <c r="Q714" i="1"/>
  <c r="R714" i="1"/>
  <c r="S714" i="1"/>
  <c r="Q797" i="1"/>
  <c r="R797" i="1"/>
  <c r="S797" i="1"/>
  <c r="Q819" i="1"/>
  <c r="R819" i="1"/>
  <c r="S819" i="1"/>
  <c r="Q130" i="1"/>
  <c r="R130" i="1"/>
  <c r="S130" i="1"/>
  <c r="Q114" i="1"/>
  <c r="R114" i="1"/>
  <c r="S114" i="1"/>
  <c r="Q135" i="1"/>
  <c r="R135" i="1"/>
  <c r="S135" i="1"/>
  <c r="Q160" i="1"/>
  <c r="R160" i="1"/>
  <c r="S160" i="1"/>
  <c r="Q153" i="1"/>
  <c r="R153" i="1"/>
  <c r="S153" i="1"/>
  <c r="Q145" i="1"/>
  <c r="R145" i="1"/>
  <c r="S145" i="1"/>
  <c r="Q185" i="1"/>
  <c r="R185" i="1"/>
  <c r="S185" i="1"/>
  <c r="Q212" i="1"/>
  <c r="R212" i="1"/>
  <c r="S212" i="1"/>
  <c r="Q238" i="1"/>
  <c r="R238" i="1"/>
  <c r="S238" i="1"/>
  <c r="Q239" i="1"/>
  <c r="R239" i="1"/>
  <c r="S239" i="1"/>
  <c r="Q224" i="1"/>
  <c r="R224" i="1"/>
  <c r="S224" i="1"/>
  <c r="Q246" i="1"/>
  <c r="R246" i="1"/>
  <c r="S246" i="1"/>
  <c r="Q251" i="1"/>
  <c r="R251" i="1"/>
  <c r="S251" i="1"/>
  <c r="Q272" i="1"/>
  <c r="R272" i="1"/>
  <c r="S272" i="1"/>
  <c r="Q254" i="1"/>
  <c r="R254" i="1"/>
  <c r="S254" i="1"/>
  <c r="Q332" i="1"/>
  <c r="R332" i="1"/>
  <c r="S332" i="1"/>
  <c r="Q333" i="1"/>
  <c r="R333" i="1"/>
  <c r="S333" i="1"/>
  <c r="Q334" i="1"/>
  <c r="R334" i="1"/>
  <c r="S334" i="1"/>
  <c r="Q354" i="1"/>
  <c r="R354" i="1"/>
  <c r="S354" i="1"/>
  <c r="Q345" i="1"/>
  <c r="R345" i="1"/>
  <c r="S345" i="1"/>
  <c r="Q337" i="1"/>
  <c r="R337" i="1"/>
  <c r="S337" i="1"/>
  <c r="Q376" i="1"/>
  <c r="R376" i="1"/>
  <c r="S376" i="1"/>
  <c r="Q368" i="1"/>
  <c r="R368" i="1"/>
  <c r="S368" i="1"/>
  <c r="Q360" i="1"/>
  <c r="R360" i="1"/>
  <c r="S360" i="1"/>
  <c r="Q369" i="1"/>
  <c r="R369" i="1"/>
  <c r="S369" i="1"/>
  <c r="Q370" i="1"/>
  <c r="R370" i="1"/>
  <c r="S370" i="1"/>
  <c r="Q413" i="1"/>
  <c r="R413" i="1"/>
  <c r="S413" i="1"/>
  <c r="Q414" i="1"/>
  <c r="R414" i="1"/>
  <c r="S414" i="1"/>
  <c r="Q433" i="1"/>
  <c r="R433" i="1"/>
  <c r="S433" i="1"/>
  <c r="Q415" i="1"/>
  <c r="R415" i="1"/>
  <c r="S415" i="1"/>
  <c r="Q417" i="1"/>
  <c r="R417" i="1"/>
  <c r="S417" i="1"/>
  <c r="Q438" i="1"/>
  <c r="R438" i="1"/>
  <c r="S438" i="1"/>
  <c r="Q459" i="1"/>
  <c r="R459" i="1"/>
  <c r="S459" i="1"/>
  <c r="Q520" i="1"/>
  <c r="R520" i="1"/>
  <c r="S520" i="1"/>
  <c r="Q543" i="1"/>
  <c r="R543" i="1"/>
  <c r="S543" i="1"/>
  <c r="Q546" i="1"/>
  <c r="R546" i="1"/>
  <c r="S546" i="1"/>
  <c r="Q548" i="1"/>
  <c r="R548" i="1"/>
  <c r="S548" i="1"/>
  <c r="Q549" i="1"/>
  <c r="R549" i="1"/>
  <c r="S549" i="1"/>
  <c r="Q550" i="1"/>
  <c r="R550" i="1"/>
  <c r="S550" i="1"/>
  <c r="Q551" i="1"/>
  <c r="R551" i="1"/>
  <c r="S551" i="1"/>
  <c r="Q553" i="1"/>
  <c r="R553" i="1"/>
  <c r="S553" i="1"/>
  <c r="Q556" i="1"/>
  <c r="R556" i="1"/>
  <c r="S556" i="1"/>
  <c r="Q592" i="1"/>
  <c r="R592" i="1"/>
  <c r="S592" i="1"/>
  <c r="Q598" i="1"/>
  <c r="R598" i="1"/>
  <c r="S598" i="1"/>
  <c r="Q600" i="1"/>
  <c r="R600" i="1"/>
  <c r="S600" i="1"/>
  <c r="Q601" i="1"/>
  <c r="R601" i="1"/>
  <c r="S601" i="1"/>
  <c r="Q603" i="1"/>
  <c r="R603" i="1"/>
  <c r="S603" i="1"/>
  <c r="Q620" i="1"/>
  <c r="R620" i="1"/>
  <c r="S620" i="1"/>
  <c r="Q621" i="1"/>
  <c r="R621" i="1"/>
  <c r="S621" i="1"/>
  <c r="Q636" i="1"/>
  <c r="R636" i="1"/>
  <c r="S636" i="1"/>
  <c r="Q637" i="1"/>
  <c r="R637" i="1"/>
  <c r="S637" i="1"/>
  <c r="Q660" i="1"/>
  <c r="R660" i="1"/>
  <c r="S660" i="1"/>
  <c r="Q663" i="1"/>
  <c r="R663" i="1"/>
  <c r="S663" i="1"/>
  <c r="Q703" i="1"/>
  <c r="R703" i="1"/>
  <c r="S703" i="1"/>
  <c r="Q698" i="1"/>
  <c r="R698" i="1"/>
  <c r="S698" i="1"/>
  <c r="Q715" i="1"/>
  <c r="R715" i="1"/>
  <c r="S715" i="1"/>
  <c r="Q716" i="1"/>
  <c r="R716" i="1"/>
  <c r="S716" i="1"/>
  <c r="Q794" i="1"/>
  <c r="R794" i="1"/>
  <c r="S794" i="1"/>
  <c r="Q6" i="1"/>
  <c r="R6" i="1"/>
  <c r="S6" i="1"/>
  <c r="Q35" i="1"/>
  <c r="R35" i="1"/>
  <c r="S35" i="1"/>
  <c r="Q38" i="1"/>
  <c r="R38" i="1"/>
  <c r="S38" i="1"/>
  <c r="Q42" i="1"/>
  <c r="R42" i="1"/>
  <c r="S42" i="1"/>
  <c r="Q50" i="1"/>
  <c r="R50" i="1"/>
  <c r="S50" i="1"/>
  <c r="Q62" i="1"/>
  <c r="R62" i="1"/>
  <c r="S62" i="1"/>
  <c r="Q82" i="1"/>
  <c r="R82" i="1"/>
  <c r="S82" i="1"/>
  <c r="Q133" i="1"/>
  <c r="R133" i="1"/>
  <c r="S133" i="1"/>
  <c r="Q120" i="1"/>
  <c r="R120" i="1"/>
  <c r="S120" i="1"/>
  <c r="Q158" i="1"/>
  <c r="R158" i="1"/>
  <c r="S158" i="1"/>
  <c r="Q150" i="1"/>
  <c r="R150" i="1"/>
  <c r="S150" i="1"/>
  <c r="Q162" i="1"/>
  <c r="R162" i="1"/>
  <c r="S162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211" i="1"/>
  <c r="R211" i="1"/>
  <c r="S211" i="1"/>
  <c r="Q197" i="1"/>
  <c r="R197" i="1"/>
  <c r="S197" i="1"/>
  <c r="Q200" i="1"/>
  <c r="R200" i="1"/>
  <c r="S200" i="1"/>
  <c r="Q201" i="1"/>
  <c r="R201" i="1"/>
  <c r="S201" i="1"/>
  <c r="Q220" i="1"/>
  <c r="R220" i="1"/>
  <c r="S220" i="1"/>
  <c r="Q222" i="1"/>
  <c r="R222" i="1"/>
  <c r="S222" i="1"/>
  <c r="Q223" i="1"/>
  <c r="R223" i="1"/>
  <c r="S223" i="1"/>
  <c r="Q248" i="1"/>
  <c r="R248" i="1"/>
  <c r="S248" i="1"/>
  <c r="Q267" i="1"/>
  <c r="R267" i="1"/>
  <c r="S267" i="1"/>
  <c r="Q249" i="1"/>
  <c r="R249" i="1"/>
  <c r="S249" i="1"/>
  <c r="Q250" i="1"/>
  <c r="R250" i="1"/>
  <c r="S250" i="1"/>
  <c r="Q271" i="1"/>
  <c r="R271" i="1"/>
  <c r="S271" i="1"/>
  <c r="Q319" i="1"/>
  <c r="R319" i="1"/>
  <c r="S319" i="1"/>
  <c r="Q321" i="1"/>
  <c r="R321" i="1"/>
  <c r="S321" i="1"/>
  <c r="Q341" i="1"/>
  <c r="R341" i="1"/>
  <c r="S341" i="1"/>
  <c r="Q342" i="1"/>
  <c r="R342" i="1"/>
  <c r="S342" i="1"/>
  <c r="Q353" i="1"/>
  <c r="R353" i="1"/>
  <c r="S353" i="1"/>
  <c r="Q382" i="1"/>
  <c r="R382" i="1"/>
  <c r="S382" i="1"/>
  <c r="Q386" i="1"/>
  <c r="R386" i="1"/>
  <c r="S386" i="1"/>
  <c r="Q432" i="1"/>
  <c r="R432" i="1"/>
  <c r="S432" i="1"/>
  <c r="Q416" i="1"/>
  <c r="R416" i="1"/>
  <c r="S416" i="1"/>
  <c r="Q465" i="1"/>
  <c r="R465" i="1"/>
  <c r="S465" i="1"/>
  <c r="Q485" i="1"/>
  <c r="R485" i="1"/>
  <c r="S485" i="1"/>
  <c r="Q486" i="1"/>
  <c r="R486" i="1"/>
  <c r="S486" i="1"/>
  <c r="Q478" i="1"/>
  <c r="R478" i="1"/>
  <c r="S478" i="1"/>
  <c r="Q488" i="1"/>
  <c r="R488" i="1"/>
  <c r="S488" i="1"/>
  <c r="Q495" i="1"/>
  <c r="R495" i="1"/>
  <c r="S495" i="1"/>
  <c r="Q498" i="1"/>
  <c r="R498" i="1"/>
  <c r="S498" i="1"/>
  <c r="Q540" i="1"/>
  <c r="R540" i="1"/>
  <c r="S540" i="1"/>
  <c r="Q522" i="1"/>
  <c r="R522" i="1"/>
  <c r="S522" i="1"/>
  <c r="Q541" i="1"/>
  <c r="R541" i="1"/>
  <c r="S541" i="1"/>
  <c r="Q524" i="1"/>
  <c r="R524" i="1"/>
  <c r="S524" i="1"/>
  <c r="Q526" i="1"/>
  <c r="R526" i="1"/>
  <c r="S526" i="1"/>
  <c r="Q537" i="1"/>
  <c r="R537" i="1"/>
  <c r="S537" i="1"/>
  <c r="Q552" i="1"/>
  <c r="R552" i="1"/>
  <c r="S552" i="1"/>
  <c r="Q554" i="1"/>
  <c r="R554" i="1"/>
  <c r="S554" i="1"/>
  <c r="Q579" i="1"/>
  <c r="R579" i="1"/>
  <c r="S579" i="1"/>
  <c r="Q580" i="1"/>
  <c r="R580" i="1"/>
  <c r="S580" i="1"/>
  <c r="Q585" i="1"/>
  <c r="R585" i="1"/>
  <c r="S585" i="1"/>
  <c r="Q619" i="1"/>
  <c r="R619" i="1"/>
  <c r="S619" i="1"/>
  <c r="Q650" i="1"/>
  <c r="R650" i="1"/>
  <c r="S650" i="1"/>
  <c r="Q651" i="1"/>
  <c r="R651" i="1"/>
  <c r="S651" i="1"/>
  <c r="Q653" i="1"/>
  <c r="R653" i="1"/>
  <c r="S653" i="1"/>
  <c r="Q656" i="1"/>
  <c r="R656" i="1"/>
  <c r="S656" i="1"/>
  <c r="Q704" i="1"/>
  <c r="R704" i="1"/>
  <c r="S704" i="1"/>
  <c r="Q705" i="1"/>
  <c r="R705" i="1"/>
  <c r="S705" i="1"/>
  <c r="Q687" i="1"/>
  <c r="R687" i="1"/>
  <c r="S687" i="1"/>
  <c r="Q706" i="1"/>
  <c r="R706" i="1"/>
  <c r="S706" i="1"/>
  <c r="Q688" i="1"/>
  <c r="R688" i="1"/>
  <c r="S688" i="1"/>
  <c r="Q700" i="1"/>
  <c r="R700" i="1"/>
  <c r="S700" i="1"/>
  <c r="Q692" i="1"/>
  <c r="R692" i="1"/>
  <c r="S692" i="1"/>
  <c r="Q701" i="1"/>
  <c r="R701" i="1"/>
  <c r="S701" i="1"/>
  <c r="Q702" i="1"/>
  <c r="R702" i="1"/>
  <c r="S702" i="1"/>
  <c r="Q713" i="1"/>
  <c r="R713" i="1"/>
  <c r="S713" i="1"/>
  <c r="Q718" i="1"/>
  <c r="R718" i="1"/>
  <c r="S718" i="1"/>
  <c r="Q750" i="1"/>
  <c r="R750" i="1"/>
  <c r="S750" i="1"/>
  <c r="Q812" i="1"/>
  <c r="R812" i="1"/>
  <c r="S812" i="1"/>
  <c r="Q813" i="1"/>
  <c r="R813" i="1"/>
  <c r="S813" i="1"/>
  <c r="Q795" i="1"/>
  <c r="R795" i="1"/>
  <c r="S795" i="1"/>
  <c r="Q814" i="1"/>
  <c r="R814" i="1"/>
  <c r="S814" i="1"/>
  <c r="Q796" i="1"/>
  <c r="R796" i="1"/>
  <c r="S796" i="1"/>
  <c r="Q816" i="1"/>
  <c r="R816" i="1"/>
  <c r="S816" i="1"/>
  <c r="Q798" i="1"/>
  <c r="R798" i="1"/>
  <c r="S798" i="1"/>
  <c r="Q9" i="1"/>
  <c r="R9" i="1"/>
  <c r="S9" i="1"/>
  <c r="Q11" i="1"/>
  <c r="R11" i="1"/>
  <c r="S11" i="1"/>
  <c r="Q23" i="1"/>
  <c r="R23" i="1"/>
  <c r="S23" i="1"/>
  <c r="Q25" i="1"/>
  <c r="R25" i="1"/>
  <c r="S25" i="1"/>
  <c r="Q27" i="1"/>
  <c r="R27" i="1"/>
  <c r="S27" i="1"/>
  <c r="Q40" i="1"/>
  <c r="R40" i="1"/>
  <c r="S40" i="1"/>
  <c r="Q41" i="1"/>
  <c r="R41" i="1"/>
  <c r="S41" i="1"/>
  <c r="Q44" i="1"/>
  <c r="R44" i="1"/>
  <c r="S44" i="1"/>
  <c r="Q54" i="1"/>
  <c r="R54" i="1"/>
  <c r="S54" i="1"/>
  <c r="Q59" i="1"/>
  <c r="R59" i="1"/>
  <c r="S59" i="1"/>
  <c r="Q60" i="1"/>
  <c r="R60" i="1"/>
  <c r="S60" i="1"/>
  <c r="Q68" i="1"/>
  <c r="R68" i="1"/>
  <c r="S68" i="1"/>
  <c r="Q65" i="1"/>
  <c r="R65" i="1"/>
  <c r="S65" i="1"/>
  <c r="Q87" i="1"/>
  <c r="R87" i="1"/>
  <c r="S87" i="1"/>
  <c r="Q132" i="1"/>
  <c r="R132" i="1"/>
  <c r="S132" i="1"/>
  <c r="Q157" i="1"/>
  <c r="R157" i="1"/>
  <c r="S157" i="1"/>
  <c r="Q139" i="1"/>
  <c r="R139" i="1"/>
  <c r="S139" i="1"/>
  <c r="Q140" i="1"/>
  <c r="R140" i="1"/>
  <c r="S140" i="1"/>
  <c r="Q149" i="1"/>
  <c r="R149" i="1"/>
  <c r="S149" i="1"/>
  <c r="Q161" i="1"/>
  <c r="R161" i="1"/>
  <c r="S161" i="1"/>
  <c r="Q144" i="1"/>
  <c r="R144" i="1"/>
  <c r="S144" i="1"/>
  <c r="Q163" i="1"/>
  <c r="R163" i="1"/>
  <c r="S163" i="1"/>
  <c r="Q154" i="1"/>
  <c r="R154" i="1"/>
  <c r="S154" i="1"/>
  <c r="Q164" i="1"/>
  <c r="R164" i="1"/>
  <c r="S164" i="1"/>
  <c r="Q167" i="1"/>
  <c r="R167" i="1"/>
  <c r="S167" i="1"/>
  <c r="Q186" i="1"/>
  <c r="R186" i="1"/>
  <c r="S186" i="1"/>
  <c r="Q168" i="1"/>
  <c r="R168" i="1"/>
  <c r="S168" i="1"/>
  <c r="Q194" i="1"/>
  <c r="R194" i="1"/>
  <c r="S194" i="1"/>
  <c r="Q195" i="1"/>
  <c r="R195" i="1"/>
  <c r="S195" i="1"/>
  <c r="Q196" i="1"/>
  <c r="R196" i="1"/>
  <c r="S196" i="1"/>
  <c r="Q205" i="1"/>
  <c r="R205" i="1"/>
  <c r="S205" i="1"/>
  <c r="Q198" i="1"/>
  <c r="R198" i="1"/>
  <c r="S198" i="1"/>
  <c r="Q199" i="1"/>
  <c r="R199" i="1"/>
  <c r="S199" i="1"/>
  <c r="Q219" i="1"/>
  <c r="R219" i="1"/>
  <c r="S219" i="1"/>
  <c r="Q229" i="1"/>
  <c r="R229" i="1"/>
  <c r="S229" i="1"/>
  <c r="Q244" i="1"/>
  <c r="R244" i="1"/>
  <c r="S244" i="1"/>
  <c r="Q226" i="1"/>
  <c r="R226" i="1"/>
  <c r="S226" i="1"/>
  <c r="Q245" i="1"/>
  <c r="R245" i="1"/>
  <c r="S245" i="1"/>
  <c r="Q236" i="1"/>
  <c r="R236" i="1"/>
  <c r="S236" i="1"/>
  <c r="Q265" i="1"/>
  <c r="R265" i="1"/>
  <c r="S265" i="1"/>
  <c r="Q269" i="1"/>
  <c r="R269" i="1"/>
  <c r="S269" i="1"/>
  <c r="Q253" i="1"/>
  <c r="R253" i="1"/>
  <c r="S253" i="1"/>
  <c r="Q278" i="1"/>
  <c r="R278" i="1"/>
  <c r="S278" i="1"/>
  <c r="Q295" i="1"/>
  <c r="R295" i="1"/>
  <c r="S295" i="1"/>
  <c r="Q299" i="1"/>
  <c r="R299" i="1"/>
  <c r="S299" i="1"/>
  <c r="Q313" i="1"/>
  <c r="R313" i="1"/>
  <c r="S313" i="1"/>
  <c r="Q320" i="1"/>
  <c r="R320" i="1"/>
  <c r="S320" i="1"/>
  <c r="Q326" i="1"/>
  <c r="R326" i="1"/>
  <c r="S326" i="1"/>
  <c r="Q330" i="1"/>
  <c r="R330" i="1"/>
  <c r="S330" i="1"/>
  <c r="Q335" i="1"/>
  <c r="R335" i="1"/>
  <c r="S335" i="1"/>
  <c r="Q355" i="1"/>
  <c r="R355" i="1"/>
  <c r="S355" i="1"/>
  <c r="Q338" i="1"/>
  <c r="R338" i="1"/>
  <c r="S338" i="1"/>
  <c r="Q357" i="1"/>
  <c r="R357" i="1"/>
  <c r="S357" i="1"/>
  <c r="Q364" i="1"/>
  <c r="R364" i="1"/>
  <c r="S364" i="1"/>
  <c r="Q373" i="1"/>
  <c r="R373" i="1"/>
  <c r="S373" i="1"/>
  <c r="Q375" i="1"/>
  <c r="R375" i="1"/>
  <c r="S375" i="1"/>
  <c r="Q422" i="1"/>
  <c r="R422" i="1"/>
  <c r="S422" i="1"/>
  <c r="Q425" i="1"/>
  <c r="R425" i="1"/>
  <c r="S425" i="1"/>
  <c r="Q426" i="1"/>
  <c r="R426" i="1"/>
  <c r="S426" i="1"/>
  <c r="Q418" i="1"/>
  <c r="R418" i="1"/>
  <c r="S418" i="1"/>
  <c r="Q457" i="1"/>
  <c r="R457" i="1"/>
  <c r="S457" i="1"/>
  <c r="Q458" i="1"/>
  <c r="R458" i="1"/>
  <c r="S458" i="1"/>
  <c r="Q460" i="1"/>
  <c r="R460" i="1"/>
  <c r="S460" i="1"/>
  <c r="Q462" i="1"/>
  <c r="R462" i="1"/>
  <c r="S462" i="1"/>
  <c r="Q464" i="1"/>
  <c r="R464" i="1"/>
  <c r="S464" i="1"/>
  <c r="Q487" i="1"/>
  <c r="R487" i="1"/>
  <c r="S487" i="1"/>
  <c r="Q515" i="1"/>
  <c r="R515" i="1"/>
  <c r="S515" i="1"/>
  <c r="Q517" i="1"/>
  <c r="R517" i="1"/>
  <c r="S517" i="1"/>
  <c r="Q538" i="1"/>
  <c r="R538" i="1"/>
  <c r="S538" i="1"/>
  <c r="Q539" i="1"/>
  <c r="R539" i="1"/>
  <c r="S539" i="1"/>
  <c r="Q531" i="1"/>
  <c r="R531" i="1"/>
  <c r="S531" i="1"/>
  <c r="Q544" i="1"/>
  <c r="R544" i="1"/>
  <c r="S544" i="1"/>
  <c r="Q545" i="1"/>
  <c r="R545" i="1"/>
  <c r="S545" i="1"/>
  <c r="Q527" i="1"/>
  <c r="R527" i="1"/>
  <c r="S527" i="1"/>
  <c r="Q528" i="1"/>
  <c r="R528" i="1"/>
  <c r="S528" i="1"/>
  <c r="Q581" i="1"/>
  <c r="R581" i="1"/>
  <c r="S581" i="1"/>
  <c r="Q582" i="1"/>
  <c r="R582" i="1"/>
  <c r="S582" i="1"/>
  <c r="Q596" i="1"/>
  <c r="R596" i="1"/>
  <c r="S596" i="1"/>
  <c r="Q599" i="1"/>
  <c r="R599" i="1"/>
  <c r="S599" i="1"/>
  <c r="Q613" i="1"/>
  <c r="R613" i="1"/>
  <c r="S613" i="1"/>
  <c r="Q614" i="1"/>
  <c r="R614" i="1"/>
  <c r="S614" i="1"/>
  <c r="Q617" i="1"/>
  <c r="R617" i="1"/>
  <c r="S617" i="1"/>
  <c r="Q643" i="1"/>
  <c r="R643" i="1"/>
  <c r="S643" i="1"/>
  <c r="Q638" i="1"/>
  <c r="R638" i="1"/>
  <c r="S638" i="1"/>
  <c r="Q657" i="1"/>
  <c r="R657" i="1"/>
  <c r="S657" i="1"/>
  <c r="Q639" i="1"/>
  <c r="R639" i="1"/>
  <c r="S639" i="1"/>
  <c r="Q648" i="1"/>
  <c r="R648" i="1"/>
  <c r="S648" i="1"/>
  <c r="Q661" i="1"/>
  <c r="R661" i="1"/>
  <c r="S661" i="1"/>
  <c r="Q689" i="1"/>
  <c r="R689" i="1"/>
  <c r="S689" i="1"/>
  <c r="Q690" i="1"/>
  <c r="R690" i="1"/>
  <c r="S690" i="1"/>
  <c r="Q691" i="1"/>
  <c r="R691" i="1"/>
  <c r="S691" i="1"/>
  <c r="Q719" i="1"/>
  <c r="R719" i="1"/>
  <c r="S719" i="1"/>
  <c r="Q744" i="1"/>
  <c r="R744" i="1"/>
  <c r="S744" i="1"/>
  <c r="Q745" i="1"/>
  <c r="R745" i="1"/>
  <c r="S745" i="1"/>
  <c r="Q811" i="1"/>
  <c r="R811" i="1"/>
  <c r="S811" i="1"/>
  <c r="Q815" i="1"/>
  <c r="R815" i="1"/>
  <c r="S815" i="1"/>
  <c r="Q817" i="1"/>
  <c r="R817" i="1"/>
  <c r="S817" i="1"/>
  <c r="Q818" i="1"/>
  <c r="R818" i="1"/>
  <c r="S818" i="1"/>
  <c r="Q3" i="1"/>
  <c r="R3" i="1"/>
  <c r="S3" i="1"/>
  <c r="Q5" i="1"/>
  <c r="R5" i="1"/>
  <c r="S5" i="1"/>
  <c r="Q26" i="1"/>
  <c r="R26" i="1"/>
  <c r="S26" i="1"/>
  <c r="Q34" i="1"/>
  <c r="R34" i="1"/>
  <c r="S34" i="1"/>
  <c r="Q45" i="1"/>
  <c r="R45" i="1"/>
  <c r="S45" i="1"/>
  <c r="Q46" i="1"/>
  <c r="R46" i="1"/>
  <c r="S46" i="1"/>
  <c r="Q48" i="1"/>
  <c r="R48" i="1"/>
  <c r="S48" i="1"/>
  <c r="Q49" i="1"/>
  <c r="R49" i="1"/>
  <c r="S49" i="1"/>
  <c r="Q51" i="1"/>
  <c r="R51" i="1"/>
  <c r="S51" i="1"/>
  <c r="Q53" i="1"/>
  <c r="R53" i="1"/>
  <c r="S53" i="1"/>
  <c r="Q67" i="1"/>
  <c r="R67" i="1"/>
  <c r="S67" i="1"/>
  <c r="Q77" i="1"/>
  <c r="R77" i="1"/>
  <c r="S77" i="1"/>
  <c r="Q78" i="1"/>
  <c r="R78" i="1"/>
  <c r="S78" i="1"/>
  <c r="Q61" i="1"/>
  <c r="R61" i="1"/>
  <c r="S61" i="1"/>
  <c r="Q69" i="1"/>
  <c r="R69" i="1"/>
  <c r="S69" i="1"/>
  <c r="Q64" i="1"/>
  <c r="R64" i="1"/>
  <c r="S64" i="1"/>
  <c r="Q83" i="1"/>
  <c r="R83" i="1"/>
  <c r="S83" i="1"/>
  <c r="Q84" i="1"/>
  <c r="R84" i="1"/>
  <c r="S84" i="1"/>
  <c r="Q66" i="1"/>
  <c r="R66" i="1"/>
  <c r="S66" i="1"/>
  <c r="Q105" i="1"/>
  <c r="R105" i="1"/>
  <c r="S105" i="1"/>
  <c r="Q106" i="1"/>
  <c r="R106" i="1"/>
  <c r="S106" i="1"/>
  <c r="Q90" i="1"/>
  <c r="R90" i="1"/>
  <c r="S90" i="1"/>
  <c r="Q93" i="1"/>
  <c r="R93" i="1"/>
  <c r="S93" i="1"/>
  <c r="Q112" i="1"/>
  <c r="R112" i="1"/>
  <c r="S112" i="1"/>
  <c r="Q116" i="1"/>
  <c r="R116" i="1"/>
  <c r="S116" i="1"/>
  <c r="Q136" i="1"/>
  <c r="R136" i="1"/>
  <c r="S136" i="1"/>
  <c r="Q118" i="1"/>
  <c r="R118" i="1"/>
  <c r="S118" i="1"/>
  <c r="Q119" i="1"/>
  <c r="R119" i="1"/>
  <c r="S119" i="1"/>
  <c r="Q138" i="1"/>
  <c r="R138" i="1"/>
  <c r="S138" i="1"/>
  <c r="Q179" i="1"/>
  <c r="R179" i="1"/>
  <c r="S179" i="1"/>
  <c r="Q182" i="1"/>
  <c r="R182" i="1"/>
  <c r="S182" i="1"/>
  <c r="Q203" i="1"/>
  <c r="R203" i="1"/>
  <c r="S203" i="1"/>
  <c r="Q247" i="1"/>
  <c r="R247" i="1"/>
  <c r="S247" i="1"/>
  <c r="Q266" i="1"/>
  <c r="R266" i="1"/>
  <c r="S266" i="1"/>
  <c r="Q268" i="1"/>
  <c r="R268" i="1"/>
  <c r="S268" i="1"/>
  <c r="Q270" i="1"/>
  <c r="R270" i="1"/>
  <c r="S270" i="1"/>
  <c r="Q273" i="1"/>
  <c r="R273" i="1"/>
  <c r="S273" i="1"/>
  <c r="Q289" i="1"/>
  <c r="R289" i="1"/>
  <c r="S289" i="1"/>
  <c r="Q298" i="1"/>
  <c r="R298" i="1"/>
  <c r="S298" i="1"/>
  <c r="Q302" i="1"/>
  <c r="R302" i="1"/>
  <c r="S302" i="1"/>
  <c r="Q308" i="1"/>
  <c r="R308" i="1"/>
  <c r="S308" i="1"/>
  <c r="Q314" i="1"/>
  <c r="R314" i="1"/>
  <c r="S314" i="1"/>
  <c r="Q340" i="1"/>
  <c r="R340" i="1"/>
  <c r="S340" i="1"/>
  <c r="Q346" i="1"/>
  <c r="R346" i="1"/>
  <c r="S346" i="1"/>
  <c r="Q356" i="1"/>
  <c r="R356" i="1"/>
  <c r="S356" i="1"/>
  <c r="Q367" i="1"/>
  <c r="R367" i="1"/>
  <c r="S367" i="1"/>
  <c r="Q371" i="1"/>
  <c r="R371" i="1"/>
  <c r="S371" i="1"/>
  <c r="Q363" i="1"/>
  <c r="R363" i="1"/>
  <c r="S363" i="1"/>
  <c r="Q372" i="1"/>
  <c r="R372" i="1"/>
  <c r="S372" i="1"/>
  <c r="Q397" i="1"/>
  <c r="R397" i="1"/>
  <c r="S397" i="1"/>
  <c r="Q421" i="1"/>
  <c r="R421" i="1"/>
  <c r="S421" i="1"/>
  <c r="Q423" i="1"/>
  <c r="R423" i="1"/>
  <c r="S423" i="1"/>
  <c r="Q424" i="1"/>
  <c r="R424" i="1"/>
  <c r="S424" i="1"/>
  <c r="Q419" i="1"/>
  <c r="R419" i="1"/>
  <c r="S419" i="1"/>
  <c r="Q463" i="1"/>
  <c r="R463" i="1"/>
  <c r="S463" i="1"/>
  <c r="Q467" i="1"/>
  <c r="R467" i="1"/>
  <c r="S467" i="1"/>
  <c r="Q468" i="1"/>
  <c r="R468" i="1"/>
  <c r="S468" i="1"/>
  <c r="Q479" i="1"/>
  <c r="R479" i="1"/>
  <c r="S479" i="1"/>
  <c r="Q471" i="1"/>
  <c r="R471" i="1"/>
  <c r="S471" i="1"/>
  <c r="Q472" i="1"/>
  <c r="R472" i="1"/>
  <c r="S472" i="1"/>
  <c r="Q481" i="1"/>
  <c r="R481" i="1"/>
  <c r="S481" i="1"/>
  <c r="Q474" i="1"/>
  <c r="R474" i="1"/>
  <c r="S474" i="1"/>
  <c r="Q512" i="1"/>
  <c r="R512" i="1"/>
  <c r="S512" i="1"/>
  <c r="Q496" i="1"/>
  <c r="R496" i="1"/>
  <c r="S496" i="1"/>
  <c r="Q516" i="1"/>
  <c r="R516" i="1"/>
  <c r="S516" i="1"/>
  <c r="Q507" i="1"/>
  <c r="R507" i="1"/>
  <c r="S507" i="1"/>
  <c r="Q530" i="1"/>
  <c r="R530" i="1"/>
  <c r="S530" i="1"/>
  <c r="Q532" i="1"/>
  <c r="R532" i="1"/>
  <c r="S532" i="1"/>
  <c r="Q542" i="1"/>
  <c r="R542" i="1"/>
  <c r="S542" i="1"/>
  <c r="Q534" i="1"/>
  <c r="R534" i="1"/>
  <c r="S534" i="1"/>
  <c r="Q536" i="1"/>
  <c r="R536" i="1"/>
  <c r="S536" i="1"/>
  <c r="Q555" i="1"/>
  <c r="R555" i="1"/>
  <c r="S555" i="1"/>
  <c r="Q565" i="1"/>
  <c r="R565" i="1"/>
  <c r="S565" i="1"/>
  <c r="Q566" i="1"/>
  <c r="R566" i="1"/>
  <c r="S566" i="1"/>
  <c r="Q588" i="1"/>
  <c r="R588" i="1"/>
  <c r="S588" i="1"/>
  <c r="Q602" i="1"/>
  <c r="R602" i="1"/>
  <c r="S602" i="1"/>
  <c r="Q649" i="1"/>
  <c r="R649" i="1"/>
  <c r="S649" i="1"/>
  <c r="Q631" i="1"/>
  <c r="R631" i="1"/>
  <c r="S631" i="1"/>
  <c r="Q633" i="1"/>
  <c r="R633" i="1"/>
  <c r="S633" i="1"/>
  <c r="Q642" i="1"/>
  <c r="R642" i="1"/>
  <c r="S642" i="1"/>
  <c r="Q634" i="1"/>
  <c r="R634" i="1"/>
  <c r="S634" i="1"/>
  <c r="Q635" i="1"/>
  <c r="R635" i="1"/>
  <c r="S635" i="1"/>
  <c r="Q646" i="1"/>
  <c r="R646" i="1"/>
  <c r="S646" i="1"/>
  <c r="Q668" i="1"/>
  <c r="R668" i="1"/>
  <c r="S668" i="1"/>
  <c r="Q673" i="1"/>
  <c r="R673" i="1"/>
  <c r="S673" i="1"/>
  <c r="Q665" i="1"/>
  <c r="R665" i="1"/>
  <c r="S665" i="1"/>
  <c r="Q684" i="1"/>
  <c r="R684" i="1"/>
  <c r="S684" i="1"/>
  <c r="Q717" i="1"/>
  <c r="R717" i="1"/>
  <c r="S717" i="1"/>
  <c r="Q740" i="1"/>
  <c r="R740" i="1"/>
  <c r="S740" i="1"/>
  <c r="Q749" i="1"/>
  <c r="R749" i="1"/>
  <c r="S749" i="1"/>
  <c r="Q759" i="1"/>
  <c r="R759" i="1"/>
  <c r="S759" i="1"/>
  <c r="Q741" i="1"/>
  <c r="R741" i="1"/>
  <c r="S741" i="1"/>
  <c r="Q742" i="1"/>
  <c r="R742" i="1"/>
  <c r="S742" i="1"/>
  <c r="Q752" i="1"/>
  <c r="R752" i="1"/>
  <c r="S752" i="1"/>
  <c r="Q762" i="1"/>
  <c r="R762" i="1"/>
  <c r="S762" i="1"/>
  <c r="Q746" i="1"/>
  <c r="R746" i="1"/>
  <c r="S746" i="1"/>
  <c r="Q747" i="1"/>
  <c r="R747" i="1"/>
  <c r="S747" i="1"/>
  <c r="Q793" i="1"/>
  <c r="R793" i="1"/>
  <c r="S793" i="1"/>
  <c r="Q806" i="1"/>
  <c r="R806" i="1"/>
  <c r="S806" i="1"/>
  <c r="Q8" i="1"/>
  <c r="R8" i="1"/>
  <c r="S8" i="1"/>
  <c r="Q10" i="1"/>
  <c r="R10" i="1"/>
  <c r="S10" i="1"/>
  <c r="Q18" i="1"/>
  <c r="R18" i="1"/>
  <c r="S18" i="1"/>
  <c r="Q19" i="1"/>
  <c r="R19" i="1"/>
  <c r="S19" i="1"/>
  <c r="Q24" i="1"/>
  <c r="R24" i="1"/>
  <c r="S24" i="1"/>
  <c r="Q32" i="1"/>
  <c r="R32" i="1"/>
  <c r="S32" i="1"/>
  <c r="Q37" i="1"/>
  <c r="R37" i="1"/>
  <c r="S37" i="1"/>
  <c r="Q39" i="1"/>
  <c r="R39" i="1"/>
  <c r="S39" i="1"/>
  <c r="Q43" i="1"/>
  <c r="R43" i="1"/>
  <c r="S43" i="1"/>
  <c r="Q52" i="1"/>
  <c r="R52" i="1"/>
  <c r="S52" i="1"/>
  <c r="Q55" i="1"/>
  <c r="R55" i="1"/>
  <c r="S55" i="1"/>
  <c r="Q57" i="1"/>
  <c r="R57" i="1"/>
  <c r="S57" i="1"/>
  <c r="Q76" i="1"/>
  <c r="R76" i="1"/>
  <c r="S76" i="1"/>
  <c r="Q79" i="1"/>
  <c r="R79" i="1"/>
  <c r="S79" i="1"/>
  <c r="Q63" i="1"/>
  <c r="R63" i="1"/>
  <c r="S63" i="1"/>
  <c r="Q74" i="1"/>
  <c r="R74" i="1"/>
  <c r="S74" i="1"/>
  <c r="Q75" i="1"/>
  <c r="R75" i="1"/>
  <c r="S75" i="1"/>
  <c r="Q86" i="1"/>
  <c r="R86" i="1"/>
  <c r="S86" i="1"/>
  <c r="Q89" i="1"/>
  <c r="R89" i="1"/>
  <c r="S89" i="1"/>
  <c r="Q92" i="1"/>
  <c r="R92" i="1"/>
  <c r="S92" i="1"/>
  <c r="Q113" i="1"/>
  <c r="R113" i="1"/>
  <c r="S113" i="1"/>
  <c r="Q115" i="1"/>
  <c r="R115" i="1"/>
  <c r="S115" i="1"/>
  <c r="Q137" i="1"/>
  <c r="R137" i="1"/>
  <c r="S137" i="1"/>
  <c r="Q159" i="1"/>
  <c r="R159" i="1"/>
  <c r="S159" i="1"/>
  <c r="Q142" i="1"/>
  <c r="R142" i="1"/>
  <c r="S142" i="1"/>
  <c r="Q151" i="1"/>
  <c r="R151" i="1"/>
  <c r="S151" i="1"/>
  <c r="Q143" i="1"/>
  <c r="R143" i="1"/>
  <c r="S143" i="1"/>
  <c r="Q146" i="1"/>
  <c r="R146" i="1"/>
  <c r="S146" i="1"/>
  <c r="Q165" i="1"/>
  <c r="R165" i="1"/>
  <c r="S165" i="1"/>
  <c r="Q147" i="1"/>
  <c r="R147" i="1"/>
  <c r="S147" i="1"/>
  <c r="Q177" i="1"/>
  <c r="R177" i="1"/>
  <c r="S177" i="1"/>
  <c r="Q187" i="1"/>
  <c r="R187" i="1"/>
  <c r="S187" i="1"/>
  <c r="Q173" i="1"/>
  <c r="R173" i="1"/>
  <c r="S173" i="1"/>
  <c r="Q192" i="1"/>
  <c r="R192" i="1"/>
  <c r="S192" i="1"/>
  <c r="Q183" i="1"/>
  <c r="R183" i="1"/>
  <c r="S183" i="1"/>
  <c r="Q193" i="1"/>
  <c r="R193" i="1"/>
  <c r="S193" i="1"/>
  <c r="Q204" i="1"/>
  <c r="R204" i="1"/>
  <c r="S204" i="1"/>
  <c r="Q242" i="1"/>
  <c r="R242" i="1"/>
  <c r="S242" i="1"/>
  <c r="Q234" i="1"/>
  <c r="R234" i="1"/>
  <c r="S234" i="1"/>
  <c r="Q228" i="1"/>
  <c r="R228" i="1"/>
  <c r="S228" i="1"/>
  <c r="Q256" i="1"/>
  <c r="R256" i="1"/>
  <c r="S256" i="1"/>
  <c r="Q279" i="1"/>
  <c r="R279" i="1"/>
  <c r="S279" i="1"/>
  <c r="Q281" i="1"/>
  <c r="R281" i="1"/>
  <c r="S281" i="1"/>
  <c r="Q283" i="1"/>
  <c r="R283" i="1"/>
  <c r="S283" i="1"/>
  <c r="Q294" i="1"/>
  <c r="R294" i="1"/>
  <c r="S294" i="1"/>
  <c r="Q300" i="1"/>
  <c r="R300" i="1"/>
  <c r="S300" i="1"/>
  <c r="Q301" i="1"/>
  <c r="R301" i="1"/>
  <c r="S301" i="1"/>
  <c r="Q303" i="1"/>
  <c r="R303" i="1"/>
  <c r="S303" i="1"/>
  <c r="Q306" i="1"/>
  <c r="R306" i="1"/>
  <c r="S306" i="1"/>
  <c r="Q307" i="1"/>
  <c r="R307" i="1"/>
  <c r="S307" i="1"/>
  <c r="Q310" i="1"/>
  <c r="R310" i="1"/>
  <c r="S310" i="1"/>
  <c r="Q311" i="1"/>
  <c r="R311" i="1"/>
  <c r="S311" i="1"/>
  <c r="Q316" i="1"/>
  <c r="R316" i="1"/>
  <c r="S316" i="1"/>
  <c r="Q323" i="1"/>
  <c r="R323" i="1"/>
  <c r="S323" i="1"/>
  <c r="Q325" i="1"/>
  <c r="R325" i="1"/>
  <c r="S325" i="1"/>
  <c r="Q328" i="1"/>
  <c r="R328" i="1"/>
  <c r="S328" i="1"/>
  <c r="Q347" i="1"/>
  <c r="R347" i="1"/>
  <c r="S347" i="1"/>
  <c r="Q348" i="1"/>
  <c r="R348" i="1"/>
  <c r="S348" i="1"/>
  <c r="Q405" i="1"/>
  <c r="R405" i="1"/>
  <c r="S405" i="1"/>
  <c r="Q430" i="1"/>
  <c r="R430" i="1"/>
  <c r="S430" i="1"/>
  <c r="Q428" i="1"/>
  <c r="R428" i="1"/>
  <c r="S428" i="1"/>
  <c r="Q420" i="1"/>
  <c r="R420" i="1"/>
  <c r="S420" i="1"/>
  <c r="Q440" i="1"/>
  <c r="R440" i="1"/>
  <c r="S440" i="1"/>
  <c r="Q444" i="1"/>
  <c r="R444" i="1"/>
  <c r="S444" i="1"/>
  <c r="Q466" i="1"/>
  <c r="R466" i="1"/>
  <c r="S466" i="1"/>
  <c r="Q469" i="1"/>
  <c r="R469" i="1"/>
  <c r="S469" i="1"/>
  <c r="Q470" i="1"/>
  <c r="R470" i="1"/>
  <c r="S470" i="1"/>
  <c r="Q490" i="1"/>
  <c r="R490" i="1"/>
  <c r="S490" i="1"/>
  <c r="Q491" i="1"/>
  <c r="R491" i="1"/>
  <c r="S491" i="1"/>
  <c r="Q492" i="1"/>
  <c r="R492" i="1"/>
  <c r="S492" i="1"/>
  <c r="Q511" i="1"/>
  <c r="R511" i="1"/>
  <c r="S511" i="1"/>
  <c r="Q494" i="1"/>
  <c r="R494" i="1"/>
  <c r="S494" i="1"/>
  <c r="Q513" i="1"/>
  <c r="R513" i="1"/>
  <c r="S513" i="1"/>
  <c r="Q497" i="1"/>
  <c r="R497" i="1"/>
  <c r="S497" i="1"/>
  <c r="Q499" i="1"/>
  <c r="R499" i="1"/>
  <c r="S499" i="1"/>
  <c r="Q523" i="1"/>
  <c r="R523" i="1"/>
  <c r="S523" i="1"/>
  <c r="Q533" i="1"/>
  <c r="R533" i="1"/>
  <c r="S533" i="1"/>
  <c r="Q577" i="1"/>
  <c r="R577" i="1"/>
  <c r="S577" i="1"/>
  <c r="Q583" i="1"/>
  <c r="R583" i="1"/>
  <c r="S583" i="1"/>
  <c r="Q584" i="1"/>
  <c r="R584" i="1"/>
  <c r="S584" i="1"/>
  <c r="Q593" i="1"/>
  <c r="R593" i="1"/>
  <c r="S593" i="1"/>
  <c r="Q595" i="1"/>
  <c r="R595" i="1"/>
  <c r="S595" i="1"/>
  <c r="Q632" i="1"/>
  <c r="R632" i="1"/>
  <c r="S632" i="1"/>
  <c r="Q654" i="1"/>
  <c r="R654" i="1"/>
  <c r="S654" i="1"/>
  <c r="Q655" i="1"/>
  <c r="R655" i="1"/>
  <c r="S655" i="1"/>
  <c r="Q647" i="1"/>
  <c r="R647" i="1"/>
  <c r="S647" i="1"/>
  <c r="Q662" i="1"/>
  <c r="R662" i="1"/>
  <c r="S662" i="1"/>
  <c r="Q664" i="1"/>
  <c r="R664" i="1"/>
  <c r="S664" i="1"/>
  <c r="Q685" i="1"/>
  <c r="R685" i="1"/>
  <c r="S685" i="1"/>
  <c r="Q694" i="1"/>
  <c r="R694" i="1"/>
  <c r="S694" i="1"/>
  <c r="Q731" i="1"/>
  <c r="R731" i="1"/>
  <c r="S731" i="1"/>
  <c r="Q734" i="1"/>
  <c r="R734" i="1"/>
  <c r="S734" i="1"/>
  <c r="Q761" i="1"/>
  <c r="R761" i="1"/>
  <c r="S761" i="1"/>
  <c r="Q763" i="1"/>
  <c r="R763" i="1"/>
  <c r="S763" i="1"/>
  <c r="Q778" i="1"/>
  <c r="R778" i="1"/>
  <c r="S778" i="1"/>
  <c r="Q779" i="1"/>
  <c r="R779" i="1"/>
  <c r="S779" i="1"/>
  <c r="Q781" i="1"/>
  <c r="R781" i="1"/>
  <c r="S781" i="1"/>
  <c r="Q803" i="1"/>
  <c r="R803" i="1"/>
  <c r="S803" i="1"/>
  <c r="Q804" i="1"/>
  <c r="R804" i="1"/>
  <c r="S804" i="1"/>
  <c r="Q799" i="1"/>
  <c r="R799" i="1"/>
  <c r="S799" i="1"/>
  <c r="Q22" i="1"/>
  <c r="R22" i="1"/>
  <c r="S22" i="1"/>
  <c r="Q28" i="1"/>
  <c r="R28" i="1"/>
  <c r="S28" i="1"/>
  <c r="Q47" i="1"/>
  <c r="R47" i="1"/>
  <c r="S47" i="1"/>
  <c r="Q58" i="1"/>
  <c r="R58" i="1"/>
  <c r="S58" i="1"/>
  <c r="Q80" i="1"/>
  <c r="R80" i="1"/>
  <c r="S80" i="1"/>
  <c r="Q71" i="1"/>
  <c r="R71" i="1"/>
  <c r="S71" i="1"/>
  <c r="Q81" i="1"/>
  <c r="R81" i="1"/>
  <c r="S81" i="1"/>
  <c r="Q73" i="1"/>
  <c r="R73" i="1"/>
  <c r="S73" i="1"/>
  <c r="Q85" i="1"/>
  <c r="R85" i="1"/>
  <c r="S85" i="1"/>
  <c r="Q104" i="1"/>
  <c r="R104" i="1"/>
  <c r="S104" i="1"/>
  <c r="Q88" i="1"/>
  <c r="R88" i="1"/>
  <c r="S88" i="1"/>
  <c r="Q107" i="1"/>
  <c r="R107" i="1"/>
  <c r="S107" i="1"/>
  <c r="Q108" i="1"/>
  <c r="R108" i="1"/>
  <c r="S108" i="1"/>
  <c r="Q100" i="1"/>
  <c r="R100" i="1"/>
  <c r="S100" i="1"/>
  <c r="Q141" i="1"/>
  <c r="R141" i="1"/>
  <c r="S141" i="1"/>
  <c r="Q152" i="1"/>
  <c r="R152" i="1"/>
  <c r="S152" i="1"/>
  <c r="Q155" i="1"/>
  <c r="R155" i="1"/>
  <c r="S155" i="1"/>
  <c r="Q166" i="1"/>
  <c r="R166" i="1"/>
  <c r="S166" i="1"/>
  <c r="Q175" i="1"/>
  <c r="R175" i="1"/>
  <c r="S175" i="1"/>
  <c r="Q178" i="1"/>
  <c r="R178" i="1"/>
  <c r="S178" i="1"/>
  <c r="Q188" i="1"/>
  <c r="R188" i="1"/>
  <c r="S188" i="1"/>
  <c r="Q189" i="1"/>
  <c r="R189" i="1"/>
  <c r="S189" i="1"/>
  <c r="Q181" i="1"/>
  <c r="R181" i="1"/>
  <c r="S181" i="1"/>
  <c r="Q174" i="1"/>
  <c r="R174" i="1"/>
  <c r="S174" i="1"/>
  <c r="Q208" i="1"/>
  <c r="R208" i="1"/>
  <c r="S208" i="1"/>
  <c r="Q207" i="1"/>
  <c r="R207" i="1"/>
  <c r="S207" i="1"/>
  <c r="Q230" i="1"/>
  <c r="R230" i="1"/>
  <c r="S230" i="1"/>
  <c r="Q237" i="1"/>
  <c r="R237" i="1"/>
  <c r="S237" i="1"/>
  <c r="Q258" i="1"/>
  <c r="R258" i="1"/>
  <c r="S258" i="1"/>
  <c r="Q259" i="1"/>
  <c r="R259" i="1"/>
  <c r="S259" i="1"/>
  <c r="Q277" i="1"/>
  <c r="R277" i="1"/>
  <c r="S277" i="1"/>
  <c r="Q282" i="1"/>
  <c r="R282" i="1"/>
  <c r="S282" i="1"/>
  <c r="Q296" i="1"/>
  <c r="R296" i="1"/>
  <c r="S296" i="1"/>
  <c r="Q297" i="1"/>
  <c r="R297" i="1"/>
  <c r="S297" i="1"/>
  <c r="Q305" i="1"/>
  <c r="R305" i="1"/>
  <c r="S305" i="1"/>
  <c r="Q315" i="1"/>
  <c r="R315" i="1"/>
  <c r="S315" i="1"/>
  <c r="Q327" i="1"/>
  <c r="R327" i="1"/>
  <c r="S327" i="1"/>
  <c r="Q329" i="1"/>
  <c r="R329" i="1"/>
  <c r="S329" i="1"/>
  <c r="Q350" i="1"/>
  <c r="R350" i="1"/>
  <c r="S350" i="1"/>
  <c r="Q343" i="1"/>
  <c r="R343" i="1"/>
  <c r="S343" i="1"/>
  <c r="Q404" i="1"/>
  <c r="R404" i="1"/>
  <c r="S404" i="1"/>
  <c r="Q398" i="1"/>
  <c r="R398" i="1"/>
  <c r="S398" i="1"/>
  <c r="Q409" i="1"/>
  <c r="R409" i="1"/>
  <c r="S409" i="1"/>
  <c r="Q400" i="1"/>
  <c r="R400" i="1"/>
  <c r="S400" i="1"/>
  <c r="Q412" i="1"/>
  <c r="R412" i="1"/>
  <c r="S412" i="1"/>
  <c r="Q439" i="1"/>
  <c r="R439" i="1"/>
  <c r="S439" i="1"/>
  <c r="Q441" i="1"/>
  <c r="R441" i="1"/>
  <c r="S441" i="1"/>
  <c r="Q450" i="1"/>
  <c r="R450" i="1"/>
  <c r="S450" i="1"/>
  <c r="Q461" i="1"/>
  <c r="R461" i="1"/>
  <c r="S461" i="1"/>
  <c r="Q443" i="1"/>
  <c r="R443" i="1"/>
  <c r="S443" i="1"/>
  <c r="Q445" i="1"/>
  <c r="R445" i="1"/>
  <c r="S445" i="1"/>
  <c r="Q447" i="1"/>
  <c r="R447" i="1"/>
  <c r="S447" i="1"/>
  <c r="Q484" i="1"/>
  <c r="R484" i="1"/>
  <c r="S484" i="1"/>
  <c r="Q476" i="1"/>
  <c r="R476" i="1"/>
  <c r="S476" i="1"/>
  <c r="Q489" i="1"/>
  <c r="R489" i="1"/>
  <c r="S489" i="1"/>
  <c r="Q480" i="1"/>
  <c r="R480" i="1"/>
  <c r="S480" i="1"/>
  <c r="Q473" i="1"/>
  <c r="R473" i="1"/>
  <c r="S473" i="1"/>
  <c r="Q504" i="1"/>
  <c r="R504" i="1"/>
  <c r="S504" i="1"/>
  <c r="Q505" i="1"/>
  <c r="R505" i="1"/>
  <c r="S505" i="1"/>
  <c r="Q509" i="1"/>
  <c r="R509" i="1"/>
  <c r="S509" i="1"/>
  <c r="Q547" i="1"/>
  <c r="R547" i="1"/>
  <c r="S547" i="1"/>
  <c r="Q561" i="1"/>
  <c r="R561" i="1"/>
  <c r="S561" i="1"/>
  <c r="Q586" i="1"/>
  <c r="R586" i="1"/>
  <c r="S586" i="1"/>
  <c r="Q587" i="1"/>
  <c r="R587" i="1"/>
  <c r="S587" i="1"/>
  <c r="Q594" i="1"/>
  <c r="R594" i="1"/>
  <c r="S594" i="1"/>
  <c r="Q641" i="1"/>
  <c r="R641" i="1"/>
  <c r="S641" i="1"/>
  <c r="Q644" i="1"/>
  <c r="R644" i="1"/>
  <c r="S644" i="1"/>
  <c r="Q672" i="1"/>
  <c r="R672" i="1"/>
  <c r="S672" i="1"/>
  <c r="Q666" i="1"/>
  <c r="R666" i="1"/>
  <c r="S666" i="1"/>
  <c r="Q712" i="1"/>
  <c r="R712" i="1"/>
  <c r="S712" i="1"/>
  <c r="Q732" i="1"/>
  <c r="R732" i="1"/>
  <c r="S732" i="1"/>
  <c r="Q733" i="1"/>
  <c r="R733" i="1"/>
  <c r="S733" i="1"/>
  <c r="Q724" i="1"/>
  <c r="R724" i="1"/>
  <c r="S724" i="1"/>
  <c r="Q735" i="1"/>
  <c r="R735" i="1"/>
  <c r="S735" i="1"/>
  <c r="Q726" i="1"/>
  <c r="R726" i="1"/>
  <c r="S726" i="1"/>
  <c r="Q737" i="1"/>
  <c r="R737" i="1"/>
  <c r="S737" i="1"/>
  <c r="Q738" i="1"/>
  <c r="R738" i="1"/>
  <c r="S738" i="1"/>
  <c r="Q720" i="1"/>
  <c r="R720" i="1"/>
  <c r="S720" i="1"/>
  <c r="Q757" i="1"/>
  <c r="R757" i="1"/>
  <c r="S757" i="1"/>
  <c r="Q748" i="1"/>
  <c r="R748" i="1"/>
  <c r="S748" i="1"/>
  <c r="Q758" i="1"/>
  <c r="R758" i="1"/>
  <c r="S758" i="1"/>
  <c r="Q754" i="1"/>
  <c r="R754" i="1"/>
  <c r="S754" i="1"/>
  <c r="Q764" i="1"/>
  <c r="R764" i="1"/>
  <c r="S764" i="1"/>
  <c r="Q765" i="1"/>
  <c r="R765" i="1"/>
  <c r="S765" i="1"/>
  <c r="Q786" i="1"/>
  <c r="R786" i="1"/>
  <c r="S786" i="1"/>
  <c r="Q787" i="1"/>
  <c r="R787" i="1"/>
  <c r="S787" i="1"/>
  <c r="Q788" i="1"/>
  <c r="R788" i="1"/>
  <c r="S788" i="1"/>
  <c r="Q789" i="1"/>
  <c r="R789" i="1"/>
  <c r="S789" i="1"/>
  <c r="Q805" i="1"/>
  <c r="R805" i="1"/>
  <c r="S805" i="1"/>
  <c r="Q800" i="1"/>
  <c r="R800" i="1"/>
  <c r="S800" i="1"/>
  <c r="Q809" i="1"/>
  <c r="R809" i="1"/>
  <c r="S809" i="1"/>
  <c r="Q801" i="1"/>
  <c r="R801" i="1"/>
  <c r="S801" i="1"/>
  <c r="Q4" i="1"/>
  <c r="R4" i="1"/>
  <c r="S4" i="1"/>
  <c r="Q7" i="1"/>
  <c r="R7" i="1"/>
  <c r="S7" i="1"/>
  <c r="Q14" i="1"/>
  <c r="R14" i="1"/>
  <c r="S14" i="1"/>
  <c r="Q15" i="1"/>
  <c r="R15" i="1"/>
  <c r="S15" i="1"/>
  <c r="Q17" i="1"/>
  <c r="R17" i="1"/>
  <c r="S17" i="1"/>
  <c r="Q20" i="1"/>
  <c r="R20" i="1"/>
  <c r="S20" i="1"/>
  <c r="Q29" i="1"/>
  <c r="R29" i="1"/>
  <c r="S29" i="1"/>
  <c r="Q31" i="1"/>
  <c r="R31" i="1"/>
  <c r="S31" i="1"/>
  <c r="Q33" i="1"/>
  <c r="R33" i="1"/>
  <c r="S33" i="1"/>
  <c r="Q36" i="1"/>
  <c r="R36" i="1"/>
  <c r="S36" i="1"/>
  <c r="Q56" i="1"/>
  <c r="R56" i="1"/>
  <c r="S56" i="1"/>
  <c r="Q103" i="1"/>
  <c r="R103" i="1"/>
  <c r="S103" i="1"/>
  <c r="Q95" i="1"/>
  <c r="R95" i="1"/>
  <c r="S95" i="1"/>
  <c r="Q109" i="1"/>
  <c r="R109" i="1"/>
  <c r="S109" i="1"/>
  <c r="Q110" i="1"/>
  <c r="R110" i="1"/>
  <c r="S110" i="1"/>
  <c r="Q111" i="1"/>
  <c r="R111" i="1"/>
  <c r="S111" i="1"/>
  <c r="Q131" i="1"/>
  <c r="R131" i="1"/>
  <c r="S131" i="1"/>
  <c r="Q122" i="1"/>
  <c r="R122" i="1"/>
  <c r="S122" i="1"/>
  <c r="Q184" i="1"/>
  <c r="R184" i="1"/>
  <c r="S184" i="1"/>
  <c r="Q191" i="1"/>
  <c r="R191" i="1"/>
  <c r="S191" i="1"/>
  <c r="Q210" i="1"/>
  <c r="R210" i="1"/>
  <c r="S210" i="1"/>
  <c r="Q232" i="1"/>
  <c r="R232" i="1"/>
  <c r="S232" i="1"/>
  <c r="Q233" i="1"/>
  <c r="R233" i="1"/>
  <c r="S233" i="1"/>
  <c r="Q235" i="1"/>
  <c r="R235" i="1"/>
  <c r="S235" i="1"/>
  <c r="Q260" i="1"/>
  <c r="R260" i="1"/>
  <c r="S260" i="1"/>
  <c r="Q263" i="1"/>
  <c r="R263" i="1"/>
  <c r="S263" i="1"/>
  <c r="Q274" i="1"/>
  <c r="R274" i="1"/>
  <c r="S274" i="1"/>
  <c r="Q275" i="1"/>
  <c r="R275" i="1"/>
  <c r="S275" i="1"/>
  <c r="Q276" i="1"/>
  <c r="R276" i="1"/>
  <c r="S276" i="1"/>
  <c r="Q280" i="1"/>
  <c r="R280" i="1"/>
  <c r="S280" i="1"/>
  <c r="Q286" i="1"/>
  <c r="R286" i="1"/>
  <c r="S286" i="1"/>
  <c r="Q309" i="1"/>
  <c r="R309" i="1"/>
  <c r="S309" i="1"/>
  <c r="Q312" i="1"/>
  <c r="R312" i="1"/>
  <c r="S312" i="1"/>
  <c r="Q349" i="1"/>
  <c r="R349" i="1"/>
  <c r="S349" i="1"/>
  <c r="Q351" i="1"/>
  <c r="R351" i="1"/>
  <c r="S351" i="1"/>
  <c r="Q352" i="1"/>
  <c r="R352" i="1"/>
  <c r="S352" i="1"/>
  <c r="Q336" i="1"/>
  <c r="R336" i="1"/>
  <c r="S336" i="1"/>
  <c r="Q406" i="1"/>
  <c r="R406" i="1"/>
  <c r="S406" i="1"/>
  <c r="Q389" i="1"/>
  <c r="R389" i="1"/>
  <c r="S389" i="1"/>
  <c r="Q410" i="1"/>
  <c r="R410" i="1"/>
  <c r="S410" i="1"/>
  <c r="Q401" i="1"/>
  <c r="R401" i="1"/>
  <c r="S401" i="1"/>
  <c r="Q411" i="1"/>
  <c r="R411" i="1"/>
  <c r="S411" i="1"/>
  <c r="Q402" i="1"/>
  <c r="R402" i="1"/>
  <c r="S402" i="1"/>
  <c r="Q429" i="1"/>
  <c r="R429" i="1"/>
  <c r="S429" i="1"/>
  <c r="Q448" i="1"/>
  <c r="R448" i="1"/>
  <c r="S448" i="1"/>
  <c r="Q449" i="1"/>
  <c r="R449" i="1"/>
  <c r="S449" i="1"/>
  <c r="Q442" i="1"/>
  <c r="R442" i="1"/>
  <c r="S442" i="1"/>
  <c r="Q451" i="1"/>
  <c r="R451" i="1"/>
  <c r="S451" i="1"/>
  <c r="Q477" i="1"/>
  <c r="R477" i="1"/>
  <c r="S477" i="1"/>
  <c r="Q482" i="1"/>
  <c r="R482" i="1"/>
  <c r="S482" i="1"/>
  <c r="Q483" i="1"/>
  <c r="R483" i="1"/>
  <c r="S483" i="1"/>
  <c r="Q514" i="1"/>
  <c r="R514" i="1"/>
  <c r="S514" i="1"/>
  <c r="Q518" i="1"/>
  <c r="R518" i="1"/>
  <c r="S518" i="1"/>
  <c r="Q529" i="1"/>
  <c r="R529" i="1"/>
  <c r="S529" i="1"/>
  <c r="Q525" i="1"/>
  <c r="R525" i="1"/>
  <c r="S525" i="1"/>
  <c r="Q568" i="1"/>
  <c r="R568" i="1"/>
  <c r="S568" i="1"/>
  <c r="Q569" i="1"/>
  <c r="R569" i="1"/>
  <c r="S569" i="1"/>
  <c r="Q570" i="1"/>
  <c r="R570" i="1"/>
  <c r="S570" i="1"/>
  <c r="Q571" i="1"/>
  <c r="R571" i="1"/>
  <c r="S571" i="1"/>
  <c r="Q572" i="1"/>
  <c r="R572" i="1"/>
  <c r="S572" i="1"/>
  <c r="Q573" i="1"/>
  <c r="R573" i="1"/>
  <c r="S573" i="1"/>
  <c r="Q590" i="1"/>
  <c r="R590" i="1"/>
  <c r="S590" i="1"/>
  <c r="Q591" i="1"/>
  <c r="R591" i="1"/>
  <c r="S591" i="1"/>
  <c r="Q640" i="1"/>
  <c r="R640" i="1"/>
  <c r="S640" i="1"/>
  <c r="Q652" i="1"/>
  <c r="R652" i="1"/>
  <c r="S652" i="1"/>
  <c r="Q658" i="1"/>
  <c r="R658" i="1"/>
  <c r="S658" i="1"/>
  <c r="Q677" i="1"/>
  <c r="R677" i="1"/>
  <c r="S677" i="1"/>
  <c r="Q659" i="1"/>
  <c r="R659" i="1"/>
  <c r="S659" i="1"/>
  <c r="Q678" i="1"/>
  <c r="R678" i="1"/>
  <c r="S678" i="1"/>
  <c r="Q679" i="1"/>
  <c r="R679" i="1"/>
  <c r="S679" i="1"/>
  <c r="Q680" i="1"/>
  <c r="R680" i="1"/>
  <c r="S680" i="1"/>
  <c r="Q671" i="1"/>
  <c r="R671" i="1"/>
  <c r="S671" i="1"/>
  <c r="Q681" i="1"/>
  <c r="R681" i="1"/>
  <c r="S681" i="1"/>
  <c r="Q682" i="1"/>
  <c r="R682" i="1"/>
  <c r="S682" i="1"/>
  <c r="Q683" i="1"/>
  <c r="R683" i="1"/>
  <c r="S683" i="1"/>
  <c r="Q730" i="1"/>
  <c r="R730" i="1"/>
  <c r="S730" i="1"/>
  <c r="Q725" i="1"/>
  <c r="R725" i="1"/>
  <c r="S725" i="1"/>
  <c r="Q736" i="1"/>
  <c r="R736" i="1"/>
  <c r="S736" i="1"/>
  <c r="Q739" i="1"/>
  <c r="R739" i="1"/>
  <c r="S739" i="1"/>
  <c r="Q760" i="1"/>
  <c r="R760" i="1"/>
  <c r="S760" i="1"/>
  <c r="Q743" i="1"/>
  <c r="R743" i="1"/>
  <c r="S743" i="1"/>
  <c r="Q755" i="1"/>
  <c r="R755" i="1"/>
  <c r="S755" i="1"/>
  <c r="Q756" i="1"/>
  <c r="R756" i="1"/>
  <c r="S756" i="1"/>
  <c r="Q776" i="1"/>
  <c r="R776" i="1"/>
  <c r="S776" i="1"/>
  <c r="Q770" i="1"/>
  <c r="R770" i="1"/>
  <c r="S770" i="1"/>
  <c r="Q771" i="1"/>
  <c r="R771" i="1"/>
  <c r="S771" i="1"/>
  <c r="Q791" i="1"/>
  <c r="R791" i="1"/>
  <c r="S791" i="1"/>
  <c r="Q782" i="1"/>
  <c r="R782" i="1"/>
  <c r="S782" i="1"/>
  <c r="Q802" i="1"/>
  <c r="R802" i="1"/>
  <c r="S802" i="1"/>
  <c r="Q807" i="1"/>
  <c r="R807" i="1"/>
  <c r="S807" i="1"/>
  <c r="Q808" i="1"/>
  <c r="R808" i="1"/>
  <c r="S808" i="1"/>
  <c r="Q2" i="1"/>
  <c r="R2" i="1"/>
  <c r="S2" i="1"/>
  <c r="Q16" i="1"/>
  <c r="R16" i="1"/>
  <c r="S16" i="1"/>
  <c r="Q72" i="1"/>
  <c r="R72" i="1"/>
  <c r="S72" i="1"/>
  <c r="Q94" i="1"/>
  <c r="R94" i="1"/>
  <c r="S94" i="1"/>
  <c r="Q91" i="1"/>
  <c r="R91" i="1"/>
  <c r="S91" i="1"/>
  <c r="Q101" i="1"/>
  <c r="R101" i="1"/>
  <c r="S101" i="1"/>
  <c r="Q124" i="1"/>
  <c r="R124" i="1"/>
  <c r="S124" i="1"/>
  <c r="Q127" i="1"/>
  <c r="R127" i="1"/>
  <c r="S127" i="1"/>
  <c r="Q128" i="1"/>
  <c r="R128" i="1"/>
  <c r="S128" i="1"/>
  <c r="Q176" i="1"/>
  <c r="R176" i="1"/>
  <c r="S176" i="1"/>
  <c r="Q190" i="1"/>
  <c r="R190" i="1"/>
  <c r="S190" i="1"/>
  <c r="Q231" i="1"/>
  <c r="R231" i="1"/>
  <c r="S231" i="1"/>
  <c r="Q288" i="1"/>
  <c r="R288" i="1"/>
  <c r="S288" i="1"/>
  <c r="Q291" i="1"/>
  <c r="R291" i="1"/>
  <c r="S291" i="1"/>
  <c r="Q292" i="1"/>
  <c r="R292" i="1"/>
  <c r="S292" i="1"/>
  <c r="Q304" i="1"/>
  <c r="R304" i="1"/>
  <c r="S304" i="1"/>
  <c r="Q331" i="1"/>
  <c r="R331" i="1"/>
  <c r="S331" i="1"/>
  <c r="Q394" i="1"/>
  <c r="R394" i="1"/>
  <c r="S394" i="1"/>
  <c r="Q387" i="1"/>
  <c r="R387" i="1"/>
  <c r="S387" i="1"/>
  <c r="Q408" i="1"/>
  <c r="R408" i="1"/>
  <c r="S408" i="1"/>
  <c r="Q390" i="1"/>
  <c r="R390" i="1"/>
  <c r="S390" i="1"/>
  <c r="Q399" i="1"/>
  <c r="R399" i="1"/>
  <c r="S399" i="1"/>
  <c r="Q391" i="1"/>
  <c r="R391" i="1"/>
  <c r="S391" i="1"/>
  <c r="Q446" i="1"/>
  <c r="R446" i="1"/>
  <c r="S446" i="1"/>
  <c r="Q500" i="1"/>
  <c r="R500" i="1"/>
  <c r="S500" i="1"/>
  <c r="Q519" i="1"/>
  <c r="R519" i="1"/>
  <c r="S519" i="1"/>
  <c r="Q501" i="1"/>
  <c r="R501" i="1"/>
  <c r="S501" i="1"/>
  <c r="Q558" i="1"/>
  <c r="R558" i="1"/>
  <c r="S558" i="1"/>
  <c r="Q562" i="1"/>
  <c r="R562" i="1"/>
  <c r="S562" i="1"/>
  <c r="Q563" i="1"/>
  <c r="R563" i="1"/>
  <c r="S563" i="1"/>
  <c r="Q567" i="1"/>
  <c r="R567" i="1"/>
  <c r="S567" i="1"/>
  <c r="Q574" i="1"/>
  <c r="R574" i="1"/>
  <c r="S574" i="1"/>
  <c r="Q575" i="1"/>
  <c r="R575" i="1"/>
  <c r="S575" i="1"/>
  <c r="Q576" i="1"/>
  <c r="R576" i="1"/>
  <c r="S576" i="1"/>
  <c r="Q645" i="1"/>
  <c r="R645" i="1"/>
  <c r="S645" i="1"/>
  <c r="Q676" i="1"/>
  <c r="R676" i="1"/>
  <c r="S676" i="1"/>
  <c r="Q670" i="1"/>
  <c r="R670" i="1"/>
  <c r="S670" i="1"/>
  <c r="Q674" i="1"/>
  <c r="R674" i="1"/>
  <c r="S674" i="1"/>
  <c r="Q675" i="1"/>
  <c r="R675" i="1"/>
  <c r="S675" i="1"/>
  <c r="Q727" i="1"/>
  <c r="R727" i="1"/>
  <c r="S727" i="1"/>
  <c r="Q728" i="1"/>
  <c r="R728" i="1"/>
  <c r="S728" i="1"/>
  <c r="Q753" i="1"/>
  <c r="R753" i="1"/>
  <c r="S753" i="1"/>
  <c r="Q766" i="1"/>
  <c r="R766" i="1"/>
  <c r="S766" i="1"/>
  <c r="Q777" i="1"/>
  <c r="R777" i="1"/>
  <c r="S777" i="1"/>
  <c r="Q780" i="1"/>
  <c r="R780" i="1"/>
  <c r="S780" i="1"/>
  <c r="Q790" i="1"/>
  <c r="R790" i="1"/>
  <c r="S790" i="1"/>
  <c r="Q772" i="1"/>
  <c r="R772" i="1"/>
  <c r="S772" i="1"/>
  <c r="Q773" i="1"/>
  <c r="R773" i="1"/>
  <c r="S773" i="1"/>
  <c r="Q792" i="1"/>
  <c r="R792" i="1"/>
  <c r="S792" i="1"/>
  <c r="Q810" i="1"/>
  <c r="R810" i="1"/>
  <c r="S810" i="1"/>
  <c r="Q13" i="1"/>
  <c r="R13" i="1"/>
  <c r="S13" i="1"/>
  <c r="Q21" i="1"/>
  <c r="R21" i="1"/>
  <c r="S21" i="1"/>
  <c r="Q30" i="1"/>
  <c r="R30" i="1"/>
  <c r="S30" i="1"/>
  <c r="Q96" i="1"/>
  <c r="R96" i="1"/>
  <c r="S96" i="1"/>
  <c r="Q97" i="1"/>
  <c r="R97" i="1"/>
  <c r="S97" i="1"/>
  <c r="Q98" i="1"/>
  <c r="R98" i="1"/>
  <c r="S98" i="1"/>
  <c r="Q123" i="1"/>
  <c r="R123" i="1"/>
  <c r="S123" i="1"/>
  <c r="Q125" i="1"/>
  <c r="R125" i="1"/>
  <c r="S125" i="1"/>
  <c r="Q129" i="1"/>
  <c r="R129" i="1"/>
  <c r="S129" i="1"/>
  <c r="Q156" i="1"/>
  <c r="R156" i="1"/>
  <c r="S156" i="1"/>
  <c r="Q180" i="1"/>
  <c r="R180" i="1"/>
  <c r="S180" i="1"/>
  <c r="Q257" i="1"/>
  <c r="R257" i="1"/>
  <c r="S257" i="1"/>
  <c r="Q261" i="1"/>
  <c r="R261" i="1"/>
  <c r="S261" i="1"/>
  <c r="Q264" i="1"/>
  <c r="R264" i="1"/>
  <c r="S264" i="1"/>
  <c r="Q285" i="1"/>
  <c r="R285" i="1"/>
  <c r="S285" i="1"/>
  <c r="Q287" i="1"/>
  <c r="R287" i="1"/>
  <c r="S287" i="1"/>
  <c r="Q290" i="1"/>
  <c r="R290" i="1"/>
  <c r="S290" i="1"/>
  <c r="Q293" i="1"/>
  <c r="R293" i="1"/>
  <c r="S293" i="1"/>
  <c r="Q322" i="1"/>
  <c r="R322" i="1"/>
  <c r="S322" i="1"/>
  <c r="Q403" i="1"/>
  <c r="R403" i="1"/>
  <c r="S403" i="1"/>
  <c r="Q385" i="1"/>
  <c r="R385" i="1"/>
  <c r="S385" i="1"/>
  <c r="Q395" i="1"/>
  <c r="R395" i="1"/>
  <c r="S395" i="1"/>
  <c r="Q396" i="1"/>
  <c r="R396" i="1"/>
  <c r="S396" i="1"/>
  <c r="Q407" i="1"/>
  <c r="R407" i="1"/>
  <c r="S407" i="1"/>
  <c r="Q392" i="1"/>
  <c r="R392" i="1"/>
  <c r="S392" i="1"/>
  <c r="Q393" i="1"/>
  <c r="R393" i="1"/>
  <c r="S393" i="1"/>
  <c r="Q452" i="1"/>
  <c r="R452" i="1"/>
  <c r="S452" i="1"/>
  <c r="Q453" i="1"/>
  <c r="R453" i="1"/>
  <c r="S453" i="1"/>
  <c r="Q493" i="1"/>
  <c r="R493" i="1"/>
  <c r="S493" i="1"/>
  <c r="Q503" i="1"/>
  <c r="R503" i="1"/>
  <c r="S503" i="1"/>
  <c r="Q535" i="1"/>
  <c r="R535" i="1"/>
  <c r="S535" i="1"/>
  <c r="Q559" i="1"/>
  <c r="R559" i="1"/>
  <c r="S559" i="1"/>
  <c r="Q560" i="1"/>
  <c r="R560" i="1"/>
  <c r="S560" i="1"/>
  <c r="Q564" i="1"/>
  <c r="R564" i="1"/>
  <c r="S564" i="1"/>
  <c r="Q667" i="1"/>
  <c r="R667" i="1"/>
  <c r="S667" i="1"/>
  <c r="Q721" i="1"/>
  <c r="R721" i="1"/>
  <c r="S721" i="1"/>
  <c r="Q722" i="1"/>
  <c r="R722" i="1"/>
  <c r="S722" i="1"/>
  <c r="Q729" i="1"/>
  <c r="R729" i="1"/>
  <c r="S729" i="1"/>
  <c r="Q784" i="1"/>
  <c r="R784" i="1"/>
  <c r="S784" i="1"/>
  <c r="Q785" i="1"/>
  <c r="R785" i="1"/>
  <c r="S785" i="1"/>
  <c r="Q769" i="1"/>
  <c r="R769" i="1"/>
  <c r="S769" i="1"/>
  <c r="Q774" i="1"/>
  <c r="R774" i="1"/>
  <c r="S774" i="1"/>
  <c r="Q99" i="1"/>
  <c r="R99" i="1"/>
  <c r="S99" i="1"/>
  <c r="Q102" i="1"/>
  <c r="R102" i="1"/>
  <c r="S102" i="1"/>
  <c r="Q148" i="1"/>
  <c r="R148" i="1"/>
  <c r="S148" i="1"/>
  <c r="Q262" i="1"/>
  <c r="R262" i="1"/>
  <c r="S262" i="1"/>
  <c r="Q388" i="1"/>
  <c r="R388" i="1"/>
  <c r="S388" i="1"/>
  <c r="Q455" i="1"/>
  <c r="R455" i="1"/>
  <c r="S455" i="1"/>
  <c r="Q456" i="1"/>
  <c r="R456" i="1"/>
  <c r="S456" i="1"/>
  <c r="Q475" i="1"/>
  <c r="R475" i="1"/>
  <c r="S475" i="1"/>
  <c r="Q508" i="1"/>
  <c r="R508" i="1"/>
  <c r="S508" i="1"/>
  <c r="Q510" i="1"/>
  <c r="R510" i="1"/>
  <c r="S510" i="1"/>
  <c r="Q751" i="1"/>
  <c r="R751" i="1"/>
  <c r="S751" i="1"/>
  <c r="Q767" i="1"/>
  <c r="R767" i="1"/>
  <c r="S767" i="1"/>
  <c r="Q783" i="1"/>
  <c r="R783" i="1"/>
  <c r="S783" i="1"/>
  <c r="Q12" i="1"/>
  <c r="R12" i="1"/>
  <c r="S12" i="1"/>
  <c r="Q202" i="1"/>
  <c r="R202" i="1"/>
  <c r="S202" i="1"/>
  <c r="Q209" i="1"/>
  <c r="R209" i="1"/>
  <c r="S209" i="1"/>
  <c r="Q284" i="1"/>
  <c r="R284" i="1"/>
  <c r="S284" i="1"/>
  <c r="Q454" i="1"/>
  <c r="R454" i="1"/>
  <c r="S454" i="1"/>
  <c r="Q502" i="1"/>
  <c r="R502" i="1"/>
  <c r="S502" i="1"/>
  <c r="Q506" i="1"/>
  <c r="R506" i="1"/>
  <c r="S506" i="1"/>
  <c r="Q557" i="1"/>
  <c r="R557" i="1"/>
  <c r="S557" i="1"/>
  <c r="Q669" i="1"/>
  <c r="R669" i="1"/>
  <c r="S669" i="1"/>
  <c r="Q723" i="1"/>
  <c r="R723" i="1"/>
  <c r="S723" i="1"/>
  <c r="Q775" i="1"/>
  <c r="R775" i="1"/>
  <c r="S775" i="1"/>
  <c r="Q768" i="1"/>
  <c r="R768" i="1"/>
  <c r="S768" i="1"/>
  <c r="Q126" i="1"/>
  <c r="R126" i="1"/>
  <c r="S126" i="1"/>
  <c r="Q121" i="1"/>
  <c r="R121" i="1"/>
  <c r="S121" i="1"/>
  <c r="Q379" i="1"/>
  <c r="R379" i="1"/>
  <c r="S379" i="1"/>
  <c r="Q622" i="1"/>
  <c r="R622" i="1"/>
  <c r="S622" i="1"/>
  <c r="Q606" i="1"/>
  <c r="R606" i="1"/>
  <c r="S606" i="1"/>
  <c r="Q611" i="1"/>
  <c r="R611" i="1"/>
  <c r="S611" i="1"/>
  <c r="Q383" i="1"/>
  <c r="R383" i="1"/>
  <c r="S383" i="1"/>
  <c r="Q624" i="1"/>
  <c r="R624" i="1"/>
  <c r="S624" i="1"/>
  <c r="Q608" i="1"/>
  <c r="R608" i="1"/>
  <c r="S608" i="1"/>
  <c r="Q612" i="1"/>
  <c r="R612" i="1"/>
  <c r="S612" i="1"/>
  <c r="Q710" i="1"/>
  <c r="R710" i="1"/>
  <c r="S710" i="1"/>
  <c r="Q711" i="1"/>
  <c r="R711" i="1"/>
  <c r="S711" i="1"/>
  <c r="Q214" i="1"/>
  <c r="R214" i="1"/>
  <c r="S214" i="1"/>
  <c r="Q241" i="1"/>
  <c r="R241" i="1"/>
  <c r="S241" i="1"/>
  <c r="Q380" i="1"/>
  <c r="R380" i="1"/>
  <c r="S380" i="1"/>
  <c r="Q623" i="1"/>
  <c r="R623" i="1"/>
  <c r="S623" i="1"/>
  <c r="Q626" i="1"/>
  <c r="R626" i="1"/>
  <c r="S626" i="1"/>
  <c r="Q627" i="1"/>
  <c r="R627" i="1"/>
  <c r="S627" i="1"/>
  <c r="Q609" i="1"/>
  <c r="R609" i="1"/>
  <c r="S609" i="1"/>
  <c r="Q630" i="1"/>
  <c r="R630" i="1"/>
  <c r="S630" i="1"/>
  <c r="Q216" i="1"/>
  <c r="R216" i="1"/>
  <c r="S216" i="1"/>
  <c r="Q365" i="1"/>
  <c r="R365" i="1"/>
  <c r="S365" i="1"/>
  <c r="Q374" i="1"/>
  <c r="R374" i="1"/>
  <c r="S374" i="1"/>
  <c r="Q366" i="1"/>
  <c r="R366" i="1"/>
  <c r="S366" i="1"/>
  <c r="Q434" i="1"/>
  <c r="R434" i="1"/>
  <c r="S434" i="1"/>
  <c r="Q604" i="1"/>
  <c r="R604" i="1"/>
  <c r="S604" i="1"/>
  <c r="Q605" i="1"/>
  <c r="R605" i="1"/>
  <c r="S605" i="1"/>
  <c r="Q625" i="1"/>
  <c r="R625" i="1"/>
  <c r="S625" i="1"/>
  <c r="Q607" i="1"/>
  <c r="R607" i="1"/>
  <c r="S607" i="1"/>
  <c r="Q618" i="1"/>
  <c r="R618" i="1"/>
  <c r="S618" i="1"/>
  <c r="Q610" i="1"/>
  <c r="R610" i="1"/>
  <c r="S610" i="1"/>
  <c r="Q699" i="1"/>
  <c r="R699" i="1"/>
  <c r="S699" i="1"/>
  <c r="Q693" i="1"/>
  <c r="R693" i="1"/>
  <c r="S693" i="1"/>
  <c r="Q70" i="1"/>
  <c r="R70" i="1"/>
  <c r="S70" i="1"/>
  <c r="Q221" i="1"/>
  <c r="R221" i="1"/>
  <c r="S221" i="1"/>
  <c r="Q339" i="1"/>
  <c r="R339" i="1"/>
  <c r="S339" i="1"/>
  <c r="Q358" i="1"/>
  <c r="R358" i="1"/>
  <c r="S358" i="1"/>
  <c r="Q359" i="1"/>
  <c r="R359" i="1"/>
  <c r="S359" i="1"/>
  <c r="Q361" i="1"/>
  <c r="R361" i="1"/>
  <c r="S361" i="1"/>
  <c r="Q362" i="1"/>
  <c r="R362" i="1"/>
  <c r="S362" i="1"/>
  <c r="Q381" i="1"/>
  <c r="R381" i="1"/>
  <c r="S381" i="1"/>
  <c r="Q431" i="1"/>
  <c r="R431" i="1"/>
  <c r="S431" i="1"/>
  <c r="Q437" i="1"/>
  <c r="R437" i="1"/>
  <c r="S437" i="1"/>
  <c r="Q521" i="1"/>
  <c r="R521" i="1"/>
  <c r="S521" i="1"/>
  <c r="S597" i="1"/>
  <c r="R597" i="1"/>
  <c r="Q597" i="1"/>
  <c r="X1" i="1" l="1"/>
</calcChain>
</file>

<file path=xl/sharedStrings.xml><?xml version="1.0" encoding="utf-8"?>
<sst xmlns="http://schemas.openxmlformats.org/spreadsheetml/2006/main" count="4200" uniqueCount="2532">
  <si>
    <t>run_index</t>
  </si>
  <si>
    <t>mode</t>
  </si>
  <si>
    <t>avoidance</t>
  </si>
  <si>
    <t>repeat_index</t>
  </si>
  <si>
    <t>seed</t>
  </si>
  <si>
    <t>watch_text_found</t>
  </si>
  <si>
    <t>last_ball_time</t>
  </si>
  <si>
    <t>total_balls_taken</t>
  </si>
  <si>
    <t>collision_count</t>
  </si>
  <si>
    <t>total_contact_time</t>
  </si>
  <si>
    <t>ball_history_last_line</t>
  </si>
  <si>
    <t>process_return_code</t>
  </si>
  <si>
    <t>process_error</t>
  </si>
  <si>
    <t>started_at</t>
  </si>
  <si>
    <t>finished_at</t>
  </si>
  <si>
    <t>source_instance</t>
  </si>
  <si>
    <t>realistic_nearest</t>
  </si>
  <si>
    <t>68.120,28</t>
  </si>
  <si>
    <t>2026-02-17T18:50:43.427549</t>
  </si>
  <si>
    <t>2026-02-17T18:54:56.658336</t>
  </si>
  <si>
    <t>tools</t>
  </si>
  <si>
    <t>improved_nearest</t>
  </si>
  <si>
    <t>51.176,30</t>
  </si>
  <si>
    <t>2026-02-17T18:54:57.692707</t>
  </si>
  <si>
    <t>2026-02-17T18:59:39.508345</t>
  </si>
  <si>
    <t>nearest</t>
  </si>
  <si>
    <t>38.084,33</t>
  </si>
  <si>
    <t>2026-02-17T18:59:40.520274</t>
  </si>
  <si>
    <t>2026-02-17T19:01:44.538874</t>
  </si>
  <si>
    <t>120.784,25</t>
  </si>
  <si>
    <t>2026-02-17T19:01:45.550261</t>
  </si>
  <si>
    <t>2026-02-17T19:09:32.392280</t>
  </si>
  <si>
    <t>77.540,26</t>
  </si>
  <si>
    <t>2026-02-17T19:09:33.394656</t>
  </si>
  <si>
    <t>2026-02-17T19:15:32.220714</t>
  </si>
  <si>
    <t>44.780,31</t>
  </si>
  <si>
    <t>2026-02-17T19:15:33.227098</t>
  </si>
  <si>
    <t>2026-02-17T19:18:59.340535</t>
  </si>
  <si>
    <t>45.972,27</t>
  </si>
  <si>
    <t>2026-02-17T19:19:00.345729</t>
  </si>
  <si>
    <t>2026-02-17T19:23:10.050117</t>
  </si>
  <si>
    <t>107.992,29</t>
  </si>
  <si>
    <t>2026-02-17T19:23:11.062394</t>
  </si>
  <si>
    <t>2026-02-17T19:31:00.378021</t>
  </si>
  <si>
    <t>53.568,29</t>
  </si>
  <si>
    <t>2026-02-17T19:31:01.388957</t>
  </si>
  <si>
    <t>2026-02-17T19:34:36.556690</t>
  </si>
  <si>
    <t>103.596,25</t>
  </si>
  <si>
    <t>2026-02-17T19:34:37.562515</t>
  </si>
  <si>
    <t>2026-02-17T19:42:33.456720</t>
  </si>
  <si>
    <t>75.572,26</t>
  </si>
  <si>
    <t>2026-02-17T19:42:34.467678</t>
  </si>
  <si>
    <t>2026-02-17T19:47:33.906513</t>
  </si>
  <si>
    <t>59.376,29</t>
  </si>
  <si>
    <t>2026-02-17T19:47:34.916499</t>
  </si>
  <si>
    <t>2026-02-17T19:51:37.722791</t>
  </si>
  <si>
    <t>87.276,26</t>
  </si>
  <si>
    <t>2026-02-17T19:51:38.733936</t>
  </si>
  <si>
    <t>2026-02-17T19:57:56.730737</t>
  </si>
  <si>
    <t>51.612,24</t>
  </si>
  <si>
    <t>2026-02-17T19:57:57.736288</t>
  </si>
  <si>
    <t>2026-02-17T20:02:09.479953</t>
  </si>
  <si>
    <t>60.280,30</t>
  </si>
  <si>
    <t>2026-02-17T20:02:10.482686</t>
  </si>
  <si>
    <t>2026-02-17T20:05:04.625001</t>
  </si>
  <si>
    <t>84.976,25</t>
  </si>
  <si>
    <t>2026-02-17T20:05:05.635843</t>
  </si>
  <si>
    <t>2026-02-17T20:10:22.763696</t>
  </si>
  <si>
    <t>82.272,29</t>
  </si>
  <si>
    <t>2026-02-17T20:10:23.771513</t>
  </si>
  <si>
    <t>2026-02-17T20:16:11.243864</t>
  </si>
  <si>
    <t>46.420,29</t>
  </si>
  <si>
    <t>2026-02-17T20:16:12.254811</t>
  </si>
  <si>
    <t>2026-02-17T20:18:29.416026</t>
  </si>
  <si>
    <t>52.332,28</t>
  </si>
  <si>
    <t>2026-02-17T20:18:30.426988</t>
  </si>
  <si>
    <t>2026-02-17T20:21:32.144631</t>
  </si>
  <si>
    <t>60.572,27</t>
  </si>
  <si>
    <t>2026-02-17T20:21:33.155823</t>
  </si>
  <si>
    <t>2026-02-17T20:26:11.264518</t>
  </si>
  <si>
    <t>47.132,27</t>
  </si>
  <si>
    <t>2026-02-17T20:26:12.276096</t>
  </si>
  <si>
    <t>2026-02-17T20:29:42.158503</t>
  </si>
  <si>
    <t>49.460,29</t>
  </si>
  <si>
    <t>2026-02-17T20:29:43.160962</t>
  </si>
  <si>
    <t>2026-02-17T20:34:01.507594</t>
  </si>
  <si>
    <t>64.988,25</t>
  </si>
  <si>
    <t>2026-02-17T20:34:02.511103</t>
  </si>
  <si>
    <t>2026-02-17T20:38:28.762009</t>
  </si>
  <si>
    <t>46.916,27</t>
  </si>
  <si>
    <t>2026-02-17T20:38:29.772272</t>
  </si>
  <si>
    <t>2026-02-17T20:41:55.619688</t>
  </si>
  <si>
    <t>48.404,31</t>
  </si>
  <si>
    <t>2026-02-17T20:41:56.629870</t>
  </si>
  <si>
    <t>2026-02-17T20:45:35.443350</t>
  </si>
  <si>
    <t>60.932,27</t>
  </si>
  <si>
    <t>2026-02-17T20:45:36.449406</t>
  </si>
  <si>
    <t>2026-02-17T20:49:44.845106</t>
  </si>
  <si>
    <t>48.444,29</t>
  </si>
  <si>
    <t>2026-02-17T20:49:45.855700</t>
  </si>
  <si>
    <t>2026-02-17T20:53:43.478753</t>
  </si>
  <si>
    <t>62.156,29</t>
  </si>
  <si>
    <t>2026-02-17T20:53:44.490275</t>
  </si>
  <si>
    <t>2026-02-17T20:58:17.145906</t>
  </si>
  <si>
    <t>57.680,25</t>
  </si>
  <si>
    <t>2026-02-17T20:58:18.155727</t>
  </si>
  <si>
    <t>2026-02-17T21:03:08.694580</t>
  </si>
  <si>
    <t>46.496,31</t>
  </si>
  <si>
    <t>2026-02-17T21:03:09.707549</t>
  </si>
  <si>
    <t>2026-02-17T21:04:32.797575</t>
  </si>
  <si>
    <t>60.040,27</t>
  </si>
  <si>
    <t>2026-02-17T18:50:43.427590</t>
  </si>
  <si>
    <t>2026-02-17T18:55:27.929008</t>
  </si>
  <si>
    <t>73.020,29</t>
  </si>
  <si>
    <t>2026-02-17T18:55:28.934711</t>
  </si>
  <si>
    <t>2026-02-17T19:00:23.297740</t>
  </si>
  <si>
    <t>37.392,33</t>
  </si>
  <si>
    <t>2026-02-17T19:00:24.308685</t>
  </si>
  <si>
    <t>2026-02-17T19:02:21.474308</t>
  </si>
  <si>
    <t>112.240,25</t>
  </si>
  <si>
    <t>2026-02-17T19:02:22.483114</t>
  </si>
  <si>
    <t>2026-02-17T19:08:35.230247</t>
  </si>
  <si>
    <t>99.216,29</t>
  </si>
  <si>
    <t>2026-02-17T19:08:36.241157</t>
  </si>
  <si>
    <t>2026-02-17T19:15:48.395886</t>
  </si>
  <si>
    <t>44.496,31</t>
  </si>
  <si>
    <t>2026-02-17T19:15:49.397842</t>
  </si>
  <si>
    <t>2026-02-17T19:18:24.305018</t>
  </si>
  <si>
    <t>59.860,28</t>
  </si>
  <si>
    <t>2026-02-17T19:18:25.310658</t>
  </si>
  <si>
    <t>2026-02-17T19:21:36.462409</t>
  </si>
  <si>
    <t>88.436,29</t>
  </si>
  <si>
    <t>2026-02-17T19:21:37.471257</t>
  </si>
  <si>
    <t>2026-02-17T19:27:33.935547</t>
  </si>
  <si>
    <t>52.584,29</t>
  </si>
  <si>
    <t>2026-02-17T19:27:34.944148</t>
  </si>
  <si>
    <t>2026-02-17T19:30:38.312882</t>
  </si>
  <si>
    <t>54.536,28</t>
  </si>
  <si>
    <t>2026-02-17T19:30:39.321089</t>
  </si>
  <si>
    <t>2026-02-17T19:34:58.591063</t>
  </si>
  <si>
    <t>55.836,28</t>
  </si>
  <si>
    <t>2026-02-17T19:34:59.601997</t>
  </si>
  <si>
    <t>2026-02-17T19:40:24.753726</t>
  </si>
  <si>
    <t>38.208,31</t>
  </si>
  <si>
    <t>2026-02-17T19:40:25.765019</t>
  </si>
  <si>
    <t>2026-02-17T19:42:55.036077</t>
  </si>
  <si>
    <t>113.948,26</t>
  </si>
  <si>
    <t>2026-02-17T19:42:56.045780</t>
  </si>
  <si>
    <t>2026-02-17T19:49:45.972901</t>
  </si>
  <si>
    <t>98.624,25</t>
  </si>
  <si>
    <t>2026-02-17T19:49:46.982161</t>
  </si>
  <si>
    <t>2026-02-17T19:55:42.486515</t>
  </si>
  <si>
    <t>51.136,30</t>
  </si>
  <si>
    <t>2026-02-17T19:55:43.497743</t>
  </si>
  <si>
    <t>2026-02-17T19:58:48.204375</t>
  </si>
  <si>
    <t>67.580,25</t>
  </si>
  <si>
    <t>2026-02-17T19:58:49.208141</t>
  </si>
  <si>
    <t>2026-02-17T20:02:55.806256</t>
  </si>
  <si>
    <t>91.768,27</t>
  </si>
  <si>
    <t>2026-02-17T20:02:56.816511</t>
  </si>
  <si>
    <t>2026-02-17T20:09:46.840573</t>
  </si>
  <si>
    <t>42.912,26</t>
  </si>
  <si>
    <t>2026-02-17T20:09:47.851538</t>
  </si>
  <si>
    <t>2026-02-17T20:13:50.671962</t>
  </si>
  <si>
    <t>59.484,27</t>
  </si>
  <si>
    <t>2026-02-17T20:13:51.675815</t>
  </si>
  <si>
    <t>2026-02-17T20:17:24.862630</t>
  </si>
  <si>
    <t>83.560,29</t>
  </si>
  <si>
    <t>2026-02-17T20:17:25.873993</t>
  </si>
  <si>
    <t>2026-02-17T20:23:49.328567</t>
  </si>
  <si>
    <t>29.048,31</t>
  </si>
  <si>
    <t>2026-02-17T20:23:50.340034</t>
  </si>
  <si>
    <t>2026-02-17T20:25:57.444343</t>
  </si>
  <si>
    <t>54.824,27</t>
  </si>
  <si>
    <t>2026-02-17T20:25:58.455721</t>
  </si>
  <si>
    <t>2026-02-17T20:28:34.961348</t>
  </si>
  <si>
    <t>62.548,27</t>
  </si>
  <si>
    <t>2026-02-17T20:28:35.972253</t>
  </si>
  <si>
    <t>2026-02-17T20:32:26.305367</t>
  </si>
  <si>
    <t>33.672,30</t>
  </si>
  <si>
    <t>2026-02-17T20:32:27.315874</t>
  </si>
  <si>
    <t>2026-02-17T20:34:59.411150</t>
  </si>
  <si>
    <t>86.744,26</t>
  </si>
  <si>
    <t>2026-02-17T20:35:00.419311</t>
  </si>
  <si>
    <t>2026-02-17T20:41:53.139821</t>
  </si>
  <si>
    <t>65.864,28</t>
  </si>
  <si>
    <t>2026-02-17T20:41:54.146806</t>
  </si>
  <si>
    <t>2026-02-17T20:47:06.352413</t>
  </si>
  <si>
    <t>46.116,30</t>
  </si>
  <si>
    <t>2026-02-17T20:47:07.359372</t>
  </si>
  <si>
    <t>2026-02-17T20:50:35.549642</t>
  </si>
  <si>
    <t>75.728,27</t>
  </si>
  <si>
    <t>2026-02-17T20:50:36.561551</t>
  </si>
  <si>
    <t>2026-02-17T20:55:31.205154</t>
  </si>
  <si>
    <t>61.768,27</t>
  </si>
  <si>
    <t>2026-02-17T20:55:32.210186</t>
  </si>
  <si>
    <t>2026-02-17T20:59:41.180205</t>
  </si>
  <si>
    <t>40.180,31</t>
  </si>
  <si>
    <t>2026-02-17T20:59:42.183179</t>
  </si>
  <si>
    <t>2026-02-17T21:02:42.474584</t>
  </si>
  <si>
    <t>65.732,30</t>
  </si>
  <si>
    <t>2026-02-17T18:50:43.427429</t>
  </si>
  <si>
    <t>2026-02-17T18:54:50.323721</t>
  </si>
  <si>
    <t>73.668,28</t>
  </si>
  <si>
    <t>2026-02-17T18:54:51.330140</t>
  </si>
  <si>
    <t>2026-02-17T18:59:50.113845</t>
  </si>
  <si>
    <t>38.304,33</t>
  </si>
  <si>
    <t>2026-02-17T18:59:51.117333</t>
  </si>
  <si>
    <t>2026-02-17T19:02:39.111176</t>
  </si>
  <si>
    <t>62.072,29</t>
  </si>
  <si>
    <t>2026-02-17T19:02:40.121636</t>
  </si>
  <si>
    <t>2026-02-17T19:07:51.279168</t>
  </si>
  <si>
    <t>73.524,23</t>
  </si>
  <si>
    <t>2026-02-17T19:07:52.290222</t>
  </si>
  <si>
    <t>2026-02-17T19:14:22.405212</t>
  </si>
  <si>
    <t>58.440,30</t>
  </si>
  <si>
    <t>2026-02-17T19:14:23.411654</t>
  </si>
  <si>
    <t>2026-02-17T19:18:01.652656</t>
  </si>
  <si>
    <t>67.768,29</t>
  </si>
  <si>
    <t>2026-02-17T19:18:02.655066</t>
  </si>
  <si>
    <t>2026-02-17T19:22:51.755608</t>
  </si>
  <si>
    <t>75.084,23</t>
  </si>
  <si>
    <t>2026-02-17T19:22:52.766870</t>
  </si>
  <si>
    <t>2026-02-17T19:27:44.728512</t>
  </si>
  <si>
    <t>41.060,31</t>
  </si>
  <si>
    <t>2026-02-17T19:27:45.740844</t>
  </si>
  <si>
    <t>2026-02-17T19:31:08.939530</t>
  </si>
  <si>
    <t>89.480,29</t>
  </si>
  <si>
    <t>2026-02-17T19:31:09.950882</t>
  </si>
  <si>
    <t>2026-02-17T19:36:32.966244</t>
  </si>
  <si>
    <t>75.480,23</t>
  </si>
  <si>
    <t>2026-02-17T19:36:33.969778</t>
  </si>
  <si>
    <t>2026-02-17T19:42:17.340564</t>
  </si>
  <si>
    <t>55.076,31</t>
  </si>
  <si>
    <t>2026-02-17T19:42:18.352045</t>
  </si>
  <si>
    <t>2026-02-17T19:47:04.189937</t>
  </si>
  <si>
    <t>89.200,29</t>
  </si>
  <si>
    <t>2026-02-17T19:47:05.200063</t>
  </si>
  <si>
    <t>2026-02-17T19:53:22.289193</t>
  </si>
  <si>
    <t>95.472,23</t>
  </si>
  <si>
    <t>2026-02-17T19:53:23.300308</t>
  </si>
  <si>
    <t>2026-02-17T20:00:42.062765</t>
  </si>
  <si>
    <t>42.872,28</t>
  </si>
  <si>
    <t>2026-02-17T20:00:43.067531</t>
  </si>
  <si>
    <t>2026-02-17T20:04:00.918317</t>
  </si>
  <si>
    <t>93.124,29</t>
  </si>
  <si>
    <t>2026-02-17T20:04:01.930216</t>
  </si>
  <si>
    <t>2026-02-17T20:10:30.461725</t>
  </si>
  <si>
    <t>68.024,24</t>
  </si>
  <si>
    <t>2026-02-17T20:10:31.463211</t>
  </si>
  <si>
    <t>2026-02-17T20:15:49.603168</t>
  </si>
  <si>
    <t>60.324,30</t>
  </si>
  <si>
    <t>2026-02-17T20:15:50.614877</t>
  </si>
  <si>
    <t>2026-02-17T20:20:15.623376</t>
  </si>
  <si>
    <t>111.884,29</t>
  </si>
  <si>
    <t>2026-02-17T20:20:16.629718</t>
  </si>
  <si>
    <t>2026-02-17T20:28:02.152780</t>
  </si>
  <si>
    <t>55.724,23</t>
  </si>
  <si>
    <t>2026-02-17T20:28:03.165460</t>
  </si>
  <si>
    <t>2026-02-17T20:32:25.443984</t>
  </si>
  <si>
    <t>44.244,30</t>
  </si>
  <si>
    <t>2026-02-17T20:32:26.450176</t>
  </si>
  <si>
    <t>2026-02-17T20:35:23.735495</t>
  </si>
  <si>
    <t>85.544,30</t>
  </si>
  <si>
    <t>2026-02-17T20:35:24.742622</t>
  </si>
  <si>
    <t>2026-02-17T20:40:57.673309</t>
  </si>
  <si>
    <t>91.644,24</t>
  </si>
  <si>
    <t>2026-02-17T20:40:58.682280</t>
  </si>
  <si>
    <t>2026-02-17T20:47:41.603672</t>
  </si>
  <si>
    <t>47.212,31</t>
  </si>
  <si>
    <t>2026-02-17T20:47:42.609927</t>
  </si>
  <si>
    <t>2026-02-17T20:50:29.139087</t>
  </si>
  <si>
    <t>89.696,30</t>
  </si>
  <si>
    <t>2026-02-17T20:50:30.146514</t>
  </si>
  <si>
    <t>2026-02-17T20:57:40.794066</t>
  </si>
  <si>
    <t>80.536,26</t>
  </si>
  <si>
    <t>2026-02-17T20:57:41.799821</t>
  </si>
  <si>
    <t>2026-02-17T21:02:57.880671</t>
  </si>
  <si>
    <t>48.104,26</t>
  </si>
  <si>
    <t>2026-02-17T21:02:58.886826</t>
  </si>
  <si>
    <t>2026-02-17T21:05:12.524103</t>
  </si>
  <si>
    <t>89.756,30</t>
  </si>
  <si>
    <t>2026-02-17T21:05:13.536677</t>
  </si>
  <si>
    <t>2026-02-17T21:07:13.710151</t>
  </si>
  <si>
    <t>60.596,23</t>
  </si>
  <si>
    <t>2026-02-17T21:07:14.724415</t>
  </si>
  <si>
    <t>2026-02-17T21:09:18.117433</t>
  </si>
  <si>
    <t>47.976,26</t>
  </si>
  <si>
    <t>2026-02-17T21:09:19.128329</t>
  </si>
  <si>
    <t>2026-02-17T21:10:27.464440</t>
  </si>
  <si>
    <t>56.036,24</t>
  </si>
  <si>
    <t>2026-02-17T21:18:51.900338</t>
  </si>
  <si>
    <t>2026-02-17T21:22:44.067067</t>
  </si>
  <si>
    <t>79.588,27</t>
  </si>
  <si>
    <t>2026-02-17T21:22:45.072773</t>
  </si>
  <si>
    <t>2026-02-17T21:28:32.574865</t>
  </si>
  <si>
    <t>45.200,25</t>
  </si>
  <si>
    <t>2026-02-17T21:28:33.580120</t>
  </si>
  <si>
    <t>2026-02-17T21:31:56.075424</t>
  </si>
  <si>
    <t>95.972,26</t>
  </si>
  <si>
    <t>2026-02-17T21:31:57.081232</t>
  </si>
  <si>
    <t>2026-02-17T21:37:47.622193</t>
  </si>
  <si>
    <t>53.328,29</t>
  </si>
  <si>
    <t>2026-02-17T21:37:48.633358</t>
  </si>
  <si>
    <t>2026-02-17T21:42:30.173601</t>
  </si>
  <si>
    <t>46.748,24</t>
  </si>
  <si>
    <t>2026-02-17T21:42:31.175872</t>
  </si>
  <si>
    <t>2026-02-17T21:46:01.498275</t>
  </si>
  <si>
    <t>105.944,27</t>
  </si>
  <si>
    <t>2026-02-17T21:46:02.520324</t>
  </si>
  <si>
    <t>2026-02-17T21:53:12.875701</t>
  </si>
  <si>
    <t>65.160,26</t>
  </si>
  <si>
    <t>2026-02-17T21:53:13.888125</t>
  </si>
  <si>
    <t>2026-02-17T21:59:09.128353</t>
  </si>
  <si>
    <t>34.304,27</t>
  </si>
  <si>
    <t>2026-02-17T21:59:10.131119</t>
  </si>
  <si>
    <t>2026-02-17T22:01:33.331764</t>
  </si>
  <si>
    <t>85.576,26</t>
  </si>
  <si>
    <t>2026-02-17T22:01:34.336827</t>
  </si>
  <si>
    <t>2026-02-17T22:07:39.279035</t>
  </si>
  <si>
    <t>69.728,24</t>
  </si>
  <si>
    <t>2026-02-17T22:07:40.291184</t>
  </si>
  <si>
    <t>2026-02-17T22:13:06.085310</t>
  </si>
  <si>
    <t>44.528,25</t>
  </si>
  <si>
    <t>2026-02-17T22:13:07.091004</t>
  </si>
  <si>
    <t>2026-02-17T22:16:14.682479</t>
  </si>
  <si>
    <t>82.992,25</t>
  </si>
  <si>
    <t>2026-02-17T22:16:15.689249</t>
  </si>
  <si>
    <t>2026-02-17T22:22:33.565624</t>
  </si>
  <si>
    <t>82.928,29</t>
  </si>
  <si>
    <t>2026-02-17T22:22:34.572834</t>
  </si>
  <si>
    <t>2026-02-17T22:27:56.513301</t>
  </si>
  <si>
    <t>44.604,26</t>
  </si>
  <si>
    <t>2026-02-17T22:27:57.526768</t>
  </si>
  <si>
    <t>2026-02-17T22:31:25.208913</t>
  </si>
  <si>
    <t>83.996,27</t>
  </si>
  <si>
    <t>2026-02-17T22:31:26.220840</t>
  </si>
  <si>
    <t>2026-02-17T22:37:11.006946</t>
  </si>
  <si>
    <t>53.096,27</t>
  </si>
  <si>
    <t>2026-02-17T22:37:12.020963</t>
  </si>
  <si>
    <t>2026-02-17T22:42:03.887441</t>
  </si>
  <si>
    <t>39.368,26</t>
  </si>
  <si>
    <t>2026-02-17T22:42:04.895739</t>
  </si>
  <si>
    <t>2026-02-17T22:44:38.469687</t>
  </si>
  <si>
    <t>67.272,29</t>
  </si>
  <si>
    <t>2026-02-17T22:44:39.478755</t>
  </si>
  <si>
    <t>2026-02-17T22:49:35.617897</t>
  </si>
  <si>
    <t>132.748,24</t>
  </si>
  <si>
    <t>2026-02-17T22:49:36.622457</t>
  </si>
  <si>
    <t>2026-02-17T22:59:55.431829</t>
  </si>
  <si>
    <t>52.604,28</t>
  </si>
  <si>
    <t>2026-02-17T22:59:56.444608</t>
  </si>
  <si>
    <t>2026-02-17T23:03:58.150623</t>
  </si>
  <si>
    <t>93.772,27</t>
  </si>
  <si>
    <t>2026-02-17T23:03:59.158361</t>
  </si>
  <si>
    <t>2026-02-17T23:10:32.829159</t>
  </si>
  <si>
    <t>59.616,27</t>
  </si>
  <si>
    <t>2026-02-17T23:10:33.842916</t>
  </si>
  <si>
    <t>2026-02-17T23:14:42.136975</t>
  </si>
  <si>
    <t>38.932,26</t>
  </si>
  <si>
    <t>2026-02-17T23:14:43.138431</t>
  </si>
  <si>
    <t>2026-02-17T23:17:01.315909</t>
  </si>
  <si>
    <t>88.700,28</t>
  </si>
  <si>
    <t>2026-02-17T23:17:02.320963</t>
  </si>
  <si>
    <t>2026-02-17T23:22:19.747143</t>
  </si>
  <si>
    <t>58.308,25</t>
  </si>
  <si>
    <t>2026-02-17T23:22:20.758682</t>
  </si>
  <si>
    <t>2026-02-17T23:27:37.377417</t>
  </si>
  <si>
    <t>39.068,26</t>
  </si>
  <si>
    <t>2026-02-17T23:27:38.378850</t>
  </si>
  <si>
    <t>2026-02-17T23:29:14.526330</t>
  </si>
  <si>
    <t>57.948,31</t>
  </si>
  <si>
    <t>2026-02-17T21:18:51.900290</t>
  </si>
  <si>
    <t>2026-02-17T21:22:37.118003</t>
  </si>
  <si>
    <t>49.992,30</t>
  </si>
  <si>
    <t>2026-02-17T21:22:38.125146</t>
  </si>
  <si>
    <t>2026-02-17T21:27:50.802389</t>
  </si>
  <si>
    <t>37.816,25</t>
  </si>
  <si>
    <t>2026-02-17T21:27:51.813222</t>
  </si>
  <si>
    <t>2026-02-17T21:30:42.271622</t>
  </si>
  <si>
    <t>93.708,27</t>
  </si>
  <si>
    <t>2026-02-17T21:30:43.279659</t>
  </si>
  <si>
    <t>2026-02-17T21:36:57.278230</t>
  </si>
  <si>
    <t>39.976,28</t>
  </si>
  <si>
    <t>2026-02-17T21:36:58.289794</t>
  </si>
  <si>
    <t>2026-02-17T21:41:37.339145</t>
  </si>
  <si>
    <t>53.048,26</t>
  </si>
  <si>
    <t>2026-02-17T21:41:38.343857</t>
  </si>
  <si>
    <t>2026-02-17T21:45:15.348912</t>
  </si>
  <si>
    <t>76.324,22</t>
  </si>
  <si>
    <t>2026-02-17T21:45:16.360073</t>
  </si>
  <si>
    <t>2026-02-17T21:50:18.955611</t>
  </si>
  <si>
    <t>47.748,27</t>
  </si>
  <si>
    <t>2026-02-17T21:50:19.969559</t>
  </si>
  <si>
    <t>2026-02-17T21:53:50.172028</t>
  </si>
  <si>
    <t>46.208,28</t>
  </si>
  <si>
    <t>2026-02-17T21:53:51.185411</t>
  </si>
  <si>
    <t>2026-02-17T21:56:40.981409</t>
  </si>
  <si>
    <t>60.076,27</t>
  </si>
  <si>
    <t>2026-02-17T21:56:41.992348</t>
  </si>
  <si>
    <t>2026-02-17T22:01:02.899560</t>
  </si>
  <si>
    <t>99.636,27</t>
  </si>
  <si>
    <t>2026-02-17T22:01:03.908823</t>
  </si>
  <si>
    <t>2026-02-17T22:09:02.435537</t>
  </si>
  <si>
    <t>49.916,27</t>
  </si>
  <si>
    <t>2026-02-17T22:09:03.448491</t>
  </si>
  <si>
    <t>2026-02-17T22:13:07.596019</t>
  </si>
  <si>
    <t>42.964,25</t>
  </si>
  <si>
    <t>2026-02-17T22:13:08.613648</t>
  </si>
  <si>
    <t>2026-02-17T22:17:05.352770</t>
  </si>
  <si>
    <t>75.908,26</t>
  </si>
  <si>
    <t>2026-02-17T22:17:06.360285</t>
  </si>
  <si>
    <t>2026-02-17T22:22:58.147001</t>
  </si>
  <si>
    <t>38.868,22</t>
  </si>
  <si>
    <t>2026-02-17T22:22:59.158524</t>
  </si>
  <si>
    <t>2026-02-17T22:26:47.936588</t>
  </si>
  <si>
    <t>48.760,28</t>
  </si>
  <si>
    <t>2026-02-17T22:26:48.947751</t>
  </si>
  <si>
    <t>2026-02-17T22:31:18.541531</t>
  </si>
  <si>
    <t>57.660,29</t>
  </si>
  <si>
    <t>2026-02-17T22:31:19.553115</t>
  </si>
  <si>
    <t>2026-02-17T22:36:45.402574</t>
  </si>
  <si>
    <t>39.500,22</t>
  </si>
  <si>
    <t>2026-02-17T22:36:46.413664</t>
  </si>
  <si>
    <t>2026-02-17T22:39:49.267986</t>
  </si>
  <si>
    <t>84.932,27</t>
  </si>
  <si>
    <t>2026-02-17T22:39:50.270868</t>
  </si>
  <si>
    <t>2026-02-17T22:45:26.615013</t>
  </si>
  <si>
    <t>55.020,27</t>
  </si>
  <si>
    <t>2026-02-17T22:45:27.623886</t>
  </si>
  <si>
    <t>2026-02-17T22:49:51.426143</t>
  </si>
  <si>
    <t>55.284,24</t>
  </si>
  <si>
    <t>2026-02-17T22:49:52.431192</t>
  </si>
  <si>
    <t>2026-02-17T22:54:31.409557</t>
  </si>
  <si>
    <t>74.244,28</t>
  </si>
  <si>
    <t>2026-02-17T22:54:32.417587</t>
  </si>
  <si>
    <t>2026-02-17T22:59:52.699570</t>
  </si>
  <si>
    <t>48.844,27</t>
  </si>
  <si>
    <t>2026-02-17T22:59:53.703466</t>
  </si>
  <si>
    <t>2026-02-17T23:03:50.386398</t>
  </si>
  <si>
    <t>49.536,25</t>
  </si>
  <si>
    <t>2026-02-17T23:03:51.398392</t>
  </si>
  <si>
    <t>2026-02-17T23:07:39.052774</t>
  </si>
  <si>
    <t>60.560,25</t>
  </si>
  <si>
    <t>2026-02-17T23:07:40.066074</t>
  </si>
  <si>
    <t>2026-02-17T23:11:40.598107</t>
  </si>
  <si>
    <t>72.448,29</t>
  </si>
  <si>
    <t>2026-02-17T23:11:41.604406</t>
  </si>
  <si>
    <t>2026-02-17T23:16:36.417928</t>
  </si>
  <si>
    <t>59.936,24</t>
  </si>
  <si>
    <t>2026-02-17T23:16:37.424476</t>
  </si>
  <si>
    <t>2026-02-17T23:21:40.032149</t>
  </si>
  <si>
    <t>56.528,27</t>
  </si>
  <si>
    <t>2026-02-17T21:18:51.900264</t>
  </si>
  <si>
    <t>2026-02-17T21:23:23.552192</t>
  </si>
  <si>
    <t>48.680,27</t>
  </si>
  <si>
    <t>2026-02-17T21:23:24.556174</t>
  </si>
  <si>
    <t>2026-02-17T21:29:34.080248</t>
  </si>
  <si>
    <t>32.976,28</t>
  </si>
  <si>
    <t>2026-02-17T21:29:35.092305</t>
  </si>
  <si>
    <t>2026-02-17T21:32:02.595841</t>
  </si>
  <si>
    <t>72.560,25</t>
  </si>
  <si>
    <t>2026-02-17T21:32:03.611198</t>
  </si>
  <si>
    <t>2026-02-17T21:37:42.318783</t>
  </si>
  <si>
    <t>54.084,22</t>
  </si>
  <si>
    <t>2026-02-17T21:37:43.327186</t>
  </si>
  <si>
    <t>2026-02-17T21:41:26.780385</t>
  </si>
  <si>
    <t>48.588,28</t>
  </si>
  <si>
    <t>2026-02-17T21:41:27.787470</t>
  </si>
  <si>
    <t>2026-02-17T21:45:58.516179</t>
  </si>
  <si>
    <t>135.164,21</t>
  </si>
  <si>
    <t>2026-02-17T21:45:59.520581</t>
  </si>
  <si>
    <t>2026-02-17T21:55:59.520585</t>
  </si>
  <si>
    <t>100.232,24</t>
  </si>
  <si>
    <t>2026-02-17T21:56:00.536428</t>
  </si>
  <si>
    <t>2026-02-17T22:04:11.020426</t>
  </si>
  <si>
    <t>66.932,26</t>
  </si>
  <si>
    <t>2026-02-17T22:04:12.024175</t>
  </si>
  <si>
    <t>2026-02-17T22:08:34.348818</t>
  </si>
  <si>
    <t>60.608,23</t>
  </si>
  <si>
    <t>2026-02-17T22:08:35.358043</t>
  </si>
  <si>
    <t>2026-02-17T22:12:36.351653</t>
  </si>
  <si>
    <t>55.508,24</t>
  </si>
  <si>
    <t>2026-02-17T22:12:37.356614</t>
  </si>
  <si>
    <t>2026-02-17T22:18:00.262713</t>
  </si>
  <si>
    <t>58.256,22</t>
  </si>
  <si>
    <t>2026-02-17T22:18:01.270027</t>
  </si>
  <si>
    <t>2026-02-17T22:22:28.977033</t>
  </si>
  <si>
    <t>180.000,25</t>
  </si>
  <si>
    <t>2026-02-17T22:22:29.991640</t>
  </si>
  <si>
    <t>2026-02-17T22:35:28.745222</t>
  </si>
  <si>
    <t>59.460,25</t>
  </si>
  <si>
    <t>2026-02-17T22:35:29.757327</t>
  </si>
  <si>
    <t>2026-02-17T22:40:18.761619</t>
  </si>
  <si>
    <t>47.264,29</t>
  </si>
  <si>
    <t>2026-02-17T22:40:19.766901</t>
  </si>
  <si>
    <t>2026-02-17T22:43:54.857507</t>
  </si>
  <si>
    <t>56.528,23</t>
  </si>
  <si>
    <t>2026-02-17T22:43:55.868184</t>
  </si>
  <si>
    <t>2026-02-17T22:49:31.448149</t>
  </si>
  <si>
    <t>74.520,25</t>
  </si>
  <si>
    <t>2026-02-17T22:49:32.451424</t>
  </si>
  <si>
    <t>2026-02-17T22:53:57.776344</t>
  </si>
  <si>
    <t>58.448,29</t>
  </si>
  <si>
    <t>2026-02-17T22:53:58.780633</t>
  </si>
  <si>
    <t>2026-02-17T22:59:14.565373</t>
  </si>
  <si>
    <t>79.700,23</t>
  </si>
  <si>
    <t>2026-02-17T22:59:15.577180</t>
  </si>
  <si>
    <t>2026-02-17T23:05:11.333095</t>
  </si>
  <si>
    <t>59.512,27</t>
  </si>
  <si>
    <t>2026-02-17T23:05:12.348733</t>
  </si>
  <si>
    <t>2026-02-17T23:10:03.677980</t>
  </si>
  <si>
    <t>46.956,23</t>
  </si>
  <si>
    <t>2026-02-17T23:10:04.690677</t>
  </si>
  <si>
    <t>2026-02-17T23:14:18.050336</t>
  </si>
  <si>
    <t>126.696,26</t>
  </si>
  <si>
    <t>2026-02-17T23:14:19.058388</t>
  </si>
  <si>
    <t>2026-02-17T23:22:17.624425</t>
  </si>
  <si>
    <t>73.648,27</t>
  </si>
  <si>
    <t>2026-02-17T23:22:18.635329</t>
  </si>
  <si>
    <t>2026-02-17T23:25:23.077893</t>
  </si>
  <si>
    <t>36.876,27</t>
  </si>
  <si>
    <t>2026-02-17T23:25:24.080608</t>
  </si>
  <si>
    <t>2026-02-17T23:26:56.794395</t>
  </si>
  <si>
    <t>72.020,23</t>
  </si>
  <si>
    <t>2026-02-17T23:26:57.797516</t>
  </si>
  <si>
    <t>2026-02-17T23:29:36.558489</t>
  </si>
  <si>
    <t>88.352,24</t>
  </si>
  <si>
    <t>2026-02-17T23:29:37.572893</t>
  </si>
  <si>
    <t>2026-02-17T23:31:52.028121</t>
  </si>
  <si>
    <t>46.940,28</t>
  </si>
  <si>
    <t>2026-02-17T23:31:53.041903</t>
  </si>
  <si>
    <t>2026-02-17T23:32:59.825729</t>
  </si>
  <si>
    <t>runtime(s)</t>
  </si>
  <si>
    <t>collision_rate</t>
  </si>
  <si>
    <t>ball_take_rate</t>
  </si>
  <si>
    <t>10s collision possibility</t>
  </si>
  <si>
    <t>51.344,27</t>
  </si>
  <si>
    <t>2026-02-18T08:34:40.319086</t>
  </si>
  <si>
    <t>2026-02-18T08:38:02.238642</t>
  </si>
  <si>
    <t>48.800,25</t>
  </si>
  <si>
    <t>2026-02-18T08:38:03.244777</t>
  </si>
  <si>
    <t>2026-02-18T08:42:23.298657</t>
  </si>
  <si>
    <t>41.488,26</t>
  </si>
  <si>
    <t>2026-02-18T08:42:24.307265</t>
  </si>
  <si>
    <t>2026-02-18T08:44:54.901133</t>
  </si>
  <si>
    <t>69.676,26</t>
  </si>
  <si>
    <t>2026-02-18T08:44:55.903150</t>
  </si>
  <si>
    <t>2026-02-18T08:50:15.697388</t>
  </si>
  <si>
    <t>99.988,25</t>
  </si>
  <si>
    <t>2026-02-18T08:50:16.700512</t>
  </si>
  <si>
    <t>2026-02-18T08:57:51.638154</t>
  </si>
  <si>
    <t>58.704,25</t>
  </si>
  <si>
    <t>2026-02-18T08:57:52.644484</t>
  </si>
  <si>
    <t>2026-02-18T09:02:07.773359</t>
  </si>
  <si>
    <t>76.384,26</t>
  </si>
  <si>
    <t>2026-02-18T09:02:08.779377</t>
  </si>
  <si>
    <t>2026-02-18T09:07:11.940627</t>
  </si>
  <si>
    <t>147.852,26</t>
  </si>
  <si>
    <t>2026-02-18T09:07:12.951925</t>
  </si>
  <si>
    <t>2026-02-18T09:17:27.163038</t>
  </si>
  <si>
    <t>48.664,26</t>
  </si>
  <si>
    <t>2026-02-18T09:17:28.170008</t>
  </si>
  <si>
    <t>2026-02-18T09:21:00.898192</t>
  </si>
  <si>
    <t>111.540,27</t>
  </si>
  <si>
    <t>2026-02-18T09:21:01.902838</t>
  </si>
  <si>
    <t>2026-02-18T09:27:30.998149</t>
  </si>
  <si>
    <t>98.232,24</t>
  </si>
  <si>
    <t>2026-02-18T09:27:32.004510</t>
  </si>
  <si>
    <t>2026-02-18T09:33:16.257005</t>
  </si>
  <si>
    <t>46.240,21</t>
  </si>
  <si>
    <t>2026-02-18T09:33:17.262942</t>
  </si>
  <si>
    <t>2026-02-18T09:36:12.739531</t>
  </si>
  <si>
    <t>52.104,28</t>
  </si>
  <si>
    <t>2026-02-18T09:36:13.744310</t>
  </si>
  <si>
    <t>2026-02-18T09:39:54.597530</t>
  </si>
  <si>
    <t>58.224,27</t>
  </si>
  <si>
    <t>2026-02-18T09:39:55.605900</t>
  </si>
  <si>
    <t>2026-02-18T09:43:57.584879</t>
  </si>
  <si>
    <t>44.932,28</t>
  </si>
  <si>
    <t>2026-02-18T09:43:58.594937</t>
  </si>
  <si>
    <t>2026-02-18T09:48:09.554856</t>
  </si>
  <si>
    <t>77.712,28</t>
  </si>
  <si>
    <t>2026-02-18T09:48:10.560597</t>
  </si>
  <si>
    <t>2026-02-18T09:53:49.619610</t>
  </si>
  <si>
    <t>76.728,26</t>
  </si>
  <si>
    <t>2026-02-18T09:53:50.622621</t>
  </si>
  <si>
    <t>2026-02-18T09:59:01.065359</t>
  </si>
  <si>
    <t>50.792,30</t>
  </si>
  <si>
    <t>2026-02-18T09:59:02.078756</t>
  </si>
  <si>
    <t>2026-02-18T10:02:02.435492</t>
  </si>
  <si>
    <t>70.708,24</t>
  </si>
  <si>
    <t>2026-02-18T10:02:03.447300</t>
  </si>
  <si>
    <t>2026-02-18T10:07:37.940211</t>
  </si>
  <si>
    <t>41.952,28</t>
  </si>
  <si>
    <t>2026-02-18T10:08:26.622207</t>
  </si>
  <si>
    <t>2026-02-18T10:11:18.673294</t>
  </si>
  <si>
    <t>76.312,26</t>
  </si>
  <si>
    <t>2026-02-18T10:11:19.678885</t>
  </si>
  <si>
    <t>2026-02-18T10:16:32.220387</t>
  </si>
  <si>
    <t>60.112,25</t>
  </si>
  <si>
    <t>2026-02-18T10:16:33.232007</t>
  </si>
  <si>
    <t>2026-02-18T10:21:59.688771</t>
  </si>
  <si>
    <t>58.004,27</t>
  </si>
  <si>
    <t>2026-02-18T10:22:00.697064</t>
  </si>
  <si>
    <t>2026-02-18T10:26:49.372540</t>
  </si>
  <si>
    <t>70.516,26</t>
  </si>
  <si>
    <t>2026-02-18T10:26:50.383431</t>
  </si>
  <si>
    <t>2026-02-18T10:31:48.024669</t>
  </si>
  <si>
    <t>63.988,26</t>
  </si>
  <si>
    <t>2026-02-18T10:31:49.034262</t>
  </si>
  <si>
    <t>2026-02-18T10:36:58.277791</t>
  </si>
  <si>
    <t>31.980,27</t>
  </si>
  <si>
    <t>2026-02-18T10:36:59.289434</t>
  </si>
  <si>
    <t>2026-02-18T10:40:15.159304</t>
  </si>
  <si>
    <t>67.168,29</t>
  </si>
  <si>
    <t>2026-02-18T10:40:16.172543</t>
  </si>
  <si>
    <t>2026-02-18T10:43:41.542641</t>
  </si>
  <si>
    <t>55.436,28</t>
  </si>
  <si>
    <t>2026-02-18T10:43:42.554511</t>
  </si>
  <si>
    <t>2026-02-18T10:47:52.032748</t>
  </si>
  <si>
    <t>42.036,30</t>
  </si>
  <si>
    <t>2026-02-18T10:47:53.042338</t>
  </si>
  <si>
    <t>2026-02-18T10:50:34.881979</t>
  </si>
  <si>
    <t>108.804,28</t>
  </si>
  <si>
    <t>2026-02-18T10:50:35.894630</t>
  </si>
  <si>
    <t>2026-02-18T10:57:48.325632</t>
  </si>
  <si>
    <t>120.044,27</t>
  </si>
  <si>
    <t>2026-02-18T10:57:49.330077</t>
  </si>
  <si>
    <t>2026-02-18T11:07:07.634817</t>
  </si>
  <si>
    <t>40.828,29</t>
  </si>
  <si>
    <t>2026-02-18T11:07:08.638469</t>
  </si>
  <si>
    <t>2026-02-18T11:11:01.767230</t>
  </si>
  <si>
    <t>110.164,26</t>
  </si>
  <si>
    <t>2026-02-18T11:11:02.773172</t>
  </si>
  <si>
    <t>2026-02-18T11:17:21.347798</t>
  </si>
  <si>
    <t>48.376,25</t>
  </si>
  <si>
    <t>2026-02-18T11:17:22.352106</t>
  </si>
  <si>
    <t>2026-02-18T11:20:38.122964</t>
  </si>
  <si>
    <t>48.872,31</t>
  </si>
  <si>
    <t>2026-02-18T11:20:39.132249</t>
  </si>
  <si>
    <t>2026-02-18T11:23:38.132823</t>
  </si>
  <si>
    <t>68.308,26</t>
  </si>
  <si>
    <t>2026-02-18T11:23:39.144464</t>
  </si>
  <si>
    <t>2026-02-18T11:28:59.922133</t>
  </si>
  <si>
    <t>69.312,28</t>
  </si>
  <si>
    <t>2026-02-18T11:29:00.929923</t>
  </si>
  <si>
    <t>2026-02-18T11:33:26.246910</t>
  </si>
  <si>
    <t>57.616,31</t>
  </si>
  <si>
    <t>2026-02-18T11:33:27.249933</t>
  </si>
  <si>
    <t>2026-02-18T11:37:21.983695</t>
  </si>
  <si>
    <t>58.796,28</t>
  </si>
  <si>
    <t>2026-02-18T11:37:22.995505</t>
  </si>
  <si>
    <t>2026-02-18T11:43:18.399828</t>
  </si>
  <si>
    <t>74.144,27</t>
  </si>
  <si>
    <t>2026-02-18T11:43:19.412017</t>
  </si>
  <si>
    <t>2026-02-18T11:48:01.150328</t>
  </si>
  <si>
    <t>57.000,31</t>
  </si>
  <si>
    <t>2026-02-18T11:48:02.162857</t>
  </si>
  <si>
    <t>2026-02-18T11:51:33.775033</t>
  </si>
  <si>
    <t>59.056,28</t>
  </si>
  <si>
    <t>2026-02-18T11:51:34.783139</t>
  </si>
  <si>
    <t>2026-02-18T11:55:54.429468</t>
  </si>
  <si>
    <t>69.000,26</t>
  </si>
  <si>
    <t>2026-02-18T11:55:55.442009</t>
  </si>
  <si>
    <t>2026-02-18T12:00:54.142337</t>
  </si>
  <si>
    <t>47.260,32</t>
  </si>
  <si>
    <t>2026-02-18T12:00:55.151804</t>
  </si>
  <si>
    <t>2026-02-18T12:03:45.974392</t>
  </si>
  <si>
    <t>66.848,29</t>
  </si>
  <si>
    <t>2026-02-18T12:03:46.981304</t>
  </si>
  <si>
    <t>2026-02-18T12:07:49.583838</t>
  </si>
  <si>
    <t>53.756,30</t>
  </si>
  <si>
    <t>2026-02-18T12:07:50.594950</t>
  </si>
  <si>
    <t>2026-02-18T12:11:50.153860</t>
  </si>
  <si>
    <t>43.560,28</t>
  </si>
  <si>
    <t>2026-02-18T12:11:51.160785</t>
  </si>
  <si>
    <t>2026-02-18T12:15:11.541368</t>
  </si>
  <si>
    <t>60.548,29</t>
  </si>
  <si>
    <t>2026-02-18T12:15:12.547051</t>
  </si>
  <si>
    <t>2026-02-18T12:20:27.268740</t>
  </si>
  <si>
    <t>116.092,27</t>
  </si>
  <si>
    <t>2026-02-18T12:20:28.272210</t>
  </si>
  <si>
    <t>2026-02-18T12:27:31.737845</t>
  </si>
  <si>
    <t>49.532,30</t>
  </si>
  <si>
    <t>2026-02-18T12:27:32.749457</t>
  </si>
  <si>
    <t>2026-02-18T12:31:07.937197</t>
  </si>
  <si>
    <t>57.840,29</t>
  </si>
  <si>
    <t>2026-02-18T12:31:08.945663</t>
  </si>
  <si>
    <t>2026-02-18T12:35:30.133249</t>
  </si>
  <si>
    <t>72.196,26</t>
  </si>
  <si>
    <t>2026-02-18T12:35:31.139397</t>
  </si>
  <si>
    <t>2026-02-18T12:40:55.547467</t>
  </si>
  <si>
    <t>37.428,32</t>
  </si>
  <si>
    <t>2026-02-18T12:40:56.554666</t>
  </si>
  <si>
    <t>2026-02-18T12:43:24.523579</t>
  </si>
  <si>
    <t>54.584,23</t>
  </si>
  <si>
    <t>2026-02-18T12:43:25.529503</t>
  </si>
  <si>
    <t>2026-02-18T12:46:16.235440</t>
  </si>
  <si>
    <t>54.872,26</t>
  </si>
  <si>
    <t>2026-02-18T12:46:17.254369</t>
  </si>
  <si>
    <t>2026-02-18T12:50:39.777865</t>
  </si>
  <si>
    <t>29.208,36</t>
  </si>
  <si>
    <t>2026-02-18T12:50:40.781905</t>
  </si>
  <si>
    <t>2026-02-18T12:53:01.678396</t>
  </si>
  <si>
    <t>66.072,29</t>
  </si>
  <si>
    <t>2026-02-18T12:53:02.689358</t>
  </si>
  <si>
    <t>2026-02-18T12:57:52.931610</t>
  </si>
  <si>
    <t>83.656,27</t>
  </si>
  <si>
    <t>2026-02-18T12:57:53.939237</t>
  </si>
  <si>
    <t>2026-02-18T13:02:46.128077</t>
  </si>
  <si>
    <t>43.016,29</t>
  </si>
  <si>
    <t>2026-02-18T13:02:47.141722</t>
  </si>
  <si>
    <t>2026-02-18T13:06:52.726404</t>
  </si>
  <si>
    <t>85.772,25</t>
  </si>
  <si>
    <t>2026-02-18T13:06:53.731519</t>
  </si>
  <si>
    <t>2026-02-18T13:13:08.775849</t>
  </si>
  <si>
    <t>66.328,23</t>
  </si>
  <si>
    <t>2026-02-18T13:13:09.793331</t>
  </si>
  <si>
    <t>2026-02-18T13:17:44.288306</t>
  </si>
  <si>
    <t>52.064,31</t>
  </si>
  <si>
    <t>2026-02-18T13:17:45.294362</t>
  </si>
  <si>
    <t>2026-02-18T13:21:49.794904</t>
  </si>
  <si>
    <t>57.960,24</t>
  </si>
  <si>
    <t>2026-02-18T13:21:50.799936</t>
  </si>
  <si>
    <t>2026-02-18T13:27:26.648276</t>
  </si>
  <si>
    <t>80.944,27</t>
  </si>
  <si>
    <t>2026-02-18T13:27:27.655494</t>
  </si>
  <si>
    <t>2026-02-18T13:33:18.375927</t>
  </si>
  <si>
    <t>43.740,30</t>
  </si>
  <si>
    <t>2026-02-18T13:33:19.380256</t>
  </si>
  <si>
    <t>2026-02-18T13:37:58.526759</t>
  </si>
  <si>
    <t>61.352,22</t>
  </si>
  <si>
    <t>2026-02-18T13:37:59.538618</t>
  </si>
  <si>
    <t>2026-02-18T13:42:52.678213</t>
  </si>
  <si>
    <t>77.388,26</t>
  </si>
  <si>
    <t>2026-02-18T13:42:53.690363</t>
  </si>
  <si>
    <t>2026-02-18T13:47:58.662250</t>
  </si>
  <si>
    <t>48.032,31</t>
  </si>
  <si>
    <t>2026-02-18T13:47:59.674110</t>
  </si>
  <si>
    <t>2026-02-18T13:51:15.502552</t>
  </si>
  <si>
    <t>64.724,23</t>
  </si>
  <si>
    <t>2026-02-18T13:51:16.515540</t>
  </si>
  <si>
    <t>2026-02-18T13:54:54.633999</t>
  </si>
  <si>
    <t>65.064,22</t>
  </si>
  <si>
    <t>2026-02-18T13:54:55.645274</t>
  </si>
  <si>
    <t>2026-02-18T13:59:17.493574</t>
  </si>
  <si>
    <t>45.252,34</t>
  </si>
  <si>
    <t>2026-02-18T13:59:18.505276</t>
  </si>
  <si>
    <t>2026-02-18T14:03:30.164720</t>
  </si>
  <si>
    <t>83.400,26</t>
  </si>
  <si>
    <t>2026-02-18T14:03:31.167803</t>
  </si>
  <si>
    <t>2026-02-18T14:09:27.076927</t>
  </si>
  <si>
    <t>66.916,26</t>
  </si>
  <si>
    <t>2026-02-18T14:09:28.090103</t>
  </si>
  <si>
    <t>2026-02-18T14:14:05.769829</t>
  </si>
  <si>
    <t>41.132,30</t>
  </si>
  <si>
    <t>2026-02-18T14:14:06.784093</t>
  </si>
  <si>
    <t>2026-02-18T14:17:11.710141</t>
  </si>
  <si>
    <t>102.320,27</t>
  </si>
  <si>
    <t>2026-02-18T14:17:12.722309</t>
  </si>
  <si>
    <t>2026-02-18T14:24:24.312355</t>
  </si>
  <si>
    <t>56.612,26</t>
  </si>
  <si>
    <t>2026-02-18T14:24:25.324431</t>
  </si>
  <si>
    <t>2026-02-18T14:29:04.988389</t>
  </si>
  <si>
    <t>42.288,30</t>
  </si>
  <si>
    <t>2026-02-18T14:29:05.994952</t>
  </si>
  <si>
    <t>2026-02-18T14:32:18.533140</t>
  </si>
  <si>
    <t>63.728,26</t>
  </si>
  <si>
    <t>2026-02-18T14:32:19.544926</t>
  </si>
  <si>
    <t>2026-02-18T14:37:05.968539</t>
  </si>
  <si>
    <t>92.164,24</t>
  </si>
  <si>
    <t>2026-02-18T14:37:06.981270</t>
  </si>
  <si>
    <t>2026-02-18T14:44:16.457882</t>
  </si>
  <si>
    <t>32.556,31</t>
  </si>
  <si>
    <t>2026-02-18T14:44:17.469335</t>
  </si>
  <si>
    <t>2026-02-18T14:46:47.763232</t>
  </si>
  <si>
    <t>68.080,25</t>
  </si>
  <si>
    <t>2026-02-18T14:46:48.773981</t>
  </si>
  <si>
    <t>2026-02-18T14:51:33.503401</t>
  </si>
  <si>
    <t>54.432,25</t>
  </si>
  <si>
    <t>2026-02-18T14:51:34.516488</t>
  </si>
  <si>
    <t>2026-02-18T14:55:44.075192</t>
  </si>
  <si>
    <t>39.784,32</t>
  </si>
  <si>
    <t>2026-02-18T14:55:45.080580</t>
  </si>
  <si>
    <t>2026-02-18T14:58:08.057738</t>
  </si>
  <si>
    <t>56.624,24</t>
  </si>
  <si>
    <t>2026-02-18T14:58:09.069679</t>
  </si>
  <si>
    <t>2026-02-18T15:02:35.702705</t>
  </si>
  <si>
    <t>68.744,25</t>
  </si>
  <si>
    <t>2026-02-18T15:02:36.706645</t>
  </si>
  <si>
    <t>2026-02-18T15:08:01.717127</t>
  </si>
  <si>
    <t>49.016,25</t>
  </si>
  <si>
    <t>2026-02-18T15:08:02.723852</t>
  </si>
  <si>
    <t>2026-02-18T15:11:02.683861</t>
  </si>
  <si>
    <t>53.332,27</t>
  </si>
  <si>
    <t>2026-02-18T15:11:03.695985</t>
  </si>
  <si>
    <t>2026-02-18T15:14:47.216066</t>
  </si>
  <si>
    <t>99.780,28</t>
  </si>
  <si>
    <t>2026-02-18T15:14:48.232813</t>
  </si>
  <si>
    <t>2026-02-18T15:21:40.472688</t>
  </si>
  <si>
    <t>48.216,24</t>
  </si>
  <si>
    <t>2026-02-18T15:21:41.482205</t>
  </si>
  <si>
    <t>2026-02-18T15:24:55.073330</t>
  </si>
  <si>
    <t>60.500,23</t>
  </si>
  <si>
    <t>2026-02-18T15:24:56.090927</t>
  </si>
  <si>
    <t>2026-02-18T15:29:28.861815</t>
  </si>
  <si>
    <t>94.280,27</t>
  </si>
  <si>
    <t>2026-02-18T15:29:29.875395</t>
  </si>
  <si>
    <t>2026-02-18T15:36:10.548127</t>
  </si>
  <si>
    <t>45.976,27</t>
  </si>
  <si>
    <t>2026-02-18T15:36:11.561233</t>
  </si>
  <si>
    <t>2026-02-18T15:39:30.984611</t>
  </si>
  <si>
    <t>85.264,25</t>
  </si>
  <si>
    <t>2026-02-18T15:39:31.991233</t>
  </si>
  <si>
    <t>2026-02-18T15:44:30.355865</t>
  </si>
  <si>
    <t>97.524,27</t>
  </si>
  <si>
    <t>2026-02-18T15:44:31.364159</t>
  </si>
  <si>
    <t>2026-02-18T15:53:10.418130</t>
  </si>
  <si>
    <t>47.728,28</t>
  </si>
  <si>
    <t>2026-02-18T15:53:11.422422</t>
  </si>
  <si>
    <t>2026-02-18T15:56:51.609008</t>
  </si>
  <si>
    <t>84.744,24</t>
  </si>
  <si>
    <t>2026-02-18T15:56:52.616970</t>
  </si>
  <si>
    <t>2026-02-18T16:02:20.509531</t>
  </si>
  <si>
    <t>64.260,25</t>
  </si>
  <si>
    <t>2026-02-18T16:02:21.516655</t>
  </si>
  <si>
    <t>2026-02-18T16:07:43.866648</t>
  </si>
  <si>
    <t>46.600,23</t>
  </si>
  <si>
    <t>2026-02-18T16:07:44.878108</t>
  </si>
  <si>
    <t>2026-02-18T16:10:30.796590</t>
  </si>
  <si>
    <t>77.412,25</t>
  </si>
  <si>
    <t>2026-02-18T16:10:31.802348</t>
  </si>
  <si>
    <t>2026-02-18T16:15:29.655863</t>
  </si>
  <si>
    <t>91.592,23</t>
  </si>
  <si>
    <t>2026-02-18T16:15:30.664225</t>
  </si>
  <si>
    <t>2026-02-18T16:22:16.823938</t>
  </si>
  <si>
    <t>40.468,25</t>
  </si>
  <si>
    <t>2026-02-18T16:22:17.831071</t>
  </si>
  <si>
    <t>2026-02-18T16:26:12.977372</t>
  </si>
  <si>
    <t>58.320,25</t>
  </si>
  <si>
    <t>2026-02-18T16:26:13.984397</t>
  </si>
  <si>
    <t>2026-02-18T16:30:38.393809</t>
  </si>
  <si>
    <t>65.256,27</t>
  </si>
  <si>
    <t>2026-02-18T16:30:39.406646</t>
  </si>
  <si>
    <t>2026-02-18T16:36:47.226599</t>
  </si>
  <si>
    <t>56.008,28</t>
  </si>
  <si>
    <t>2026-02-18T16:36:48.245466</t>
  </si>
  <si>
    <t>2026-02-18T16:40:29.309971</t>
  </si>
  <si>
    <t>79.384,27</t>
  </si>
  <si>
    <t>2026-02-18T16:40:30.317657</t>
  </si>
  <si>
    <t>2026-02-18T16:46:12.754548</t>
  </si>
  <si>
    <t>72.656,27</t>
  </si>
  <si>
    <t>2026-02-18T16:46:13.768029</t>
  </si>
  <si>
    <t>2026-02-18T16:52:58.492800</t>
  </si>
  <si>
    <t>51.116,31</t>
  </si>
  <si>
    <t>2026-02-18T16:52:59.498916</t>
  </si>
  <si>
    <t>2026-02-18T16:57:39.587787</t>
  </si>
  <si>
    <t>67.164,29</t>
  </si>
  <si>
    <t>2026-02-18T16:57:40.595925</t>
  </si>
  <si>
    <t>2026-02-18T17:03:19.039727</t>
  </si>
  <si>
    <t>59.312,28</t>
  </si>
  <si>
    <t>2026-02-18T17:03:20.045820</t>
  </si>
  <si>
    <t>2026-02-18T17:08:34.914654</t>
  </si>
  <si>
    <t>34.640,28</t>
  </si>
  <si>
    <t>2026-02-18T17:08:35.926221</t>
  </si>
  <si>
    <t>2026-02-18T17:10:52.135859</t>
  </si>
  <si>
    <t>74.976,23</t>
  </si>
  <si>
    <t>2026-02-18T17:10:53.144902</t>
  </si>
  <si>
    <t>2026-02-18T17:16:34.020315</t>
  </si>
  <si>
    <t>47.764,25</t>
  </si>
  <si>
    <t>2026-02-18T17:16:35.024808</t>
  </si>
  <si>
    <t>2026-02-18T17:20:51.377469</t>
  </si>
  <si>
    <t>50.320,30</t>
  </si>
  <si>
    <t>2026-02-18T17:20:52.385794</t>
  </si>
  <si>
    <t>2026-02-18T17:24:17.979068</t>
  </si>
  <si>
    <t>109.952,25</t>
  </si>
  <si>
    <t>2026-02-18T17:24:18.981147</t>
  </si>
  <si>
    <t>2026-02-18T17:31:45.246894</t>
  </si>
  <si>
    <t>58.188,25</t>
  </si>
  <si>
    <t>2026-02-18T17:31:46.251552</t>
  </si>
  <si>
    <t>2026-02-18T17:36:32.896731</t>
  </si>
  <si>
    <t>55.856,27</t>
  </si>
  <si>
    <t>2026-02-18T17:36:33.910697</t>
  </si>
  <si>
    <t>2026-02-18T17:41:38.253915</t>
  </si>
  <si>
    <t>68.564,27</t>
  </si>
  <si>
    <t>2026-02-18T17:41:39.267144</t>
  </si>
  <si>
    <t>2026-02-18T17:46:39.674604</t>
  </si>
  <si>
    <t>47.344,24</t>
  </si>
  <si>
    <t>2026-02-18T17:46:40.688108</t>
  </si>
  <si>
    <t>2026-02-18T17:51:49.459779</t>
  </si>
  <si>
    <t>51.420,28</t>
  </si>
  <si>
    <t>2026-02-18T17:51:50.464630</t>
  </si>
  <si>
    <t>2026-02-18T17:54:54.572950</t>
  </si>
  <si>
    <t>89.864,28</t>
  </si>
  <si>
    <t>2026-02-18T17:54:55.591977</t>
  </si>
  <si>
    <t>2026-02-18T18:01:17.689036</t>
  </si>
  <si>
    <t>60.444,24</t>
  </si>
  <si>
    <t>2026-02-18T18:01:18.700114</t>
  </si>
  <si>
    <t>2026-02-18T18:06:15.623771</t>
  </si>
  <si>
    <t>51.044,26</t>
  </si>
  <si>
    <t>2026-02-18T18:06:16.635565</t>
  </si>
  <si>
    <t>2026-02-18T18:10:07.378708</t>
  </si>
  <si>
    <t>92.764,28</t>
  </si>
  <si>
    <t>2026-02-18T18:10:08.390479</t>
  </si>
  <si>
    <t>2026-02-18T18:17:38.444844</t>
  </si>
  <si>
    <t>59.360,24</t>
  </si>
  <si>
    <t>2026-02-18T18:17:39.457113</t>
  </si>
  <si>
    <t>2026-02-18T18:22:28.620439</t>
  </si>
  <si>
    <t>37.300,31</t>
  </si>
  <si>
    <t>2026-02-18T18:22:29.632524</t>
  </si>
  <si>
    <t>2026-02-18T18:26:10.751632</t>
  </si>
  <si>
    <t>103.948,30</t>
  </si>
  <si>
    <t>2026-02-18T18:26:11.764987</t>
  </si>
  <si>
    <t>2026-02-18T18:32:51.789233</t>
  </si>
  <si>
    <t>43.856,24</t>
  </si>
  <si>
    <t>2026-02-18T18:32:52.797899</t>
  </si>
  <si>
    <t>2026-02-18T18:37:30.175841</t>
  </si>
  <si>
    <t>41.556,28</t>
  </si>
  <si>
    <t>2026-02-18T18:37:31.183381</t>
  </si>
  <si>
    <t>2026-02-18T18:39:53.496271</t>
  </si>
  <si>
    <t>82.836,29</t>
  </si>
  <si>
    <t>2026-02-18T18:39:54.502455</t>
  </si>
  <si>
    <t>2026-02-18T18:45:52.806270</t>
  </si>
  <si>
    <t>98.032,27</t>
  </si>
  <si>
    <t>2026-02-18T18:45:53.812536</t>
  </si>
  <si>
    <t>2026-02-18T18:54:24.585000</t>
  </si>
  <si>
    <t>43.932,26</t>
  </si>
  <si>
    <t>2026-02-18T18:54:25.594310</t>
  </si>
  <si>
    <t>2026-02-18T18:57:24.714589</t>
  </si>
  <si>
    <t>91.072,27</t>
  </si>
  <si>
    <t>2026-02-18T18:57:25.739430</t>
  </si>
  <si>
    <t>2026-02-18T19:03:24.154718</t>
  </si>
  <si>
    <t>73.448,28</t>
  </si>
  <si>
    <t>2026-02-18T19:03:25.157308</t>
  </si>
  <si>
    <t>2026-02-18T19:08:58.964778</t>
  </si>
  <si>
    <t>45.440,27</t>
  </si>
  <si>
    <t>2026-02-18T19:08:59.976669</t>
  </si>
  <si>
    <t>2026-02-18T19:11:57.008143</t>
  </si>
  <si>
    <t>83.020,24</t>
  </si>
  <si>
    <t>2026-02-18T19:11:58.018764</t>
  </si>
  <si>
    <t>2026-02-18T19:16:27.402829</t>
  </si>
  <si>
    <t>49.796,27</t>
  </si>
  <si>
    <t>2026-02-18T19:16:28.411721</t>
  </si>
  <si>
    <t>2026-02-18T19:19:37.199461</t>
  </si>
  <si>
    <t>37.420,33</t>
  </si>
  <si>
    <t>98.248,23</t>
  </si>
  <si>
    <t>2026-02-18T19:22:23.830907</t>
  </si>
  <si>
    <t>2026-02-18T19:28:53.586070</t>
  </si>
  <si>
    <t>74.104,25</t>
  </si>
  <si>
    <t>2026-02-18T19:28:54.592336</t>
  </si>
  <si>
    <t>2026-02-18T19:34:37.425460</t>
  </si>
  <si>
    <t>43.032,26</t>
  </si>
  <si>
    <t>2026-02-18T19:34:38.434074</t>
  </si>
  <si>
    <t>2026-02-18T19:37:31.138119</t>
  </si>
  <si>
    <t>127.204,22</t>
  </si>
  <si>
    <t>55.460,25</t>
  </si>
  <si>
    <t>50.780,27</t>
  </si>
  <si>
    <t>2026-02-18T19:51:02.860673</t>
  </si>
  <si>
    <t>2026-02-18T19:55:02.937721</t>
  </si>
  <si>
    <t>67.216,19</t>
  </si>
  <si>
    <t>43.924,25</t>
  </si>
  <si>
    <t>49.064,25</t>
  </si>
  <si>
    <t>91.956,22</t>
  </si>
  <si>
    <t>65.776,24</t>
  </si>
  <si>
    <t>53.016,22</t>
  </si>
  <si>
    <t>2026-02-18T20:21:01.510361</t>
  </si>
  <si>
    <t>2026-02-18T20:24:14.143817</t>
  </si>
  <si>
    <t>83.792,20</t>
  </si>
  <si>
    <t>55.112,25</t>
  </si>
  <si>
    <t>43.672,28</t>
  </si>
  <si>
    <t>85.672,22</t>
  </si>
  <si>
    <t>53.264,25</t>
  </si>
  <si>
    <t>58.600,28</t>
  </si>
  <si>
    <t>2026-02-18T20:47:11.841404</t>
  </si>
  <si>
    <t>2026-02-18T20:52:19.579870</t>
  </si>
  <si>
    <t>84.140,22</t>
  </si>
  <si>
    <t>62.784,29</t>
  </si>
  <si>
    <t>2026-02-18T08:34:40.318932</t>
  </si>
  <si>
    <t>2026-02-18T08:38:33.527998</t>
  </si>
  <si>
    <t>62.904,30</t>
  </si>
  <si>
    <t>2026-02-18T08:38:34.534117</t>
  </si>
  <si>
    <t>2026-02-18T08:42:39.298498</t>
  </si>
  <si>
    <t>38.908,26</t>
  </si>
  <si>
    <t>2026-02-18T08:42:40.303988</t>
  </si>
  <si>
    <t>2026-02-18T08:45:02.554384</t>
  </si>
  <si>
    <t>70.924,28</t>
  </si>
  <si>
    <t>2026-02-18T08:45:03.564844</t>
  </si>
  <si>
    <t>2026-02-18T08:49:37.775040</t>
  </si>
  <si>
    <t>78.536,23</t>
  </si>
  <si>
    <t>2026-02-18T08:49:38.786353</t>
  </si>
  <si>
    <t>2026-02-18T08:56:35.695334</t>
  </si>
  <si>
    <t>54.644,24</t>
  </si>
  <si>
    <t>2026-02-18T08:56:36.702158</t>
  </si>
  <si>
    <t>2026-02-18T09:00:36.595301</t>
  </si>
  <si>
    <t>86.600,29</t>
  </si>
  <si>
    <t>2026-02-18T09:00:37.601387</t>
  </si>
  <si>
    <t>2026-02-18T09:06:42.213429</t>
  </si>
  <si>
    <t>64.856,23</t>
  </si>
  <si>
    <t>2026-02-18T09:06:43.225744</t>
  </si>
  <si>
    <t>2026-02-18T09:11:18.069395</t>
  </si>
  <si>
    <t>51.368,24</t>
  </si>
  <si>
    <t>2026-02-18T09:11:19.076077</t>
  </si>
  <si>
    <t>2026-02-18T09:15:49.133811</t>
  </si>
  <si>
    <t>67.108,29</t>
  </si>
  <si>
    <t>2026-02-18T09:15:50.137400</t>
  </si>
  <si>
    <t>2026-02-18T09:20:40.022950</t>
  </si>
  <si>
    <t>65.132,23</t>
  </si>
  <si>
    <t>2026-02-18T09:20:41.026447</t>
  </si>
  <si>
    <t>2026-02-18T09:25:45.999869</t>
  </si>
  <si>
    <t>38.224,28</t>
  </si>
  <si>
    <t>2026-02-18T09:25:47.008061</t>
  </si>
  <si>
    <t>2026-02-18T09:28:40.518699</t>
  </si>
  <si>
    <t>62.968,24</t>
  </si>
  <si>
    <t>2026-02-18T09:28:41.520896</t>
  </si>
  <si>
    <t>2026-02-18T09:33:09.656019</t>
  </si>
  <si>
    <t>75.456,25</t>
  </si>
  <si>
    <t>2026-02-18T09:33:10.667438</t>
  </si>
  <si>
    <t>2026-02-18T09:39:48.611830</t>
  </si>
  <si>
    <t>51.640,22</t>
  </si>
  <si>
    <t>2026-02-18T09:39:49.614723</t>
  </si>
  <si>
    <t>2026-02-18T09:44:10.139223</t>
  </si>
  <si>
    <t>85.260,23</t>
  </si>
  <si>
    <t>2026-02-18T09:44:11.150679</t>
  </si>
  <si>
    <t>2026-02-18T09:49:00.459831</t>
  </si>
  <si>
    <t>74.276,29</t>
  </si>
  <si>
    <t>2026-02-18T09:49:01.466896</t>
  </si>
  <si>
    <t>2026-02-18T09:53:58.666958</t>
  </si>
  <si>
    <t>49.444,23</t>
  </si>
  <si>
    <t>2026-02-18T09:53:59.678856</t>
  </si>
  <si>
    <t>2026-02-18T09:57:41.281806</t>
  </si>
  <si>
    <t>65.300,25</t>
  </si>
  <si>
    <t>2026-02-18T09:57:42.293140</t>
  </si>
  <si>
    <t>2026-02-18T10:02:17.356747</t>
  </si>
  <si>
    <t>81.276,23</t>
  </si>
  <si>
    <t>2026-02-18T10:02:18.365347</t>
  </si>
  <si>
    <t>2026-02-18T10:08:48.336687</t>
  </si>
  <si>
    <t>65.372,26</t>
  </si>
  <si>
    <t>2026-02-18T10:08:49.341079</t>
  </si>
  <si>
    <t>2026-02-18T10:12:56.663600</t>
  </si>
  <si>
    <t>59.884,26</t>
  </si>
  <si>
    <t>2026-02-18T10:12:57.670382</t>
  </si>
  <si>
    <t>2026-02-18T10:17:20.808218</t>
  </si>
  <si>
    <t>57.372,25</t>
  </si>
  <si>
    <t>2026-02-18T10:17:21.819046</t>
  </si>
  <si>
    <t>2026-02-18T10:21:57.727593</t>
  </si>
  <si>
    <t>34.576,27</t>
  </si>
  <si>
    <t>2026-02-18T10:21:58.738756</t>
  </si>
  <si>
    <t>2026-02-18T10:24:08.527470</t>
  </si>
  <si>
    <t>78.268,25</t>
  </si>
  <si>
    <t>2026-02-18T10:24:09.537996</t>
  </si>
  <si>
    <t>2026-02-18T10:29:07.146272</t>
  </si>
  <si>
    <t>53.820,21</t>
  </si>
  <si>
    <t>2026-02-18T10:29:08.158713</t>
  </si>
  <si>
    <t>2026-02-18T10:37:04.553258</t>
  </si>
  <si>
    <t>47.684,27</t>
  </si>
  <si>
    <t>2026-02-18T10:37:05.556719</t>
  </si>
  <si>
    <t>2026-02-18T10:40:10.210007</t>
  </si>
  <si>
    <t>38.112,23</t>
  </si>
  <si>
    <t>2026-02-18T10:40:11.218232</t>
  </si>
  <si>
    <t>2026-02-18T10:43:03.037680</t>
  </si>
  <si>
    <t>48.824,21</t>
  </si>
  <si>
    <t>2026-02-18T10:43:04.048205</t>
  </si>
  <si>
    <t>2026-02-18T10:47:47.052977</t>
  </si>
  <si>
    <t>35.572,26</t>
  </si>
  <si>
    <t>2026-02-18T10:47:48.064569</t>
  </si>
  <si>
    <t>2026-02-18T10:51:17.702525</t>
  </si>
  <si>
    <t>68.960,22</t>
  </si>
  <si>
    <t>2026-02-18T10:51:18.711428</t>
  </si>
  <si>
    <t>2026-02-18T10:56:20.467613</t>
  </si>
  <si>
    <t>94.612,21</t>
  </si>
  <si>
    <t>2026-02-18T10:56:21.470497</t>
  </si>
  <si>
    <t>2026-02-18T11:03:02.008630</t>
  </si>
  <si>
    <t>39.832,23</t>
  </si>
  <si>
    <t>2026-02-18T11:03:03.018438</t>
  </si>
  <si>
    <t>2026-02-18T11:06:36.274842</t>
  </si>
  <si>
    <t>86.396,22</t>
  </si>
  <si>
    <t>2026-02-18T11:06:37.283531</t>
  </si>
  <si>
    <t>2026-02-18T11:11:58.041563</t>
  </si>
  <si>
    <t>52.532,23</t>
  </si>
  <si>
    <t>2026-02-18T11:11:59.046637</t>
  </si>
  <si>
    <t>2026-02-18T11:18:24.020771</t>
  </si>
  <si>
    <t>59.460,23</t>
  </si>
  <si>
    <t>2026-02-18T11:18:25.030514</t>
  </si>
  <si>
    <t>2026-02-18T11:22:41.727996</t>
  </si>
  <si>
    <t>50.708,17</t>
  </si>
  <si>
    <t>2026-02-18T11:22:42.741196</t>
  </si>
  <si>
    <t>2026-02-18T11:28:16.913735</t>
  </si>
  <si>
    <t>46.952,21</t>
  </si>
  <si>
    <t>2026-02-18T11:28:17.917824</t>
  </si>
  <si>
    <t>2026-02-18T11:33:13.257403</t>
  </si>
  <si>
    <t>53.892,23</t>
  </si>
  <si>
    <t>2026-02-18T11:33:14.263958</t>
  </si>
  <si>
    <t>2026-02-18T11:37:45.664309</t>
  </si>
  <si>
    <t>43.424,19</t>
  </si>
  <si>
    <t>2026-02-18T11:37:46.669631</t>
  </si>
  <si>
    <t>2026-02-18T11:41:05.018487</t>
  </si>
  <si>
    <t>52.564,21</t>
  </si>
  <si>
    <t>2026-02-18T11:41:06.026297</t>
  </si>
  <si>
    <t>2026-02-18T11:44:44.355794</t>
  </si>
  <si>
    <t>36.288,26</t>
  </si>
  <si>
    <t>2026-02-18T11:44:45.368109</t>
  </si>
  <si>
    <t>2026-02-18T11:47:27.670868</t>
  </si>
  <si>
    <t>85.752,21</t>
  </si>
  <si>
    <t>2026-02-18T11:47:28.681087</t>
  </si>
  <si>
    <t>2026-02-18T11:53:48.126684</t>
  </si>
  <si>
    <t>59.944,26</t>
  </si>
  <si>
    <t>2026-02-18T11:53:49.134604</t>
  </si>
  <si>
    <t>2026-02-18T11:59:24.979628</t>
  </si>
  <si>
    <t>41.340,26</t>
  </si>
  <si>
    <t>2026-02-18T11:59:25.991307</t>
  </si>
  <si>
    <t>2026-02-18T12:01:55.840736</t>
  </si>
  <si>
    <t>77.112,24</t>
  </si>
  <si>
    <t>2026-02-18T12:01:56.852035</t>
  </si>
  <si>
    <t>2026-02-18T12:07:37.049922</t>
  </si>
  <si>
    <t>60.552,25</t>
  </si>
  <si>
    <t>2026-02-18T12:07:38.056473</t>
  </si>
  <si>
    <t>2026-02-18T12:12:58.170250</t>
  </si>
  <si>
    <t>42.352,25</t>
  </si>
  <si>
    <t>2026-02-18T12:12:59.174973</t>
  </si>
  <si>
    <t>2026-02-18T12:16:13.168746</t>
  </si>
  <si>
    <t>36.192,18</t>
  </si>
  <si>
    <t>2026-02-18T12:16:14.179396</t>
  </si>
  <si>
    <t>2026-02-18T12:21:26.484101</t>
  </si>
  <si>
    <t>67.992,20</t>
  </si>
  <si>
    <t>2026-02-18T12:21:27.488975</t>
  </si>
  <si>
    <t>2026-02-18T12:26:56.300967</t>
  </si>
  <si>
    <t>45.420,20</t>
  </si>
  <si>
    <t>2026-02-18T12:26:57.304232</t>
  </si>
  <si>
    <t>2026-02-18T12:31:11.264748</t>
  </si>
  <si>
    <t>59.240,22</t>
  </si>
  <si>
    <t>2026-02-18T12:31:12.269065</t>
  </si>
  <si>
    <t>2026-02-18T12:34:25.102953</t>
  </si>
  <si>
    <t>56.804,20</t>
  </si>
  <si>
    <t>2026-02-18T12:34:26.111342</t>
  </si>
  <si>
    <t>2026-02-18T12:38:04.945255</t>
  </si>
  <si>
    <t>47.740,25</t>
  </si>
  <si>
    <t>2026-02-18T12:38:05.949106</t>
  </si>
  <si>
    <t>2026-02-18T12:42:57.477652</t>
  </si>
  <si>
    <t>59.984,31</t>
  </si>
  <si>
    <t>2026-02-18T12:42:58.485159</t>
  </si>
  <si>
    <t>2026-02-18T12:46:50.406200</t>
  </si>
  <si>
    <t>63.012,31</t>
  </si>
  <si>
    <t>2026-02-18T12:46:51.415636</t>
  </si>
  <si>
    <t>2026-02-18T12:50:47.137687</t>
  </si>
  <si>
    <t>27.268,30</t>
  </si>
  <si>
    <t>2026-02-18T12:50:48.149014</t>
  </si>
  <si>
    <t>2026-02-18T12:53:03.133683</t>
  </si>
  <si>
    <t>97.096,28</t>
  </si>
  <si>
    <t>2026-02-18T12:53:04.145749</t>
  </si>
  <si>
    <t>2026-02-18T12:59:20.357728</t>
  </si>
  <si>
    <t>127.308,24</t>
  </si>
  <si>
    <t>2026-02-18T12:59:21.364417</t>
  </si>
  <si>
    <t>2026-02-18T13:09:35.853612</t>
  </si>
  <si>
    <t>49.116,31</t>
  </si>
  <si>
    <t>2026-02-18T13:09:36.868434</t>
  </si>
  <si>
    <t>2026-02-18T13:13:17.727457</t>
  </si>
  <si>
    <t>117.880,27</t>
  </si>
  <si>
    <t>2026-02-18T13:13:18.736578</t>
  </si>
  <si>
    <t>2026-02-18T13:20:06.660096</t>
  </si>
  <si>
    <t>50.904,30</t>
  </si>
  <si>
    <t>2026-02-18T13:20:07.666703</t>
  </si>
  <si>
    <t>2026-02-18T13:23:05.616372</t>
  </si>
  <si>
    <t>45.064,31</t>
  </si>
  <si>
    <t>2026-02-18T13:23:06.628718</t>
  </si>
  <si>
    <t>2026-02-18T13:27:19.250081</t>
  </si>
  <si>
    <t>88.736,29</t>
  </si>
  <si>
    <t>2026-02-18T13:27:20.257134</t>
  </si>
  <si>
    <t>2026-02-18T13:34:02.023701</t>
  </si>
  <si>
    <t>62.432,32</t>
  </si>
  <si>
    <t>2026-02-18T13:34:03.028476</t>
  </si>
  <si>
    <t>2026-02-18T13:38:31.152189</t>
  </si>
  <si>
    <t>42.980,26</t>
  </si>
  <si>
    <t>2026-02-18T13:38:32.154907</t>
  </si>
  <si>
    <t>2026-02-18T13:41:34.260574</t>
  </si>
  <si>
    <t>80.860,31</t>
  </si>
  <si>
    <t>2026-02-18T13:41:35.272822</t>
  </si>
  <si>
    <t>2026-02-18T13:47:41.190019</t>
  </si>
  <si>
    <t>79.336,29</t>
  </si>
  <si>
    <t>2026-02-18T13:47:42.202268</t>
  </si>
  <si>
    <t>2026-02-18T13:54:13.186963</t>
  </si>
  <si>
    <t>48.924,28</t>
  </si>
  <si>
    <t>2026-02-18T13:54:14.199031</t>
  </si>
  <si>
    <t>2026-02-18T13:58:02.921559</t>
  </si>
  <si>
    <t>86.424,30</t>
  </si>
  <si>
    <t>2026-02-18T13:58:03.933487</t>
  </si>
  <si>
    <t>2026-02-18T14:03:26.039517</t>
  </si>
  <si>
    <t>134.020,30</t>
  </si>
  <si>
    <t>2026-02-18T14:03:27.046328</t>
  </si>
  <si>
    <t>2026-02-18T14:12:56.403644</t>
  </si>
  <si>
    <t>53.272,30</t>
  </si>
  <si>
    <t>2026-02-18T14:12:57.414036</t>
  </si>
  <si>
    <t>2026-02-18T14:16:49.141617</t>
  </si>
  <si>
    <t>86.728,28</t>
  </si>
  <si>
    <t>2026-02-18T14:16:50.153311</t>
  </si>
  <si>
    <t>2026-02-18T14:21:50.704175</t>
  </si>
  <si>
    <t>76.148,30</t>
  </si>
  <si>
    <t>2026-02-18T14:21:51.713313</t>
  </si>
  <si>
    <t>2026-02-18T14:27:46.781021</t>
  </si>
  <si>
    <t>42.896,28</t>
  </si>
  <si>
    <t>2026-02-18T14:27:47.793280</t>
  </si>
  <si>
    <t>2026-02-18T14:31:03.924346</t>
  </si>
  <si>
    <t>70.972,29</t>
  </si>
  <si>
    <t>2026-02-18T14:31:04.927232</t>
  </si>
  <si>
    <t>2026-02-18T14:36:08.526920</t>
  </si>
  <si>
    <t>59.472,31</t>
  </si>
  <si>
    <t>2026-02-18T14:36:09.531028</t>
  </si>
  <si>
    <t>2026-02-18T14:40:30.972255</t>
  </si>
  <si>
    <t>49.384,29</t>
  </si>
  <si>
    <t>2026-02-18T14:40:31.976194</t>
  </si>
  <si>
    <t>2026-02-18T14:44:16.274238</t>
  </si>
  <si>
    <t>60.332,29</t>
  </si>
  <si>
    <t>2026-02-18T14:44:17.280957</t>
  </si>
  <si>
    <t>2026-02-18T14:47:59.292365</t>
  </si>
  <si>
    <t>52.784,31</t>
  </si>
  <si>
    <t>2026-02-18T14:48:00.304283</t>
  </si>
  <si>
    <t>2026-02-18T14:52:33.271216</t>
  </si>
  <si>
    <t>46.624,29</t>
  </si>
  <si>
    <t>2026-02-18T14:52:34.283641</t>
  </si>
  <si>
    <t>2026-02-18T14:56:22.798262</t>
  </si>
  <si>
    <t>71.728,27</t>
  </si>
  <si>
    <t>2026-02-18T14:56:23.809287</t>
  </si>
  <si>
    <t>2026-02-18T15:00:20.519977</t>
  </si>
  <si>
    <t>60.808,28</t>
  </si>
  <si>
    <t>2026-02-18T15:00:21.531428</t>
  </si>
  <si>
    <t>2026-02-18T15:05:43.477014</t>
  </si>
  <si>
    <t>42.504,26</t>
  </si>
  <si>
    <t>2026-02-18T15:05:44.483119</t>
  </si>
  <si>
    <t>2026-02-18T15:08:28.593378</t>
  </si>
  <si>
    <t>63.292,21</t>
  </si>
  <si>
    <t>2026-02-18T15:08:29.601375</t>
  </si>
  <si>
    <t>2026-02-18T15:14:25.780575</t>
  </si>
  <si>
    <t>54.644,23</t>
  </si>
  <si>
    <t>2026-02-18T15:14:26.790510</t>
  </si>
  <si>
    <t>2026-02-18T15:19:39.980250</t>
  </si>
  <si>
    <t>58.180,25</t>
  </si>
  <si>
    <t>2026-02-18T15:19:41.000419</t>
  </si>
  <si>
    <t>2026-02-18T15:24:33.755332</t>
  </si>
  <si>
    <t>72.760,24</t>
  </si>
  <si>
    <t>2026-02-18T15:24:34.758148</t>
  </si>
  <si>
    <t>2026-02-18T15:29:18.504392</t>
  </si>
  <si>
    <t>68.216,23</t>
  </si>
  <si>
    <t>2026-02-18T15:29:19.515800</t>
  </si>
  <si>
    <t>2026-02-18T15:34:33.670013</t>
  </si>
  <si>
    <t>50.060,26</t>
  </si>
  <si>
    <t>2026-02-18T15:34:34.680771</t>
  </si>
  <si>
    <t>2026-02-18T15:39:15.627911</t>
  </si>
  <si>
    <t>94.672,23</t>
  </si>
  <si>
    <t>2026-02-18T15:39:16.632344</t>
  </si>
  <si>
    <t>2026-02-18T15:45:20.973506</t>
  </si>
  <si>
    <t>119.260,23</t>
  </si>
  <si>
    <t>2026-02-18T15:45:21.977154</t>
  </si>
  <si>
    <t>2026-02-18T15:54:49.238855</t>
  </si>
  <si>
    <t>40.136,26</t>
  </si>
  <si>
    <t>2026-02-18T15:54:50.247368</t>
  </si>
  <si>
    <t>2026-02-18T15:57:25.625312</t>
  </si>
  <si>
    <t>66.976,20</t>
  </si>
  <si>
    <t>2026-02-18T15:57:26.632878</t>
  </si>
  <si>
    <t>2026-02-18T16:01:25.512371</t>
  </si>
  <si>
    <t>89.980,24</t>
  </si>
  <si>
    <t>2026-02-18T16:01:26.519080</t>
  </si>
  <si>
    <t>2026-02-18T16:07:54.782566</t>
  </si>
  <si>
    <t>47.884,25</t>
  </si>
  <si>
    <t>2026-02-18T16:07:55.790338</t>
  </si>
  <si>
    <t>2026-02-18T16:12:18.531735</t>
  </si>
  <si>
    <t>94.684,22</t>
  </si>
  <si>
    <t>2026-02-18T16:12:19.544002</t>
  </si>
  <si>
    <t>2026-02-18T16:17:44.142807</t>
  </si>
  <si>
    <t>93.728,23</t>
  </si>
  <si>
    <t>2026-02-18T16:17:45.146330</t>
  </si>
  <si>
    <t>2026-02-18T16:24:28.565484</t>
  </si>
  <si>
    <t>45.628,25</t>
  </si>
  <si>
    <t>2026-02-18T16:24:29.577430</t>
  </si>
  <si>
    <t>2026-02-18T16:27:56.712722</t>
  </si>
  <si>
    <t>63.616,22</t>
  </si>
  <si>
    <t>2026-02-18T16:27:57.731869</t>
  </si>
  <si>
    <t>2026-02-18T16:32:51.057972</t>
  </si>
  <si>
    <t>41.708,25</t>
  </si>
  <si>
    <t>2026-02-18T16:32:52.070388</t>
  </si>
  <si>
    <t>2026-02-18T16:37:10.366556</t>
  </si>
  <si>
    <t>48.720,22</t>
  </si>
  <si>
    <t>2026-02-18T16:37:11.379924</t>
  </si>
  <si>
    <t>2026-02-18T16:40:25.997441</t>
  </si>
  <si>
    <t>70.704,21</t>
  </si>
  <si>
    <t>2026-02-18T16:40:27.006169</t>
  </si>
  <si>
    <t>2026-02-18T16:45:32.430889</t>
  </si>
  <si>
    <t>57.236,26</t>
  </si>
  <si>
    <t>2026-02-18T16:45:33.436479</t>
  </si>
  <si>
    <t>2026-02-18T16:49:27.825949</t>
  </si>
  <si>
    <t>55.968,27</t>
  </si>
  <si>
    <t>2026-02-18T16:49:28.844215</t>
  </si>
  <si>
    <t>2026-02-18T16:53:22.500564</t>
  </si>
  <si>
    <t>76.924,23</t>
  </si>
  <si>
    <t>2026-02-18T16:53:23.509154</t>
  </si>
  <si>
    <t>2026-02-18T16:58:18.388235</t>
  </si>
  <si>
    <t>98.596,27</t>
  </si>
  <si>
    <t>2026-02-18T16:58:19.399527</t>
  </si>
  <si>
    <t>2026-02-18T17:05:10.832516</t>
  </si>
  <si>
    <t>39.668,29</t>
  </si>
  <si>
    <t>2026-02-18T17:05:11.841784</t>
  </si>
  <si>
    <t>2026-02-18T17:08:11.570462</t>
  </si>
  <si>
    <t>84.692,25</t>
  </si>
  <si>
    <t>2026-02-18T17:08:12.576700</t>
  </si>
  <si>
    <t>2026-02-18T17:14:08.554331</t>
  </si>
  <si>
    <t>79.256,28</t>
  </si>
  <si>
    <t>2026-02-18T17:14:09.559738</t>
  </si>
  <si>
    <t>2026-02-18T17:20:14.864097</t>
  </si>
  <si>
    <t>38.092,29</t>
  </si>
  <si>
    <t>2026-02-18T17:20:15.868203</t>
  </si>
  <si>
    <t>2026-02-18T17:23:55.180974</t>
  </si>
  <si>
    <t>129.840,25</t>
  </si>
  <si>
    <t>2026-02-18T17:23:56.193079</t>
  </si>
  <si>
    <t>2026-02-18T17:33:49.941595</t>
  </si>
  <si>
    <t>78.284,27</t>
  </si>
  <si>
    <t>2026-02-18T17:33:50.953153</t>
  </si>
  <si>
    <t>2026-02-18T17:39:19.233805</t>
  </si>
  <si>
    <t>43.116,29</t>
  </si>
  <si>
    <t>2026-02-18T17:39:20.247287</t>
  </si>
  <si>
    <t>2026-02-18T17:42:39.664065</t>
  </si>
  <si>
    <t>73.392,23</t>
  </si>
  <si>
    <t>2026-02-18T17:42:40.676591</t>
  </si>
  <si>
    <t>2026-02-18T17:47:24.268963</t>
  </si>
  <si>
    <t>64.448,28</t>
  </si>
  <si>
    <t>2026-02-18T17:47:25.279079</t>
  </si>
  <si>
    <t>2026-02-18T17:52:36.549340</t>
  </si>
  <si>
    <t>40.668,28</t>
  </si>
  <si>
    <t>2026-02-18T17:52:37.559175</t>
  </si>
  <si>
    <t>2026-02-18T17:56:36.404151</t>
  </si>
  <si>
    <t>112.132,25</t>
  </si>
  <si>
    <t>2026-02-18T17:56:37.429860</t>
  </si>
  <si>
    <t>2026-02-18T18:03:52.857426</t>
  </si>
  <si>
    <t>88.752,29</t>
  </si>
  <si>
    <t>2026-02-18T18:03:53.868499</t>
  </si>
  <si>
    <t>2026-02-18T18:10:58.344474</t>
  </si>
  <si>
    <t>38.992,29</t>
  </si>
  <si>
    <t>2026-02-18T18:10:59.355552</t>
  </si>
  <si>
    <t>2026-02-18T18:13:51.205440</t>
  </si>
  <si>
    <t>84.828,28</t>
  </si>
  <si>
    <t>2026-02-18T18:13:52.217593</t>
  </si>
  <si>
    <t>2026-02-18T18:19:54.181084</t>
  </si>
  <si>
    <t>92.736,28</t>
  </si>
  <si>
    <t>2026-02-18T18:19:55.193832</t>
  </si>
  <si>
    <t>2026-02-18T18:26:24.034326</t>
  </si>
  <si>
    <t>50.916,31</t>
  </si>
  <si>
    <t>2026-02-18T18:26:25.051000</t>
  </si>
  <si>
    <t>2026-02-18T18:29:47.370209</t>
  </si>
  <si>
    <t>60.116,25</t>
  </si>
  <si>
    <t>2026-02-18T18:29:48.373743</t>
  </si>
  <si>
    <t>2026-02-18T18:33:35.179674</t>
  </si>
  <si>
    <t>114.536,27</t>
  </si>
  <si>
    <t>2026-02-18T18:33:36.184207</t>
  </si>
  <si>
    <t>2026-02-18T18:41:36.593578</t>
  </si>
  <si>
    <t>42.364,31</t>
  </si>
  <si>
    <t>2026-02-18T18:41:37.605577</t>
  </si>
  <si>
    <t>2026-02-18T18:44:44.152754</t>
  </si>
  <si>
    <t>92.112,26</t>
  </si>
  <si>
    <t>2026-02-18T18:44:45.159472</t>
  </si>
  <si>
    <t>2026-02-18T18:50:37.326569</t>
  </si>
  <si>
    <t>78.704,28</t>
  </si>
  <si>
    <t>2026-02-18T18:50:38.339165</t>
  </si>
  <si>
    <t>2026-02-18T18:56:56.181279</t>
  </si>
  <si>
    <t>53.448,33</t>
  </si>
  <si>
    <t>2026-02-18T18:56:57.193561</t>
  </si>
  <si>
    <t>2026-02-18T19:01:12.574458</t>
  </si>
  <si>
    <t>67.444,25</t>
  </si>
  <si>
    <t>2026-02-18T19:01:13.579975</t>
  </si>
  <si>
    <t>2026-02-18T19:07:28.855409</t>
  </si>
  <si>
    <t>65.836,30</t>
  </si>
  <si>
    <t>2026-02-18T19:07:29.868240</t>
  </si>
  <si>
    <t>2026-02-18T19:12:09.677218</t>
  </si>
  <si>
    <t>33.376,32</t>
  </si>
  <si>
    <t>2026-02-18T19:12:10.690515</t>
  </si>
  <si>
    <t>2026-02-18T19:15:24.343535</t>
  </si>
  <si>
    <t>71.112,24</t>
  </si>
  <si>
    <t>2026-02-18T19:15:25.349894</t>
  </si>
  <si>
    <t>2026-02-18T19:20:44.886899</t>
  </si>
  <si>
    <t>55.880,28</t>
  </si>
  <si>
    <t>2026-02-18T19:20:45.895113</t>
  </si>
  <si>
    <t>2026-02-18T19:25:53.147238</t>
  </si>
  <si>
    <t>33.420,32</t>
  </si>
  <si>
    <t>2026-02-18T19:25:54.153142</t>
  </si>
  <si>
    <t>2026-02-18T19:28:21.111669</t>
  </si>
  <si>
    <t>73.236,28</t>
  </si>
  <si>
    <t>83.364,27</t>
  </si>
  <si>
    <t>45.804,32</t>
  </si>
  <si>
    <t>92.892,24</t>
  </si>
  <si>
    <t>48.152,26</t>
  </si>
  <si>
    <t>55.528,28</t>
  </si>
  <si>
    <t>73.620,24</t>
  </si>
  <si>
    <t>108.864,26</t>
  </si>
  <si>
    <t>55.824,29</t>
  </si>
  <si>
    <t>94.416,25</t>
  </si>
  <si>
    <t>85.244,27</t>
  </si>
  <si>
    <t>49.088,24</t>
  </si>
  <si>
    <t>112.248,24</t>
  </si>
  <si>
    <t>38.944,27</t>
  </si>
  <si>
    <t>46.524,26</t>
  </si>
  <si>
    <t>93.776,28</t>
  </si>
  <si>
    <t>69.896,17</t>
  </si>
  <si>
    <t>2026-02-18T08:34:40.319085</t>
  </si>
  <si>
    <t>2026-02-18T08:38:49.238112</t>
  </si>
  <si>
    <t>41.184,20</t>
  </si>
  <si>
    <t>2026-02-18T08:38:50.244375</t>
  </si>
  <si>
    <t>2026-02-18T08:42:02.491240</t>
  </si>
  <si>
    <t>31.384,25</t>
  </si>
  <si>
    <t>2026-02-18T08:42:03.500033</t>
  </si>
  <si>
    <t>2026-02-18T08:45:00.155504</t>
  </si>
  <si>
    <t>62.080,19</t>
  </si>
  <si>
    <t>2026-02-18T08:45:01.166700</t>
  </si>
  <si>
    <t>2026-02-18T08:49:44.954688</t>
  </si>
  <si>
    <t>62.304,20</t>
  </si>
  <si>
    <t>2026-02-18T08:49:45.965739</t>
  </si>
  <si>
    <t>2026-02-18T08:54:19.058918</t>
  </si>
  <si>
    <t>50.632,25</t>
  </si>
  <si>
    <t>2026-02-18T08:54:20.060875</t>
  </si>
  <si>
    <t>2026-02-18T08:58:02.252213</t>
  </si>
  <si>
    <t>63.272,18</t>
  </si>
  <si>
    <t>2026-02-18T08:58:03.260772</t>
  </si>
  <si>
    <t>2026-02-18T09:02:33.817111</t>
  </si>
  <si>
    <t>59.136,17</t>
  </si>
  <si>
    <t>2026-02-18T09:02:34.830119</t>
  </si>
  <si>
    <t>2026-02-18T09:06:55.395942</t>
  </si>
  <si>
    <t>56.048,21</t>
  </si>
  <si>
    <t>2026-02-18T09:06:56.406172</t>
  </si>
  <si>
    <t>2026-02-18T09:09:36.747522</t>
  </si>
  <si>
    <t>108.872,20</t>
  </si>
  <si>
    <t>2026-02-18T09:09:37.758039</t>
  </si>
  <si>
    <t>2026-02-18T09:17:16.122896</t>
  </si>
  <si>
    <t>99.028,20</t>
  </si>
  <si>
    <t>2026-02-18T09:17:17.129721</t>
  </si>
  <si>
    <t>2026-02-18T09:24:42.225922</t>
  </si>
  <si>
    <t>39.344,22</t>
  </si>
  <si>
    <t>2026-02-18T09:24:43.236963</t>
  </si>
  <si>
    <t>2026-02-18T09:26:49.187906</t>
  </si>
  <si>
    <t>61.348,19</t>
  </si>
  <si>
    <t>2026-02-18T09:26:50.199576</t>
  </si>
  <si>
    <t>2026-02-18T09:31:37.664365</t>
  </si>
  <si>
    <t>54.640,18</t>
  </si>
  <si>
    <t>2026-02-18T09:31:38.674864</t>
  </si>
  <si>
    <t>2026-02-18T09:36:06.404626</t>
  </si>
  <si>
    <t>52.676,25</t>
  </si>
  <si>
    <t>2026-02-18T09:36:07.409330</t>
  </si>
  <si>
    <t>2026-02-18T09:39:55.708290</t>
  </si>
  <si>
    <t>108.168,19</t>
  </si>
  <si>
    <t>2026-02-18T09:39:56.719712</t>
  </si>
  <si>
    <t>2026-02-18T09:46:19.463134</t>
  </si>
  <si>
    <t>66.484,19</t>
  </si>
  <si>
    <t>2026-02-18T09:46:20.470183</t>
  </si>
  <si>
    <t>2026-02-18T09:50:44.639222</t>
  </si>
  <si>
    <t>52.980,20</t>
  </si>
  <si>
    <t>2026-02-18T09:50:45.645475</t>
  </si>
  <si>
    <t>2026-02-18T09:55:25.784294</t>
  </si>
  <si>
    <t>84.652,21</t>
  </si>
  <si>
    <t>2026-02-18T09:55:26.792293</t>
  </si>
  <si>
    <t>2026-02-18T10:00:40.780830</t>
  </si>
  <si>
    <t>38.968,20</t>
  </si>
  <si>
    <t>2026-02-18T10:00:41.784685</t>
  </si>
  <si>
    <t>2026-02-18T10:03:03.978646</t>
  </si>
  <si>
    <t>37.984,24</t>
  </si>
  <si>
    <t>2026-02-18T10:03:04.989905</t>
  </si>
  <si>
    <t>2026-02-18T10:05:52.078540</t>
  </si>
  <si>
    <t>76.304,21</t>
  </si>
  <si>
    <t>2026-02-18T10:05:53.082654</t>
  </si>
  <si>
    <t>2026-02-18T10:10:55.968357</t>
  </si>
  <si>
    <t>55.456,17</t>
  </si>
  <si>
    <t>2026-02-18T10:10:56.973254</t>
  </si>
  <si>
    <t>2026-02-18T10:16:18.823155</t>
  </si>
  <si>
    <t>29.736,23</t>
  </si>
  <si>
    <t>2026-02-18T10:16:19.830134</t>
  </si>
  <si>
    <t>2026-02-18T10:18:39.925981</t>
  </si>
  <si>
    <t>51.228,19</t>
  </si>
  <si>
    <t>2026-02-18T10:18:40.938193</t>
  </si>
  <si>
    <t>2026-02-18T10:22:18.291087</t>
  </si>
  <si>
    <t>51.608,18</t>
  </si>
  <si>
    <t>2026-02-18T10:22:19.299649</t>
  </si>
  <si>
    <t>2026-02-18T10:26:12.747074</t>
  </si>
  <si>
    <t>29.580,23</t>
  </si>
  <si>
    <t>2026-02-18T10:26:13.758555</t>
  </si>
  <si>
    <t>2026-02-18T10:29:18.697694</t>
  </si>
  <si>
    <t>68.604,26</t>
  </si>
  <si>
    <t>2026-02-18T10:29:19.708290</t>
  </si>
  <si>
    <t>2026-02-18T10:34:36.844591</t>
  </si>
  <si>
    <t>52.988,26</t>
  </si>
  <si>
    <t>2026-02-18T10:34:37.857325</t>
  </si>
  <si>
    <t>2026-02-18T10:38:21.362403</t>
  </si>
  <si>
    <t>40.448,29</t>
  </si>
  <si>
    <t>2026-02-18T10:38:22.374423</t>
  </si>
  <si>
    <t>2026-02-18T10:41:20.493944</t>
  </si>
  <si>
    <t>85.216,24</t>
  </si>
  <si>
    <t>2026-02-18T10:41:21.507795</t>
  </si>
  <si>
    <t>2026-02-18T10:48:08.578678</t>
  </si>
  <si>
    <t>126.300,27</t>
  </si>
  <si>
    <t>2026-02-18T10:48:09.587686</t>
  </si>
  <si>
    <t>2026-02-18T10:57:04.440623</t>
  </si>
  <si>
    <t>45.212,28</t>
  </si>
  <si>
    <t>2026-02-18T10:57:05.450016</t>
  </si>
  <si>
    <t>2026-02-18T10:59:42.262164</t>
  </si>
  <si>
    <t>101.908,24</t>
  </si>
  <si>
    <t>2026-02-18T10:59:43.271533</t>
  </si>
  <si>
    <t>2026-02-18T11:07:51.735567</t>
  </si>
  <si>
    <t>77.624,26</t>
  </si>
  <si>
    <t>2026-02-18T11:07:52.739486</t>
  </si>
  <si>
    <t>2026-02-18T11:13:00.191041</t>
  </si>
  <si>
    <t>53.008,26</t>
  </si>
  <si>
    <t>2026-02-18T11:13:01.197197</t>
  </si>
  <si>
    <t>2026-02-18T11:17:42.803125</t>
  </si>
  <si>
    <t>50.320,29</t>
  </si>
  <si>
    <t>2026-02-18T11:17:43.814889</t>
  </si>
  <si>
    <t>2026-02-18T11:22:24.006026</t>
  </si>
  <si>
    <t>56.404,26</t>
  </si>
  <si>
    <t>2026-02-18T11:22:25.018056</t>
  </si>
  <si>
    <t>2026-02-18T11:25:25.230577</t>
  </si>
  <si>
    <t>63.836,25</t>
  </si>
  <si>
    <t>2026-02-18T11:25:26.239935</t>
  </si>
  <si>
    <t>2026-02-18T11:29:21.932394</t>
  </si>
  <si>
    <t>72.620,24</t>
  </si>
  <si>
    <t>2026-02-18T11:29:22.937526</t>
  </si>
  <si>
    <t>2026-02-18T11:34:57.708553</t>
  </si>
  <si>
    <t>56.992,26</t>
  </si>
  <si>
    <t>2026-02-18T11:34:58.721576</t>
  </si>
  <si>
    <t>2026-02-18T11:40:03.528183</t>
  </si>
  <si>
    <t>51.424,28</t>
  </si>
  <si>
    <t>2026-02-18T11:40:04.540847</t>
  </si>
  <si>
    <t>2026-02-18T11:43:57.075935</t>
  </si>
  <si>
    <t>92.240,27</t>
  </si>
  <si>
    <t>2026-02-18T11:43:58.084053</t>
  </si>
  <si>
    <t>2026-02-18T11:50:49.907305</t>
  </si>
  <si>
    <t>59.908,23</t>
  </si>
  <si>
    <t>2026-02-18T11:50:50.909961</t>
  </si>
  <si>
    <t>2026-02-18T11:55:49.254898</t>
  </si>
  <si>
    <t>48.292,30</t>
  </si>
  <si>
    <t>2026-02-18T11:55:50.266246</t>
  </si>
  <si>
    <t>2026-02-18T11:59:29.832450</t>
  </si>
  <si>
    <t>58.128,27</t>
  </si>
  <si>
    <t>2026-02-18T11:59:30.848723</t>
  </si>
  <si>
    <t>2026-02-18T12:03:55.396626</t>
  </si>
  <si>
    <t>87.392,23</t>
  </si>
  <si>
    <t>2026-02-18T12:03:56.406887</t>
  </si>
  <si>
    <t>2026-02-18T12:11:09.664423</t>
  </si>
  <si>
    <t>56.468,26</t>
  </si>
  <si>
    <t>2026-02-18T12:11:10.667916</t>
  </si>
  <si>
    <t>2026-02-18T12:13:54.866177</t>
  </si>
  <si>
    <t>74.028,24</t>
  </si>
  <si>
    <t>2026-02-18T12:13:55.872127</t>
  </si>
  <si>
    <t>2026-02-18T12:18:30.238869</t>
  </si>
  <si>
    <t>53.756,25</t>
  </si>
  <si>
    <t>2026-02-18T12:18:31.246764</t>
  </si>
  <si>
    <t>2026-02-18T12:22:14.281003</t>
  </si>
  <si>
    <t>37.112,27</t>
  </si>
  <si>
    <t>2026-02-18T12:22:15.287508</t>
  </si>
  <si>
    <t>2026-02-18T12:25:01.788972</t>
  </si>
  <si>
    <t>63.148,25</t>
  </si>
  <si>
    <t>2026-02-18T12:25:02.795616</t>
  </si>
  <si>
    <t>2026-02-18T12:29:52.291430</t>
  </si>
  <si>
    <t>54.056,25</t>
  </si>
  <si>
    <t>2026-02-18T12:29:53.314669</t>
  </si>
  <si>
    <t>2026-02-18T12:33:42.540229</t>
  </si>
  <si>
    <t>40.284,25</t>
  </si>
  <si>
    <t>2026-02-18T12:33:43.547983</t>
  </si>
  <si>
    <t>2026-02-18T12:37:01.338898</t>
  </si>
  <si>
    <t>46.532,30</t>
  </si>
  <si>
    <t>2026-02-18T12:37:02.345599</t>
  </si>
  <si>
    <t>2026-02-18T12:39:25.081348</t>
  </si>
  <si>
    <t>74.876,29</t>
  </si>
  <si>
    <t>2026-02-18T12:39:26.089918</t>
  </si>
  <si>
    <t>2026-02-18T12:44:39.501362</t>
  </si>
  <si>
    <t>41.300,31</t>
  </si>
  <si>
    <t>2026-02-18T12:44:40.513353</t>
  </si>
  <si>
    <t>2026-02-18T12:47:50.281486</t>
  </si>
  <si>
    <t>76.536,29</t>
  </si>
  <si>
    <t>2026-02-18T12:47:51.290543</t>
  </si>
  <si>
    <t>2026-02-18T12:52:20.078642</t>
  </si>
  <si>
    <t>63.028,29</t>
  </si>
  <si>
    <t>2026-02-18T12:52:21.090331</t>
  </si>
  <si>
    <t>2026-02-18T12:58:16.477484</t>
  </si>
  <si>
    <t>60.960,26</t>
  </si>
  <si>
    <t>2026-02-18T12:58:17.484893</t>
  </si>
  <si>
    <t>2026-02-18T13:02:53.585994</t>
  </si>
  <si>
    <t>73.288,29</t>
  </si>
  <si>
    <t>2026-02-18T13:02:54.596828</t>
  </si>
  <si>
    <t>2026-02-18T13:07:44.035647</t>
  </si>
  <si>
    <t>99.620,23</t>
  </si>
  <si>
    <t>2026-02-18T13:07:45.039173</t>
  </si>
  <si>
    <t>2026-02-18T13:15:36.647272</t>
  </si>
  <si>
    <t>57.964,33</t>
  </si>
  <si>
    <t>2026-02-18T13:15:37.657792</t>
  </si>
  <si>
    <t>2026-02-18T13:19:52.316043</t>
  </si>
  <si>
    <t>74.968,29</t>
  </si>
  <si>
    <t>2026-02-18T13:19:53.323951</t>
  </si>
  <si>
    <t>2026-02-18T13:24:41.811809</t>
  </si>
  <si>
    <t>91.144,25</t>
  </si>
  <si>
    <t>2026-02-18T13:24:42.823922</t>
  </si>
  <si>
    <t>2026-02-18T13:31:24.816595</t>
  </si>
  <si>
    <t>39.876,30</t>
  </si>
  <si>
    <t>2026-02-18T13:31:25.828699</t>
  </si>
  <si>
    <t>2026-02-18T13:33:55.999647</t>
  </si>
  <si>
    <t>96.456,29</t>
  </si>
  <si>
    <t>2026-02-18T13:33:57.008340</t>
  </si>
  <si>
    <t>2026-02-18T13:41:48.475230</t>
  </si>
  <si>
    <t>65.276,27</t>
  </si>
  <si>
    <t>2026-02-18T13:41:49.481215</t>
  </si>
  <si>
    <t>2026-02-18T13:46:43.723416</t>
  </si>
  <si>
    <t>57.844,29</t>
  </si>
  <si>
    <t>2026-02-18T13:46:44.734154</t>
  </si>
  <si>
    <t>2026-02-18T13:51:22.092504</t>
  </si>
  <si>
    <t>62.372,29</t>
  </si>
  <si>
    <t>2026-02-18T13:51:23.097206</t>
  </si>
  <si>
    <t>2026-02-18T13:56:48.121490</t>
  </si>
  <si>
    <t>80.248,23</t>
  </si>
  <si>
    <t>2026-02-18T13:56:49.125149</t>
  </si>
  <si>
    <t>2026-02-18T14:03:09.467582</t>
  </si>
  <si>
    <t>57.900,28</t>
  </si>
  <si>
    <t>2026-02-18T14:03:10.473200</t>
  </si>
  <si>
    <t>2026-02-18T14:08:20.133755</t>
  </si>
  <si>
    <t>50.760,29</t>
  </si>
  <si>
    <t>2026-02-18T14:08:21.146669</t>
  </si>
  <si>
    <t>2026-02-18T14:12:08.308907</t>
  </si>
  <si>
    <t>62.072,27</t>
  </si>
  <si>
    <t>2026-02-18T14:12:09.328503</t>
  </si>
  <si>
    <t>2026-02-18T14:17:36.980889</t>
  </si>
  <si>
    <t>52.068,26</t>
  </si>
  <si>
    <t>2026-02-18T14:17:37.990205</t>
  </si>
  <si>
    <t>2026-02-18T14:21:12.758893</t>
  </si>
  <si>
    <t>94.020,29</t>
  </si>
  <si>
    <t>2026-02-18T14:21:13.771513</t>
  </si>
  <si>
    <t>2026-02-18T14:27:51.220500</t>
  </si>
  <si>
    <t>87.700,26</t>
  </si>
  <si>
    <t>2026-02-18T14:27:52.231807</t>
  </si>
  <si>
    <t>2026-02-18T14:32:26.901491</t>
  </si>
  <si>
    <t>52.480,30</t>
  </si>
  <si>
    <t>2026-02-18T14:32:27.906956</t>
  </si>
  <si>
    <t>2026-02-18T14:35:52.767213</t>
  </si>
  <si>
    <t>67.032,26</t>
  </si>
  <si>
    <t>2026-02-18T14:35:53.780064</t>
  </si>
  <si>
    <t>2026-02-18T14:41:31.356428</t>
  </si>
  <si>
    <t>56.156,28</t>
  </si>
  <si>
    <t>2026-02-18T14:41:32.368345</t>
  </si>
  <si>
    <t>2026-02-18T14:46:02.706809</t>
  </si>
  <si>
    <t>52.992,30</t>
  </si>
  <si>
    <t>2026-02-18T14:46:03.712872</t>
  </si>
  <si>
    <t>2026-02-18T14:48:39.048504</t>
  </si>
  <si>
    <t>37.464,23</t>
  </si>
  <si>
    <t>2026-02-18T14:48:40.059401</t>
  </si>
  <si>
    <t>2026-02-18T14:51:40.839241</t>
  </si>
  <si>
    <t>67.276,27</t>
  </si>
  <si>
    <t>2026-02-18T14:51:41.843174</t>
  </si>
  <si>
    <t>2026-02-18T14:55:37.420648</t>
  </si>
  <si>
    <t>41.700,27</t>
  </si>
  <si>
    <t>2026-02-18T14:55:38.423188</t>
  </si>
  <si>
    <t>2026-02-18T14:59:26.731025</t>
  </si>
  <si>
    <t>85.656,24</t>
  </si>
  <si>
    <t>2026-02-18T14:59:27.736724</t>
  </si>
  <si>
    <t>2026-02-18T15:05:28.159693</t>
  </si>
  <si>
    <t>71.828,21</t>
  </si>
  <si>
    <t>2026-02-18T15:05:29.166398</t>
  </si>
  <si>
    <t>2026-02-18T15:11:13.044897</t>
  </si>
  <si>
    <t>51.676,21</t>
  </si>
  <si>
    <t>2026-02-18T15:11:14.050769</t>
  </si>
  <si>
    <t>2026-02-18T15:14:49.532709</t>
  </si>
  <si>
    <t>95.560,24</t>
  </si>
  <si>
    <t>2026-02-18T15:14:50.543095</t>
  </si>
  <si>
    <t>2026-02-18T15:20:44.336145</t>
  </si>
  <si>
    <t>42.128,24</t>
  </si>
  <si>
    <t>2026-02-18T15:20:45.348209</t>
  </si>
  <si>
    <t>2026-02-18T15:24:10.919741</t>
  </si>
  <si>
    <t>51.764,21</t>
  </si>
  <si>
    <t>2026-02-18T15:24:11.932723</t>
  </si>
  <si>
    <t>2026-02-18T15:28:53.439621</t>
  </si>
  <si>
    <t>81.948,24</t>
  </si>
  <si>
    <t>2026-02-18T15:28:54.443841</t>
  </si>
  <si>
    <t>2026-02-18T15:35:10.668104</t>
  </si>
  <si>
    <t>39.392,24</t>
  </si>
  <si>
    <t>2026-02-18T15:35:11.680343</t>
  </si>
  <si>
    <t>2026-02-18T15:38:17.188180</t>
  </si>
  <si>
    <t>40.340,22</t>
  </si>
  <si>
    <t>2026-02-18T15:38:18.201911</t>
  </si>
  <si>
    <t>2026-02-18T15:40:46.565621</t>
  </si>
  <si>
    <t>62.368,21</t>
  </si>
  <si>
    <t>2026-02-18T15:40:47.571775</t>
  </si>
  <si>
    <t>2026-02-18T15:45:38.435479</t>
  </si>
  <si>
    <t>75.848,25</t>
  </si>
  <si>
    <t>2026-02-18T15:45:39.443797</t>
  </si>
  <si>
    <t>2026-02-18T15:51:40.565399</t>
  </si>
  <si>
    <t>41.112,23</t>
  </si>
  <si>
    <t>2026-02-18T15:51:41.578290</t>
  </si>
  <si>
    <t>2026-02-18T15:54:51.659069</t>
  </si>
  <si>
    <t>80.628,21</t>
  </si>
  <si>
    <t>2026-02-18T15:54:52.670215</t>
  </si>
  <si>
    <t>2026-02-18T15:59:53.715286</t>
  </si>
  <si>
    <t>51.240,25</t>
  </si>
  <si>
    <t>2026-02-18T15:59:54.723227</t>
  </si>
  <si>
    <t>2026-02-18T16:03:21.229119</t>
  </si>
  <si>
    <t>47.524,20</t>
  </si>
  <si>
    <t>2026-02-18T16:03:22.237496</t>
  </si>
  <si>
    <t>2026-02-18T16:06:59.578984</t>
  </si>
  <si>
    <t>90.068,21</t>
  </si>
  <si>
    <t>2026-02-18T16:07:00.591534</t>
  </si>
  <si>
    <t>2026-02-18T16:13:37.106788</t>
  </si>
  <si>
    <t>59.192,25</t>
  </si>
  <si>
    <t>2026-02-18T16:13:38.117432</t>
  </si>
  <si>
    <t>2026-02-18T16:18:07.095321</t>
  </si>
  <si>
    <t>33.876,24</t>
  </si>
  <si>
    <t>2026-02-18T16:18:08.106982</t>
  </si>
  <si>
    <t>2026-02-18T16:20:29.668765</t>
  </si>
  <si>
    <t>77.088,18</t>
  </si>
  <si>
    <t>2026-02-18T16:20:30.686876</t>
  </si>
  <si>
    <t>2026-02-18T16:26:10.849341</t>
  </si>
  <si>
    <t>72.556,24</t>
  </si>
  <si>
    <t>2026-02-18T16:26:11.861617</t>
  </si>
  <si>
    <t>2026-02-18T16:31:22.280783</t>
  </si>
  <si>
    <t>37.728,24</t>
  </si>
  <si>
    <t>2026-02-18T16:31:23.286936</t>
  </si>
  <si>
    <t>2026-02-18T16:34:16.608275</t>
  </si>
  <si>
    <t>75.760,18</t>
  </si>
  <si>
    <t>2026-02-18T16:34:17.613190</t>
  </si>
  <si>
    <t>2026-02-18T16:39:50.070698</t>
  </si>
  <si>
    <t>112.996,20</t>
  </si>
  <si>
    <t>2026-02-18T16:39:51.083471</t>
  </si>
  <si>
    <t>2026-02-18T16:48:44.900742</t>
  </si>
  <si>
    <t>45.796,24</t>
  </si>
  <si>
    <t>2026-02-18T16:48:45.908067</t>
  </si>
  <si>
    <t>2026-02-18T16:52:17.246011</t>
  </si>
  <si>
    <t>61.560,29</t>
  </si>
  <si>
    <t>2026-02-18T16:52:18.252453</t>
  </si>
  <si>
    <t>2026-02-18T16:56:02.424894</t>
  </si>
  <si>
    <t>49.256,28</t>
  </si>
  <si>
    <t>2026-02-18T16:56:03.437320</t>
  </si>
  <si>
    <t>2026-02-18T16:59:19.506319</t>
  </si>
  <si>
    <t>30.440,31</t>
  </si>
  <si>
    <t>2026-02-18T16:59:20.518150</t>
  </si>
  <si>
    <t>2026-02-18T17:01:33.564721</t>
  </si>
  <si>
    <t>62.636,27</t>
  </si>
  <si>
    <t>2026-02-18T17:01:34.569381</t>
  </si>
  <si>
    <t>2026-02-18T17:07:25.972610</t>
  </si>
  <si>
    <t>64.876,24</t>
  </si>
  <si>
    <t>2026-02-18T17:07:26.981317</t>
  </si>
  <si>
    <t>2026-02-18T17:11:46.302281</t>
  </si>
  <si>
    <t>43.628,31</t>
  </si>
  <si>
    <t>2026-02-18T17:11:47.315579</t>
  </si>
  <si>
    <t>2026-02-18T17:14:39.636362</t>
  </si>
  <si>
    <t>91.080,28</t>
  </si>
  <si>
    <t>2026-02-18T17:14:40.642401</t>
  </si>
  <si>
    <t>2026-02-18T17:20:11.739320</t>
  </si>
  <si>
    <t>84.908,22</t>
  </si>
  <si>
    <t>2026-02-18T17:20:12.748676</t>
  </si>
  <si>
    <t>2026-02-18T17:25:53.764364</t>
  </si>
  <si>
    <t>53.472,33</t>
  </si>
  <si>
    <t>2026-02-18T17:25:54.771177</t>
  </si>
  <si>
    <t>2026-02-18T17:29:48.568964</t>
  </si>
  <si>
    <t>59.556,28</t>
  </si>
  <si>
    <t>2026-02-18T17:29:49.574678</t>
  </si>
  <si>
    <t>2026-02-18T17:34:24.610352</t>
  </si>
  <si>
    <t>140.304,23</t>
  </si>
  <si>
    <t>2026-02-18T17:34:25.618637</t>
  </si>
  <si>
    <t>2026-02-18T17:44:35.428407</t>
  </si>
  <si>
    <t>46.996,28</t>
  </si>
  <si>
    <t>2026-02-18T17:44:36.439593</t>
  </si>
  <si>
    <t>2026-02-18T17:47:27.027262</t>
  </si>
  <si>
    <t>61.016,27</t>
  </si>
  <si>
    <t>2026-02-18T17:47:28.039306</t>
  </si>
  <si>
    <t>2026-02-18T17:53:25.816975</t>
  </si>
  <si>
    <t>113.356,23</t>
  </si>
  <si>
    <t>2026-02-18T17:53:26.819828</t>
  </si>
  <si>
    <t>2026-02-18T18:01:43.774701</t>
  </si>
  <si>
    <t>45.224,29</t>
  </si>
  <si>
    <t>2026-02-18T18:01:44.782828</t>
  </si>
  <si>
    <t>2026-02-18T18:04:26.269958</t>
  </si>
  <si>
    <t>56.648,28</t>
  </si>
  <si>
    <t>2026-02-18T18:04:27.281548</t>
  </si>
  <si>
    <t>2026-02-18T18:08:51.296941</t>
  </si>
  <si>
    <t>93.604,26</t>
  </si>
  <si>
    <t>2026-02-18T18:08:52.309796</t>
  </si>
  <si>
    <t>2026-02-18T18:15:23.398895</t>
  </si>
  <si>
    <t>52.404,28</t>
  </si>
  <si>
    <t>2026-02-18T18:15:24.406099</t>
  </si>
  <si>
    <t>2026-02-18T18:19:18.709121</t>
  </si>
  <si>
    <t>64.856,29</t>
  </si>
  <si>
    <t>2026-02-18T18:19:19.732011</t>
  </si>
  <si>
    <t>2026-02-18T18:23:21.445484</t>
  </si>
  <si>
    <t>55.148,24</t>
  </si>
  <si>
    <t>2026-02-18T18:23:22.461931</t>
  </si>
  <si>
    <t>2026-02-18T18:28:41.694440</t>
  </si>
  <si>
    <t>68.308,30</t>
  </si>
  <si>
    <t>2026-02-18T18:28:42.707927</t>
  </si>
  <si>
    <t>2026-02-18T18:33:46.407432</t>
  </si>
  <si>
    <t>62.276,28</t>
  </si>
  <si>
    <t>2026-02-18T18:33:47.430184</t>
  </si>
  <si>
    <t>2026-02-18T18:38:35.468601</t>
  </si>
  <si>
    <t>76.812,25</t>
  </si>
  <si>
    <t>2026-02-18T18:38:36.473817</t>
  </si>
  <si>
    <t>2026-02-18T18:45:29.050630</t>
  </si>
  <si>
    <t>46.184,30</t>
  </si>
  <si>
    <t>2026-02-18T18:45:30.054937</t>
  </si>
  <si>
    <t>2026-02-18T18:48:08.913741</t>
  </si>
  <si>
    <t>62.272,28</t>
  </si>
  <si>
    <t>2026-02-18T18:48:09.918369</t>
  </si>
  <si>
    <t>2026-02-18T18:52:53.862961</t>
  </si>
  <si>
    <t>60.604,28</t>
  </si>
  <si>
    <t>2026-02-18T18:52:54.874892</t>
  </si>
  <si>
    <t>2026-02-18T18:57:24.497331</t>
  </si>
  <si>
    <t>37.192,31</t>
  </si>
  <si>
    <t>2026-02-18T18:57:25.515718</t>
  </si>
  <si>
    <t>2026-02-18T18:59:02.866828</t>
  </si>
  <si>
    <t>2026-02-18T21:44:35.090561</t>
  </si>
  <si>
    <t>2026-02-18T21:46:56.031476</t>
  </si>
  <si>
    <t>2026-02-18T22:01:35.199985</t>
  </si>
  <si>
    <t>2026-02-18T22:10:03.889644</t>
  </si>
  <si>
    <t>2026-02-18T22:10:04.901384</t>
  </si>
  <si>
    <t>2026-02-18T22:14:25.572494</t>
  </si>
  <si>
    <t>2026-02-18T22:17:39.746242</t>
  </si>
  <si>
    <t>2026-02-18T22:22:12.151054</t>
  </si>
  <si>
    <t>2026-02-18T22:22:13.159727</t>
  </si>
  <si>
    <t>2026-02-18T22:25:04.681653</t>
  </si>
  <si>
    <t>2026-02-18T22:25:05.693914</t>
  </si>
  <si>
    <t>2026-02-18T22:28:45.564065</t>
  </si>
  <si>
    <t>2026-02-18T22:28:46.576821</t>
  </si>
  <si>
    <t>2026-02-18T22:34:40.127349</t>
  </si>
  <si>
    <t>2026-02-18T22:34:41.141701</t>
  </si>
  <si>
    <t>2026-02-18T22:40:02.738570</t>
  </si>
  <si>
    <t>2026-02-18T22:43:45.520262</t>
  </si>
  <si>
    <t>2026-02-18T22:46:38.358055</t>
  </si>
  <si>
    <t>2026-02-18T22:46:39.369344</t>
  </si>
  <si>
    <t>2026-02-18T22:49:41.378185</t>
  </si>
  <si>
    <t>2026-02-18T22:49:42.383586</t>
  </si>
  <si>
    <t>2026-02-18T22:51:19.327988</t>
  </si>
  <si>
    <t>2026-02-18T22:51:20.340100</t>
  </si>
  <si>
    <t>2026-02-18T22:53:49.880151</t>
  </si>
  <si>
    <t>2026-02-18T22:53:50.891058</t>
  </si>
  <si>
    <t>2026-02-18T22:56:06.279488</t>
  </si>
  <si>
    <t>2026-02-18T22:58:07.854779</t>
  </si>
  <si>
    <t>2026-02-18T23:01:15.634938</t>
  </si>
  <si>
    <t>60.544,24</t>
  </si>
  <si>
    <t>2026-02-18T23:01:16.644042</t>
  </si>
  <si>
    <t>2026-02-18T23:04:35.638043</t>
  </si>
  <si>
    <t>57.920,33</t>
  </si>
  <si>
    <t>2026-02-18T23:04:36.643732</t>
  </si>
  <si>
    <t>2026-02-18T23:06:45.850384</t>
  </si>
  <si>
    <t>77.292,25</t>
  </si>
  <si>
    <t>2026-02-18T23:06:46.860641</t>
  </si>
  <si>
    <t>2026-02-18T23:10:44.899787</t>
  </si>
  <si>
    <t>62.280,24</t>
  </si>
  <si>
    <t>2026-02-18T23:10:45.911296</t>
  </si>
  <si>
    <t>2026-02-18T23:13:05.035037</t>
  </si>
  <si>
    <t>37.996,29</t>
  </si>
  <si>
    <t>2026-02-18T23:13:06.040895</t>
  </si>
  <si>
    <t>2026-02-18T23:14:27.953136</t>
  </si>
  <si>
    <t>69.964,23</t>
  </si>
  <si>
    <t>2026-02-18T23:14:28.964142</t>
  </si>
  <si>
    <t>2026-02-18T23:16:48.495010</t>
  </si>
  <si>
    <t>78.044,24</t>
  </si>
  <si>
    <t>2026-02-18T23:16:49.503253</t>
  </si>
  <si>
    <t>2026-02-18T23:20:56.530093</t>
  </si>
  <si>
    <t>40.948,25</t>
  </si>
  <si>
    <t>2026-02-18T23:20:57.542018</t>
  </si>
  <si>
    <t>2026-02-18T23:23:39.292946</t>
  </si>
  <si>
    <t>109.780,23</t>
  </si>
  <si>
    <t>2026-02-18T23:23:40.304390</t>
  </si>
  <si>
    <t>2026-02-18T23:28:30.127910</t>
  </si>
  <si>
    <t>67.908,21</t>
  </si>
  <si>
    <t>2026-02-18T23:28:31.137329</t>
  </si>
  <si>
    <t>2026-02-18T23:31:42.738807</t>
  </si>
  <si>
    <t>60.028,28</t>
  </si>
  <si>
    <t>2026-02-18T23:31:43.743304</t>
  </si>
  <si>
    <t>2026-02-18T23:34:09.329252</t>
  </si>
  <si>
    <t>127.996,22</t>
  </si>
  <si>
    <t>2026-02-18T23:34:10.333049</t>
  </si>
  <si>
    <t>2026-02-18T23:38:31.060152</t>
  </si>
  <si>
    <t>117.048,24</t>
  </si>
  <si>
    <t>2026-02-18T23:38:32.071552</t>
  </si>
  <si>
    <t>2026-02-18T23:42:52.090300</t>
  </si>
  <si>
    <t>43.852,30</t>
  </si>
  <si>
    <t>2026-02-18T23:42:53.098110</t>
  </si>
  <si>
    <t>2026-02-18T23:44:18.637711</t>
  </si>
  <si>
    <t>100.216,19</t>
  </si>
  <si>
    <t>2026-02-18T23:44:19.647699</t>
  </si>
  <si>
    <t>2026-02-18T23:48:40.480895</t>
  </si>
  <si>
    <t>64.500,24</t>
  </si>
  <si>
    <t>2026-02-18T23:48:41.492560</t>
  </si>
  <si>
    <t>2026-02-18T23:51:29.226455</t>
  </si>
  <si>
    <t>59.280,29</t>
  </si>
  <si>
    <t>2026-02-18T23:51:30.229391</t>
  </si>
  <si>
    <t>2026-02-18T23:53:59.854457</t>
  </si>
  <si>
    <t>118.220,27</t>
  </si>
  <si>
    <t>2026-02-18T23:54:00.858738</t>
  </si>
  <si>
    <t>2026-02-18T23:58:46.454298</t>
  </si>
  <si>
    <t>59.192,23</t>
  </si>
  <si>
    <t>2026-02-18T23:58:47.460766</t>
  </si>
  <si>
    <t>2026-02-19T00:01:31.151010</t>
  </si>
  <si>
    <t>48.404,29</t>
  </si>
  <si>
    <t>2026-02-19T00:01:32.162601</t>
  </si>
  <si>
    <t>2026-02-19T00:04:18.254116</t>
  </si>
  <si>
    <t>86.964,22</t>
  </si>
  <si>
    <t>2026-02-19T00:04:19.262389</t>
  </si>
  <si>
    <t>2026-02-19T00:07:13.756263</t>
  </si>
  <si>
    <t>97.208,22</t>
  </si>
  <si>
    <t>2026-02-19T00:07:14.768041</t>
  </si>
  <si>
    <t>2026-02-19T00:12:12.516485</t>
  </si>
  <si>
    <t>49.852,27</t>
  </si>
  <si>
    <t>2026-02-19T00:12:13.531810</t>
  </si>
  <si>
    <t>2026-02-19T00:16:20.518861</t>
  </si>
  <si>
    <t>65.296,25</t>
  </si>
  <si>
    <t>2026-02-19T00:16:21.532317</t>
  </si>
  <si>
    <t>2026-02-19T00:19:49.036388</t>
  </si>
  <si>
    <t>102.420,25</t>
  </si>
  <si>
    <t>2026-02-19T00:19:50.043934</t>
  </si>
  <si>
    <t>2026-02-19T00:25:11.491225</t>
  </si>
  <si>
    <t>37.392,29</t>
  </si>
  <si>
    <t>2026-02-19T00:25:12.505045</t>
  </si>
  <si>
    <t>2026-02-19T00:27:35.197893</t>
  </si>
  <si>
    <t>90.648,25</t>
  </si>
  <si>
    <t>2026-02-19T00:27:36.203636</t>
  </si>
  <si>
    <t>2026-02-19T00:30:20.153538</t>
  </si>
  <si>
    <t>80.296,22</t>
  </si>
  <si>
    <t>2026-02-19T00:30:21.165028</t>
  </si>
  <si>
    <t>2026-02-19T00:33:46.936202</t>
  </si>
  <si>
    <t>47.840,25</t>
  </si>
  <si>
    <t>2026-02-19T00:33:47.947525</t>
  </si>
  <si>
    <t>2026-02-19T00:35:29.518605</t>
  </si>
  <si>
    <t>90.196,23</t>
  </si>
  <si>
    <t>2026-02-19T00:35:30.521959</t>
  </si>
  <si>
    <t>2026-02-19T00:40:01.800209</t>
  </si>
  <si>
    <t>67.436,27</t>
  </si>
  <si>
    <t>2026-02-19T00:40:02.812544</t>
  </si>
  <si>
    <t>2026-02-19T00:43:04.799184</t>
  </si>
  <si>
    <t>51.236,28</t>
  </si>
  <si>
    <t>2026-02-19T00:43:05.810378</t>
  </si>
  <si>
    <t>2026-02-19T00:45:14.526707</t>
  </si>
  <si>
    <t>40.868,25</t>
  </si>
  <si>
    <t>2026-02-19T00:45:15.536161</t>
  </si>
  <si>
    <t>2026-02-19T00:47:44.958977</t>
  </si>
  <si>
    <t>48.340,26</t>
  </si>
  <si>
    <t>2026-02-19T00:47:45.971434</t>
  </si>
  <si>
    <t>2026-02-19T00:49:46.179281</t>
  </si>
  <si>
    <t>47.780,27</t>
  </si>
  <si>
    <t>2026-02-19T00:49:47.191322</t>
  </si>
  <si>
    <t>2026-02-19T00:51:49.626919</t>
  </si>
  <si>
    <t>76.256,26</t>
  </si>
  <si>
    <t>2026-02-19T00:51:50.638569</t>
  </si>
  <si>
    <t>2026-02-19T00:55:01.528360</t>
  </si>
  <si>
    <t>81.340,24</t>
  </si>
  <si>
    <t>2026-02-19T00:55:02.540507</t>
  </si>
  <si>
    <t>2026-02-19T00:58:04.711458</t>
  </si>
  <si>
    <t>60.800,31</t>
  </si>
  <si>
    <t>2026-02-19T00:58:05.721694</t>
  </si>
  <si>
    <t>2026-02-19T01:00:01.897206</t>
  </si>
  <si>
    <t>69.176,24</t>
  </si>
  <si>
    <t>2026-02-19T01:00:02.910279</t>
  </si>
  <si>
    <t>2026-02-19T01:02:51.525681</t>
  </si>
  <si>
    <t>47.280,24</t>
  </si>
  <si>
    <t>2026-02-19T01:02:52.527706</t>
  </si>
  <si>
    <t>2026-02-19T01:04:55.937944</t>
  </si>
  <si>
    <t>51.268,28</t>
  </si>
  <si>
    <t>2026-02-19T01:04:56.945496</t>
  </si>
  <si>
    <t>2026-02-19T01:06:43.070541</t>
  </si>
  <si>
    <t>69.212,26</t>
  </si>
  <si>
    <t>2026-02-19T01:06:44.081676</t>
  </si>
  <si>
    <t>2026-02-19T01:09:45.378584</t>
  </si>
  <si>
    <t>46.944,24</t>
  </si>
  <si>
    <t>2026-02-19T01:09:46.391127</t>
  </si>
  <si>
    <t>2026-02-19T01:12:45.495488</t>
  </si>
  <si>
    <t>40.976,28</t>
  </si>
  <si>
    <t>2026-02-19T01:12:46.507388</t>
  </si>
  <si>
    <t>2026-02-19T01:14:28.590207</t>
  </si>
  <si>
    <t>130.732,25</t>
  </si>
  <si>
    <t>2026-02-19T01:14:29.601640</t>
  </si>
  <si>
    <t>2026-02-19T01:19:54.149992</t>
  </si>
  <si>
    <t>54.052,23</t>
  </si>
  <si>
    <t>2026-02-19T01:19:55.160978</t>
  </si>
  <si>
    <t>2026-02-19T01:23:42.465876</t>
  </si>
  <si>
    <t>54.056,29</t>
  </si>
  <si>
    <t>2026-02-19T01:23:43.478246</t>
  </si>
  <si>
    <t>2026-02-19T01:25:44.110633</t>
  </si>
  <si>
    <t>53.272,26</t>
  </si>
  <si>
    <t>2026-02-19T01:25:45.123511</t>
  </si>
  <si>
    <t>2026-02-19T01:28:08.986927</t>
  </si>
  <si>
    <t>42.196,22</t>
  </si>
  <si>
    <t>2026-02-19T01:28:09.998988</t>
  </si>
  <si>
    <t>2026-02-19T01:31:05.669720</t>
  </si>
  <si>
    <t>39.808,31</t>
  </si>
  <si>
    <t>2026-02-19T01:31:06.675979</t>
  </si>
  <si>
    <t>2026-02-19T01:32:41.180326</t>
  </si>
  <si>
    <t>101.936,24</t>
  </si>
  <si>
    <t>2026-02-19T01:32:42.191811</t>
  </si>
  <si>
    <t>2026-02-19T01:36:48.058720</t>
  </si>
  <si>
    <t>120.172,25</t>
  </si>
  <si>
    <t>2026-02-19T01:36:49.063265</t>
  </si>
  <si>
    <t>2026-02-19T01:41:43.745565</t>
  </si>
  <si>
    <t>66.028,32</t>
  </si>
  <si>
    <t>2026-02-19T01:41:44.757069</t>
  </si>
  <si>
    <t>2026-02-19T01:43:53.202430</t>
  </si>
  <si>
    <t>101.060,23</t>
  </si>
  <si>
    <t>2026-02-19T01:43:54.213903</t>
  </si>
  <si>
    <t>2026-02-19T01:46:38.931921</t>
  </si>
  <si>
    <t>77.336,23</t>
  </si>
  <si>
    <t>2026-02-19T01:46:39.938302</t>
  </si>
  <si>
    <t>2026-02-19T01:49:26.948489</t>
  </si>
  <si>
    <t>47.632,29</t>
  </si>
  <si>
    <t>2026-02-19T01:49:27.951543</t>
  </si>
  <si>
    <t>2026-02-19T01:50:52.279358</t>
  </si>
  <si>
    <t>66.312,26</t>
  </si>
  <si>
    <t>2026-02-19T01:50:53.293420</t>
  </si>
  <si>
    <t>2026-02-19T01:52:36.792684</t>
  </si>
  <si>
    <t>69.964,22</t>
  </si>
  <si>
    <t>2026-02-19T01:52:37.803698</t>
  </si>
  <si>
    <t>2026-02-19T01:54:57.868233</t>
  </si>
  <si>
    <t>48.296,31</t>
  </si>
  <si>
    <t>2026-02-19T01:54:58.878715</t>
  </si>
  <si>
    <t>2026-02-19T01:56:41.492610</t>
  </si>
  <si>
    <t>2026-02-18T21:36:03.129590</t>
  </si>
  <si>
    <t>2026-02-18T21:40:44.122682</t>
  </si>
  <si>
    <t>2026-02-18T21:40:45.130200</t>
  </si>
  <si>
    <t>2026-02-18T21:46:30.338809</t>
  </si>
  <si>
    <t>2026-02-18T21:46:31.345740</t>
  </si>
  <si>
    <t>2026-02-18T21:50:10.343317</t>
  </si>
  <si>
    <t>2026-02-18T21:50:11.350834</t>
  </si>
  <si>
    <t>2026-02-18T21:56:37.839985</t>
  </si>
  <si>
    <t>2026-02-18T21:56:38.858038</t>
  </si>
  <si>
    <t>2026-02-18T22:02:38.948473</t>
  </si>
  <si>
    <t>2026-02-18T22:02:39.951631</t>
  </si>
  <si>
    <t>2026-02-18T22:07:33.678203</t>
  </si>
  <si>
    <t>2026-02-18T22:07:34.689272</t>
  </si>
  <si>
    <t>2026-02-18T22:14:10.895389</t>
  </si>
  <si>
    <t>2026-02-18T22:14:11.899837</t>
  </si>
  <si>
    <t>2026-02-18T22:22:54.568384</t>
  </si>
  <si>
    <t>2026-02-18T22:22:55.580802</t>
  </si>
  <si>
    <t>2026-02-18T22:26:24.116237</t>
  </si>
  <si>
    <t>2026-02-18T22:26:25.123647</t>
  </si>
  <si>
    <t>2026-02-18T22:32:31.212420</t>
  </si>
  <si>
    <t>2026-02-18T22:32:32.218034</t>
  </si>
  <si>
    <t>2026-02-18T22:39:13.821563</t>
  </si>
  <si>
    <t>2026-02-18T22:39:14.832622</t>
  </si>
  <si>
    <t>2026-02-18T22:42:11.450693</t>
  </si>
  <si>
    <t>2026-02-18T22:42:12.463764</t>
  </si>
  <si>
    <t>2026-02-18T22:46:27.166436</t>
  </si>
  <si>
    <t>2026-02-18T22:46:28.177504</t>
  </si>
  <si>
    <t>2026-02-18T22:48:49.258272</t>
  </si>
  <si>
    <t>2026-02-18T22:48:50.269843</t>
  </si>
  <si>
    <t>2026-02-18T22:51:40.326251</t>
  </si>
  <si>
    <t>2026-02-18T22:51:41.337728</t>
  </si>
  <si>
    <t>2026-02-18T22:56:10.106652</t>
  </si>
  <si>
    <t>90.680,26</t>
  </si>
  <si>
    <t>2026-02-18T22:56:11.115278</t>
  </si>
  <si>
    <t>2026-02-18T23:00:58.680368</t>
  </si>
  <si>
    <t>45.592,28</t>
  </si>
  <si>
    <t>2026-02-18T23:00:59.691297</t>
  </si>
  <si>
    <t>2026-02-18T23:02:30.268514</t>
  </si>
  <si>
    <t>76.488,27</t>
  </si>
  <si>
    <t>2026-02-18T23:02:31.279716</t>
  </si>
  <si>
    <t>2026-02-18T23:06:23.277504</t>
  </si>
  <si>
    <t>51.516,26</t>
  </si>
  <si>
    <t>2026-02-18T23:06:24.292554</t>
  </si>
  <si>
    <t>2026-02-18T23:09:20.256076</t>
  </si>
  <si>
    <t>56.012,26</t>
  </si>
  <si>
    <t>2026-02-18T23:09:21.275847</t>
  </si>
  <si>
    <t>2026-02-18T23:11:34.882142</t>
  </si>
  <si>
    <t>84.568,27</t>
  </si>
  <si>
    <t>2026-02-18T23:11:35.888030</t>
  </si>
  <si>
    <t>2026-02-18T23:15:58.559854</t>
  </si>
  <si>
    <t>72.940,28</t>
  </si>
  <si>
    <t>2026-02-18T23:15:59.570489</t>
  </si>
  <si>
    <t>2026-02-18T23:19:44.046645</t>
  </si>
  <si>
    <t>39.280,29</t>
  </si>
  <si>
    <t>2026-02-18T23:19:45.058522</t>
  </si>
  <si>
    <t>2026-02-18T23:21:04.399665</t>
  </si>
  <si>
    <t>109.252,27</t>
  </si>
  <si>
    <t>2026-02-18T23:21:05.412230</t>
  </si>
  <si>
    <t>2026-02-18T23:24:39.784346</t>
  </si>
  <si>
    <t>84.468,26</t>
  </si>
  <si>
    <t>2026-02-18T23:24:40.796161</t>
  </si>
  <si>
    <t>2026-02-18T23:28:01.413867</t>
  </si>
  <si>
    <t>38.072,29</t>
  </si>
  <si>
    <t>2026-02-18T23:28:02.419890</t>
  </si>
  <si>
    <t>2026-02-18T23:30:22.360264</t>
  </si>
  <si>
    <t>54.272,27</t>
  </si>
  <si>
    <t>2026-02-18T23:30:23.365521</t>
  </si>
  <si>
    <t>2026-02-18T23:32:42.834033</t>
  </si>
  <si>
    <t>88.128,31</t>
  </si>
  <si>
    <t>2026-02-18T23:32:43.838431</t>
  </si>
  <si>
    <t>2026-02-18T23:36:17.051963</t>
  </si>
  <si>
    <t>43.884,33</t>
  </si>
  <si>
    <t>2026-02-18T23:36:18.061675</t>
  </si>
  <si>
    <t>2026-02-18T23:37:37.801469</t>
  </si>
  <si>
    <t>60.512,26</t>
  </si>
  <si>
    <t>2026-02-18T23:37:38.812343</t>
  </si>
  <si>
    <t>2026-02-18T23:41:19.901394</t>
  </si>
  <si>
    <t>100.040,27</t>
  </si>
  <si>
    <t>2026-02-18T23:41:20.906513</t>
  </si>
  <si>
    <t>2026-02-18T23:45:44.711010</t>
  </si>
  <si>
    <t>65.364,31</t>
  </si>
  <si>
    <t>2026-02-18T23:45:45.721547</t>
  </si>
  <si>
    <t>2026-02-18T23:49:18.811382</t>
  </si>
  <si>
    <t>51.612,27</t>
  </si>
  <si>
    <t>2026-02-18T23:49:19.823855</t>
  </si>
  <si>
    <t>2026-02-18T23:51:08.809063</t>
  </si>
  <si>
    <t>47.272,24</t>
  </si>
  <si>
    <t>2026-02-18T23:51:09.814190</t>
  </si>
  <si>
    <t>2026-02-18T23:54:01.177043</t>
  </si>
  <si>
    <t>50.232,28</t>
  </si>
  <si>
    <t>2026-02-18T23:54:02.188381</t>
  </si>
  <si>
    <t>2026-02-18T23:56:08.754519</t>
  </si>
  <si>
    <t>59.472,29</t>
  </si>
  <si>
    <t>2026-02-18T23:56:09.767251</t>
  </si>
  <si>
    <t>2026-02-18T23:59:28.307506</t>
  </si>
  <si>
    <t>66.752,26</t>
  </si>
  <si>
    <t>2026-02-18T23:59:29.319426</t>
  </si>
  <si>
    <t>2026-02-19T00:02:08.918209</t>
  </si>
  <si>
    <t>48.464,28</t>
  </si>
  <si>
    <t>2026-02-19T00:02:09.929792</t>
  </si>
  <si>
    <t>2026-02-19T00:04:04.043830</t>
  </si>
  <si>
    <t>80.392,25</t>
  </si>
  <si>
    <t>2026-02-19T00:04:05.047162</t>
  </si>
  <si>
    <t>2026-02-19T00:07:57.188683</t>
  </si>
  <si>
    <t>64.240,27</t>
  </si>
  <si>
    <t>2026-02-19T00:07:58.199898</t>
  </si>
  <si>
    <t>2026-02-19T00:10:41.021051</t>
  </si>
  <si>
    <t>31.172,33</t>
  </si>
  <si>
    <t>2026-02-19T00:10:42.032097</t>
  </si>
  <si>
    <t>2026-02-19T00:11:57.022297</t>
  </si>
  <si>
    <t>39.968,26</t>
  </si>
  <si>
    <t>2026-02-19T00:11:58.028220</t>
  </si>
  <si>
    <t>2026-02-19T00:15:50.279903</t>
  </si>
  <si>
    <t>87.316,24</t>
  </si>
  <si>
    <t>2026-02-19T00:15:51.285430</t>
  </si>
  <si>
    <t>2026-02-19T00:19:12.220271</t>
  </si>
  <si>
    <t>49.880,26</t>
  </si>
  <si>
    <t>2026-02-19T00:19:13.229098</t>
  </si>
  <si>
    <t>2026-02-19T00:20:56.539146</t>
  </si>
  <si>
    <t>86.160,25</t>
  </si>
  <si>
    <t>2026-02-19T00:20:57.544584</t>
  </si>
  <si>
    <t>2026-02-19T00:24:44.777230</t>
  </si>
  <si>
    <t>48.456,27</t>
  </si>
  <si>
    <t>2026-02-19T00:24:45.786073</t>
  </si>
  <si>
    <t>2026-02-19T00:26:43.690151</t>
  </si>
  <si>
    <t>31.600,32</t>
  </si>
  <si>
    <t>2026-02-19T00:26:44.692896</t>
  </si>
  <si>
    <t>2026-02-19T00:27:58.824263</t>
  </si>
  <si>
    <t>76.900,29</t>
  </si>
  <si>
    <t>2026-02-19T00:27:59.828318</t>
  </si>
  <si>
    <t>2026-02-19T00:32:03.680232</t>
  </si>
  <si>
    <t>93.956,30</t>
  </si>
  <si>
    <t>2026-02-19T00:32:04.692298</t>
  </si>
  <si>
    <t>2026-02-19T00:35:55.373132</t>
  </si>
  <si>
    <t>48.000,28</t>
  </si>
  <si>
    <t>2026-02-19T00:35:56.385288</t>
  </si>
  <si>
    <t>2026-02-19T00:37:31.386892</t>
  </si>
  <si>
    <t>74.060,30</t>
  </si>
  <si>
    <t>2026-02-19T00:37:32.398130</t>
  </si>
  <si>
    <t>2026-02-19T00:40:33.916687</t>
  </si>
  <si>
    <t>59.672,30</t>
  </si>
  <si>
    <t>2026-02-19T00:40:34.921076</t>
  </si>
  <si>
    <t>2026-02-19T00:43:04.501261</t>
  </si>
  <si>
    <t>41.256,32</t>
  </si>
  <si>
    <t>2026-02-19T00:43:05.512199</t>
  </si>
  <si>
    <t>2026-02-19T00:45:02.613196</t>
  </si>
  <si>
    <t>34.276,25</t>
  </si>
  <si>
    <t>2026-02-19T00:45:03.615817</t>
  </si>
  <si>
    <t>2026-02-19T00:46:47.545459</t>
  </si>
  <si>
    <t>70.436,23</t>
  </si>
  <si>
    <t>2026-02-19T00:46:48.550185</t>
  </si>
  <si>
    <t>2026-02-19T00:49:42.712995</t>
  </si>
  <si>
    <t>49.876,29</t>
  </si>
  <si>
    <t>2026-02-19T00:49:43.724335</t>
  </si>
  <si>
    <t>2026-02-19T00:51:52.897789</t>
  </si>
  <si>
    <t>70.952,25</t>
  </si>
  <si>
    <t>2026-02-19T00:51:53.908134</t>
  </si>
  <si>
    <t>2026-02-19T00:55:30.153139</t>
  </si>
  <si>
    <t>92.672,21</t>
  </si>
  <si>
    <t>2026-02-19T00:55:31.161971</t>
  </si>
  <si>
    <t>2026-02-19T00:59:59.274644</t>
  </si>
  <si>
    <t>50.080,26</t>
  </si>
  <si>
    <t>2026-02-19T01:00:00.285852</t>
  </si>
  <si>
    <t>2026-02-19T01:02:15.454308</t>
  </si>
  <si>
    <t>97.020,24</t>
  </si>
  <si>
    <t>2026-02-19T01:02:16.460969</t>
  </si>
  <si>
    <t>2026-02-19T01:06:06.900848</t>
  </si>
  <si>
    <t>59.264,24</t>
  </si>
  <si>
    <t>2026-02-19T01:06:07.911916</t>
  </si>
  <si>
    <t>2026-02-19T01:08:32.681289</t>
  </si>
  <si>
    <t>57.324,25</t>
  </si>
  <si>
    <t>2026-02-19T01:08:33.687113</t>
  </si>
  <si>
    <t>2026-02-19T01:10:15.207677</t>
  </si>
  <si>
    <t>99.692,24</t>
  </si>
  <si>
    <t>2026-02-19T01:10:16.229317</t>
  </si>
  <si>
    <t>2026-02-19T01:13:55.139915</t>
  </si>
  <si>
    <t>67.880,27</t>
  </si>
  <si>
    <t>2026-02-19T01:13:56.143310</t>
  </si>
  <si>
    <t>2026-02-19T01:16:41.613366</t>
  </si>
  <si>
    <t>49.408,26</t>
  </si>
  <si>
    <t>2026-02-19T01:16:42.624833</t>
  </si>
  <si>
    <t>2026-02-19T01:19:30.829122</t>
  </si>
  <si>
    <t>73.600,26</t>
  </si>
  <si>
    <t>2026-02-19T01:19:31.840970</t>
  </si>
  <si>
    <t>2026-02-19T01:22:01.411858</t>
  </si>
  <si>
    <t>82.908,24</t>
  </si>
  <si>
    <t>2026-02-19T01:22:02.413371</t>
  </si>
  <si>
    <t>2026-02-19T01:25:42.772520</t>
  </si>
  <si>
    <t>58.756,27</t>
  </si>
  <si>
    <t>2026-02-19T01:25:43.785424</t>
  </si>
  <si>
    <t>2026-02-19T01:29:03.851676</t>
  </si>
  <si>
    <t>60.204,23</t>
  </si>
  <si>
    <t>2026-02-19T01:29:04.857215</t>
  </si>
  <si>
    <t>2026-02-19T01:32:42.799323</t>
  </si>
  <si>
    <t>104.836,29</t>
  </si>
  <si>
    <t>2026-02-19T01:32:43.813325</t>
  </si>
  <si>
    <t>2026-02-19T01:37:38.248066</t>
  </si>
  <si>
    <t>58.172,26</t>
  </si>
  <si>
    <t>2026-02-19T01:37:39.262036</t>
  </si>
  <si>
    <t>2026-02-19T01:39:51.461321</t>
  </si>
  <si>
    <t>56.832,25</t>
  </si>
  <si>
    <t>2026-02-19T01:39:52.464888</t>
  </si>
  <si>
    <t>2026-02-19T01:42:56.402707</t>
  </si>
  <si>
    <t>122.112,24</t>
  </si>
  <si>
    <t>2026-02-19T01:42:57.412493</t>
  </si>
  <si>
    <t>2026-02-19T01:46:41.587183</t>
  </si>
  <si>
    <t>46.900,31</t>
  </si>
  <si>
    <t>2026-02-19T01:46:42.598350</t>
  </si>
  <si>
    <t>2026-02-19T01:48:23.786100</t>
  </si>
  <si>
    <t>80.396,25</t>
  </si>
  <si>
    <t>2026-02-19T01:48:24.795577</t>
  </si>
  <si>
    <t>2026-02-19T01:50:42.044376</t>
  </si>
  <si>
    <t>60.944,25</t>
  </si>
  <si>
    <t>2026-02-19T01:50:43.051329</t>
  </si>
  <si>
    <t>2026-02-19T01:53:32.641704</t>
  </si>
  <si>
    <t>51.384,26</t>
  </si>
  <si>
    <t>2026-02-19T01:53:33.653162</t>
  </si>
  <si>
    <t>2026-02-19T01:55:02.653041</t>
  </si>
  <si>
    <t>63.568,23</t>
  </si>
  <si>
    <t>2026-02-19T01:55:03.664055</t>
  </si>
  <si>
    <t>2026-02-19T01:57:05.705049</t>
  </si>
  <si>
    <t>42.756,25</t>
  </si>
  <si>
    <t>2026-02-19T01:57:06.720376</t>
  </si>
  <si>
    <t>2026-02-19T01:58:41.366506</t>
  </si>
  <si>
    <t>56.400,24</t>
  </si>
  <si>
    <t>2026-02-19T01:58:42.381304</t>
  </si>
  <si>
    <t>2026-02-19T02:00:02.917004</t>
  </si>
  <si>
    <t>63.652,28</t>
  </si>
  <si>
    <t>2026-02-18T21:36:03.129657</t>
  </si>
  <si>
    <t>2026-02-18T21:41:23.980708</t>
  </si>
  <si>
    <t>67.740,29</t>
  </si>
  <si>
    <t>2026-02-18T21:41:24.984622</t>
  </si>
  <si>
    <t>2026-02-18T21:47:01.569941</t>
  </si>
  <si>
    <t>38.844,28</t>
  </si>
  <si>
    <t>2026-02-18T21:47:02.581949</t>
  </si>
  <si>
    <t>2026-02-18T21:49:41.360150</t>
  </si>
  <si>
    <t>102.876,28</t>
  </si>
  <si>
    <t>2026-02-18T21:49:42.372357</t>
  </si>
  <si>
    <t>2026-02-18T21:57:18.562634</t>
  </si>
  <si>
    <t>78.476,26</t>
  </si>
  <si>
    <t>2026-02-18T21:57:19.575461</t>
  </si>
  <si>
    <t>2026-02-18T22:02:42.419568</t>
  </si>
  <si>
    <t>50.292,26</t>
  </si>
  <si>
    <t>2026-02-18T22:02:43.427061</t>
  </si>
  <si>
    <t>2026-02-18T22:05:54.377865</t>
  </si>
  <si>
    <t>77.524,26</t>
  </si>
  <si>
    <t>2026-02-18T22:05:55.393664</t>
  </si>
  <si>
    <t>2026-02-18T22:10:45.934012</t>
  </si>
  <si>
    <t>91.236,26</t>
  </si>
  <si>
    <t>2026-02-18T22:10:46.946066</t>
  </si>
  <si>
    <t>2026-02-18T22:17:20.744859</t>
  </si>
  <si>
    <t>68.772,24</t>
  </si>
  <si>
    <t>2026-02-18T22:17:21.757716</t>
  </si>
  <si>
    <t>2026-02-18T22:23:17.070842</t>
  </si>
  <si>
    <t>106.212,29</t>
  </si>
  <si>
    <t>2026-02-18T22:23:18.075975</t>
  </si>
  <si>
    <t>2026-02-18T22:31:41.468261</t>
  </si>
  <si>
    <t>79.824,26</t>
  </si>
  <si>
    <t>2026-02-18T22:31:42.481611</t>
  </si>
  <si>
    <t>2026-02-18T22:38:55.538504</t>
  </si>
  <si>
    <t>62.620,32</t>
  </si>
  <si>
    <t>2026-02-18T22:38:56.549672</t>
  </si>
  <si>
    <t>2026-02-18T22:42:53.621339</t>
  </si>
  <si>
    <t>65.228,27</t>
  </si>
  <si>
    <t>2026-02-18T22:42:54.629423</t>
  </si>
  <si>
    <t>2026-02-18T22:48:43.163156</t>
  </si>
  <si>
    <t>72.768,29</t>
  </si>
  <si>
    <t>2026-02-18T22:48:44.168832</t>
  </si>
  <si>
    <t>2026-02-18T22:51:41.477510</t>
  </si>
  <si>
    <t>63.628,26</t>
  </si>
  <si>
    <t>2026-02-18T22:51:42.481329</t>
  </si>
  <si>
    <t>2026-02-18T22:55:06.056198</t>
  </si>
  <si>
    <t>62.292,26</t>
  </si>
  <si>
    <t>2026-02-18T22:55:07.067088</t>
  </si>
  <si>
    <t>2026-02-18T22:57:18.237343</t>
  </si>
  <si>
    <t>73.340,25</t>
  </si>
  <si>
    <t>2026-02-18T22:57:19.245512</t>
  </si>
  <si>
    <t>2026-02-18T23:00:20.677368</t>
  </si>
  <si>
    <t>48.404,30</t>
  </si>
  <si>
    <t>2026-02-18T23:00:21.679837</t>
  </si>
  <si>
    <t>2026-02-18T23:02:03.146547</t>
  </si>
  <si>
    <t>52.876,27</t>
  </si>
  <si>
    <t>2026-02-18T23:02:04.150861</t>
  </si>
  <si>
    <t>2026-02-18T23:03:52.732476</t>
  </si>
  <si>
    <t>69.936,25</t>
  </si>
  <si>
    <t>2026-02-18T23:03:53.743015</t>
  </si>
  <si>
    <t>2026-02-18T23:06:55.693094</t>
  </si>
  <si>
    <t>69.940,28</t>
  </si>
  <si>
    <t>2026-02-18T23:06:56.694991</t>
  </si>
  <si>
    <t>2026-02-18T23:09:11.544046</t>
  </si>
  <si>
    <t>79.444,28</t>
  </si>
  <si>
    <t>2026-02-18T23:09:12.559060</t>
  </si>
  <si>
    <t>2026-02-18T23:12:13.362010</t>
  </si>
  <si>
    <t>70.396,26</t>
  </si>
  <si>
    <t>2026-02-18T23:12:14.365999</t>
  </si>
  <si>
    <t>2026-02-18T23:15:16.347799</t>
  </si>
  <si>
    <t>47.484,29</t>
  </si>
  <si>
    <t>2026-02-18T23:15:17.359783</t>
  </si>
  <si>
    <t>2026-02-18T23:16:44.460191</t>
  </si>
  <si>
    <t>63.756,28</t>
  </si>
  <si>
    <t>2026-02-18T23:16:45.469741</t>
  </si>
  <si>
    <t>2026-02-18T23:18:45.633094</t>
  </si>
  <si>
    <t>70.500,26</t>
  </si>
  <si>
    <t>2026-02-18T23:18:46.643397</t>
  </si>
  <si>
    <t>2026-02-18T23:21:46.659352</t>
  </si>
  <si>
    <t>44.636,29</t>
  </si>
  <si>
    <t>2026-02-18T23:21:47.670971</t>
  </si>
  <si>
    <t>2026-02-18T23:23:25.936070</t>
  </si>
  <si>
    <t>85.200,31</t>
  </si>
  <si>
    <t>2026-02-18T23:23:26.937671</t>
  </si>
  <si>
    <t>2026-02-18T23:26:15.478668</t>
  </si>
  <si>
    <t>54.376,30</t>
  </si>
  <si>
    <t>2026-02-18T23:26:16.484408</t>
  </si>
  <si>
    <t>2026-02-18T23:28:18.105237</t>
  </si>
  <si>
    <t>56.764,33</t>
  </si>
  <si>
    <t>2026-02-18T23:28:19.116351</t>
  </si>
  <si>
    <t>2026-02-18T23:30:27.349800</t>
  </si>
  <si>
    <t>75.528,31</t>
  </si>
  <si>
    <t>2026-02-18T23:30:28.359957</t>
  </si>
  <si>
    <t>2026-02-18T23:33:29.855159</t>
  </si>
  <si>
    <t>66.132,32</t>
  </si>
  <si>
    <t>2026-02-18T23:33:30.861516</t>
  </si>
  <si>
    <t>2026-02-18T23:36:28.385863</t>
  </si>
  <si>
    <t>59.048,29</t>
  </si>
  <si>
    <t>2026-02-18T23:36:29.399817</t>
  </si>
  <si>
    <t>2026-02-18T23:39:52.992365</t>
  </si>
  <si>
    <t>64.444,28</t>
  </si>
  <si>
    <t>2026-02-18T23:39:54.001235</t>
  </si>
  <si>
    <t>2026-02-18T23:42:24.214758</t>
  </si>
  <si>
    <t>85.700,33</t>
  </si>
  <si>
    <t>2026-02-18T23:42:25.226284</t>
  </si>
  <si>
    <t>2026-02-18T23:46:18.749967</t>
  </si>
  <si>
    <t>52.332,30</t>
  </si>
  <si>
    <t>2026-02-18T23:46:19.752203</t>
  </si>
  <si>
    <t>2026-02-18T23:48:05.569013</t>
  </si>
  <si>
    <t>91.744,28</t>
  </si>
  <si>
    <t>2026-02-18T23:48:06.580035</t>
  </si>
  <si>
    <t>2026-02-18T23:51:54.963243</t>
  </si>
  <si>
    <t>73.532,31</t>
  </si>
  <si>
    <t>2026-02-18T23:51:55.969102</t>
  </si>
  <si>
    <t>2026-02-18T23:55:18.350181</t>
  </si>
  <si>
    <t>70.636,27</t>
  </si>
  <si>
    <t>2026-02-18T23:55:19.362877</t>
  </si>
  <si>
    <t>2026-02-18T23:58:02.948405</t>
  </si>
  <si>
    <t>77.240,28</t>
  </si>
  <si>
    <t>2026-02-18T23:58:03.956733</t>
  </si>
  <si>
    <t>2026-02-19T00:01:04.807974</t>
  </si>
  <si>
    <t>68.360,29</t>
  </si>
  <si>
    <t>2026-02-19T00:01:05.817388</t>
  </si>
  <si>
    <t>2026-02-19T00:03:43.313820</t>
  </si>
  <si>
    <t>2026-02-19T00:03:44.322436</t>
  </si>
  <si>
    <t>2026-02-19T00:05:45.086468</t>
  </si>
  <si>
    <t>91.656,28</t>
  </si>
  <si>
    <t>2026-02-19T00:05:46.094852</t>
  </si>
  <si>
    <t>2026-02-19T00:08:49.090818</t>
  </si>
  <si>
    <t>77.804,29</t>
  </si>
  <si>
    <t>2026-02-19T00:08:50.104588</t>
  </si>
  <si>
    <t>2026-02-19T00:12:06.954487</t>
  </si>
  <si>
    <t>56.712,30</t>
  </si>
  <si>
    <t>2026-02-19T00:12:07.965710</t>
  </si>
  <si>
    <t>2026-02-19T00:13:51.547415</t>
  </si>
  <si>
    <t>67.764,30</t>
  </si>
  <si>
    <t>2026-02-19T00:13:52.552090</t>
  </si>
  <si>
    <t>2026-02-19T00:17:12.487069</t>
  </si>
  <si>
    <t>58.480,30</t>
  </si>
  <si>
    <t>2026-02-19T00:17:13.496439</t>
  </si>
  <si>
    <t>2026-02-19T00:19:44.355681</t>
  </si>
  <si>
    <t>43.708,27</t>
  </si>
  <si>
    <t>2026-02-19T00:19:45.367628</t>
  </si>
  <si>
    <t>2026-02-19T00:21:09.891724</t>
  </si>
  <si>
    <t>94.564,29</t>
  </si>
  <si>
    <t>2026-02-19T00:21:10.898192</t>
  </si>
  <si>
    <t>2026-02-19T00:24:29.402656</t>
  </si>
  <si>
    <t>75.232,30</t>
  </si>
  <si>
    <t>2026-02-19T00:24:30.407928</t>
  </si>
  <si>
    <t>2026-02-19T00:27:35.649620</t>
  </si>
  <si>
    <t>46.060,29</t>
  </si>
  <si>
    <t>2026-02-19T00:27:36.657495</t>
  </si>
  <si>
    <t>2026-02-19T00:30:00.657415</t>
  </si>
  <si>
    <t>67.356,30</t>
  </si>
  <si>
    <t>2026-02-19T00:30:01.666096</t>
  </si>
  <si>
    <t>2026-02-19T00:32:43.119325</t>
  </si>
  <si>
    <t>121.540,31</t>
  </si>
  <si>
    <t>2026-02-19T00:32:44.125720</t>
  </si>
  <si>
    <t>2026-02-19T00:37:31.290228</t>
  </si>
  <si>
    <t>41.432,32</t>
  </si>
  <si>
    <t>2026-02-19T00:37:32.301890</t>
  </si>
  <si>
    <t>2026-02-19T00:39:20.561302</t>
  </si>
  <si>
    <t>67.708,25</t>
  </si>
  <si>
    <t>2026-02-19T00:39:21.572102</t>
  </si>
  <si>
    <t>2026-02-19T00:41:58.728133</t>
  </si>
  <si>
    <t>46.636,26</t>
  </si>
  <si>
    <t>2026-02-19T00:41:59.743022</t>
  </si>
  <si>
    <t>2026-02-19T00:44:08.131195</t>
  </si>
  <si>
    <t>31.460,29</t>
  </si>
  <si>
    <t>2026-02-19T00:44:09.136461</t>
  </si>
  <si>
    <t>2026-02-19T00:45:17.830504</t>
  </si>
  <si>
    <t>67.756,24</t>
  </si>
  <si>
    <t>2026-02-19T00:45:18.839076</t>
  </si>
  <si>
    <t>2026-02-19T00:48:27.984664</t>
  </si>
  <si>
    <t>59.968,23</t>
  </si>
  <si>
    <t>2026-02-19T00:48:28.996376</t>
  </si>
  <si>
    <t>2026-02-19T00:51:12.491061</t>
  </si>
  <si>
    <t>57.224,27</t>
  </si>
  <si>
    <t>2026-02-19T00:51:13.495530</t>
  </si>
  <si>
    <t>2026-02-19T00:53:42.365521</t>
  </si>
  <si>
    <t>66.120,24</t>
  </si>
  <si>
    <t>2026-02-19T00:53:43.367810</t>
  </si>
  <si>
    <t>2026-02-19T00:56:01.780560</t>
  </si>
  <si>
    <t>47.184,24</t>
  </si>
  <si>
    <t>2026-02-19T00:56:02.786435</t>
  </si>
  <si>
    <t>2026-02-19T00:58:22.477475</t>
  </si>
  <si>
    <t>42.104,27</t>
  </si>
  <si>
    <t>2026-02-19T00:58:23.484387</t>
  </si>
  <si>
    <t>2026-02-19T01:01:08.433135</t>
  </si>
  <si>
    <t>86.392,24</t>
  </si>
  <si>
    <t>2026-02-19T01:01:09.445266</t>
  </si>
  <si>
    <t>2026-02-19T01:04:21.566290</t>
  </si>
  <si>
    <t>37.624,24</t>
  </si>
  <si>
    <t>2026-02-19T01:04:22.578391</t>
  </si>
  <si>
    <t>2026-02-19T01:06:18.327181</t>
  </si>
  <si>
    <t>42.508,28</t>
  </si>
  <si>
    <t>2026-02-19T01:06:19.333493</t>
  </si>
  <si>
    <t>2026-02-19T01:08:51.999574</t>
  </si>
  <si>
    <t>58.192,25</t>
  </si>
  <si>
    <t>2026-02-19T01:08:53.010505</t>
  </si>
  <si>
    <t>2026-02-19T01:11:37.067396</t>
  </si>
  <si>
    <t>54.516,22</t>
  </si>
  <si>
    <t>2026-02-19T01:11:38.071658</t>
  </si>
  <si>
    <t>2026-02-19T01:14:09.733804</t>
  </si>
  <si>
    <t>44.224,26</t>
  </si>
  <si>
    <t>2026-02-19T01:14:10.749186</t>
  </si>
  <si>
    <t>2026-02-19T01:15:38.436892</t>
  </si>
  <si>
    <t>94.528,24</t>
  </si>
  <si>
    <t>2026-02-19T01:15:39.448208</t>
  </si>
  <si>
    <t>2026-02-19T01:18:38.618735</t>
  </si>
  <si>
    <t>69.460,24</t>
  </si>
  <si>
    <t>2026-02-19T01:18:39.657172</t>
  </si>
  <si>
    <t>2026-02-19T01:21:14.718305</t>
  </si>
  <si>
    <t>49.388,29</t>
  </si>
  <si>
    <t>2026-02-19T01:21:15.729556</t>
  </si>
  <si>
    <t>2026-02-19T01:23:07.237325</t>
  </si>
  <si>
    <t>60.708,25</t>
  </si>
  <si>
    <t>2026-02-19T01:23:08.250392</t>
  </si>
  <si>
    <t>2026-02-19T01:25:25.862635</t>
  </si>
  <si>
    <t>66.424,27</t>
  </si>
  <si>
    <t>2026-02-19T01:25:26.872259</t>
  </si>
  <si>
    <t>2026-02-19T01:28:11.712373</t>
  </si>
  <si>
    <t>50.148,29</t>
  </si>
  <si>
    <t>2026-02-19T01:28:12.723852</t>
  </si>
  <si>
    <t>2026-02-19T01:29:55.157725</t>
  </si>
  <si>
    <t>56.464,25</t>
  </si>
  <si>
    <t>2026-02-19T01:29:56.169251</t>
  </si>
  <si>
    <t>2026-02-19T01:31:59.608983</t>
  </si>
  <si>
    <t>59.648,28</t>
  </si>
  <si>
    <t>2026-02-19T01:32:00.622021</t>
  </si>
  <si>
    <t>2026-02-19T01:34:51.794817</t>
  </si>
  <si>
    <t>34.084,28</t>
  </si>
  <si>
    <t>2026-02-19T01:34:52.806514</t>
  </si>
  <si>
    <t>2026-02-19T01:36:07.454142</t>
  </si>
  <si>
    <t>75.348,22</t>
  </si>
  <si>
    <t>2026-02-19T01:36:08.464997</t>
  </si>
  <si>
    <t>2026-02-19T01:39:04.019748</t>
  </si>
  <si>
    <t>51.536,28</t>
  </si>
  <si>
    <t>2026-02-19T01:39:05.030569</t>
  </si>
  <si>
    <t>2026-02-19T01:40:56.677722</t>
  </si>
  <si>
    <t>43.504,30</t>
  </si>
  <si>
    <t>2026-02-19T01:40:57.680183</t>
  </si>
  <si>
    <t>2026-02-19T01:42:38.688253</t>
  </si>
  <si>
    <t>improved_nearest_v2</t>
  </si>
  <si>
    <t>45.000,26</t>
  </si>
  <si>
    <t>2026-02-19T11:42:34.687595</t>
  </si>
  <si>
    <t>2026-02-19T11:45:37.890337</t>
  </si>
  <si>
    <t>41.308,27</t>
  </si>
  <si>
    <t>2026-02-19T11:45:38.896503</t>
  </si>
  <si>
    <t>2026-02-19T11:48:31.429638</t>
  </si>
  <si>
    <t>56.872,25</t>
  </si>
  <si>
    <t>2026-02-19T11:48:32.435406</t>
  </si>
  <si>
    <t>2026-02-19T11:51:52.367713</t>
  </si>
  <si>
    <t>73.084,24</t>
  </si>
  <si>
    <t>2026-02-19T11:51:53.370188</t>
  </si>
  <si>
    <t>2026-02-19T11:56:15.952091</t>
  </si>
  <si>
    <t>37.584,28</t>
  </si>
  <si>
    <t>2026-02-19T11:56:16.957910</t>
  </si>
  <si>
    <t>2026-02-19T11:59:34.750434</t>
  </si>
  <si>
    <t>61.488,28</t>
  </si>
  <si>
    <t>2026-02-19T11:59:35.756964</t>
  </si>
  <si>
    <t>2026-02-19T12:03:53.803312</t>
  </si>
  <si>
    <t>86.548,27</t>
  </si>
  <si>
    <t>2026-02-19T11:42:34.687561</t>
  </si>
  <si>
    <t>2026-02-19T11:48:17.226375</t>
  </si>
  <si>
    <t>74.028,30</t>
  </si>
  <si>
    <t>2026-02-19T11:48:18.231940</t>
  </si>
  <si>
    <t>2026-02-19T11:53:53.390679</t>
  </si>
  <si>
    <t>45.500,28</t>
  </si>
  <si>
    <t>2026-02-19T11:53:54.397221</t>
  </si>
  <si>
    <t>2026-02-19T11:56:24.977812</t>
  </si>
  <si>
    <t>69.360,26</t>
  </si>
  <si>
    <t>2026-02-19T11:56:25.982189</t>
  </si>
  <si>
    <t>2026-02-19T12:00:47.446488</t>
  </si>
  <si>
    <t>56.056,26</t>
  </si>
  <si>
    <t>2026-02-19T12:00:48.452303</t>
  </si>
  <si>
    <t>2026-02-19T12:03:49.330709</t>
  </si>
  <si>
    <t>90.492,24</t>
  </si>
  <si>
    <t>2026-02-19T12:03:50.339948</t>
  </si>
  <si>
    <t>2026-02-19T12:06:48.536784</t>
  </si>
  <si>
    <t>53.288,26</t>
  </si>
  <si>
    <t>2026-02-19T11:42:34.687707</t>
  </si>
  <si>
    <t>2026-02-19T11:46:40.453376</t>
  </si>
  <si>
    <t>42.452,27</t>
  </si>
  <si>
    <t>2026-02-19T11:46:41.462002</t>
  </si>
  <si>
    <t>2026-02-19T11:49:17.255492</t>
  </si>
  <si>
    <t>55.988,29</t>
  </si>
  <si>
    <t>2026-02-19T11:49:18.262087</t>
  </si>
  <si>
    <t>2026-02-19T11:52:52.876976</t>
  </si>
  <si>
    <t>99.208,29</t>
  </si>
  <si>
    <t>2026-02-19T11:52:53.883525</t>
  </si>
  <si>
    <t>2026-02-19T11:58:29.138563</t>
  </si>
  <si>
    <t>39.856,25</t>
  </si>
  <si>
    <t>2026-02-19T11:58:30.145161</t>
  </si>
  <si>
    <t>2026-02-19T12:01:13.646230</t>
  </si>
  <si>
    <t>38.940,24</t>
  </si>
  <si>
    <t>2026-02-19T12:01:14.653515</t>
  </si>
  <si>
    <t>2026-02-19T12:03:48.736933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</si>
</sst>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collision_rate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collision_rate</a:t>
          </a:r>
        </a:p>
      </cx:txPr>
    </cx:title>
    <cx:plotArea>
      <cx:plotAreaRegion>
        <cx:series layoutId="boxWhisker" uniqueId="{FEE8F704-7856-B14A-A08F-FEACF6BE5B92}">
          <cx:tx>
            <cx:txData>
              <cx:f>_xlchart.v1.1</cx:f>
              <cx:v>collision_rate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ball_take_rate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ball_take_rate</a:t>
          </a:r>
        </a:p>
      </cx:txPr>
    </cx:title>
    <cx:plotArea>
      <cx:plotAreaRegion>
        <cx:series layoutId="boxWhisker" uniqueId="{1FC5C2DB-D76B-0240-A95A-EE21BB7AF00B}">
          <cx:tx>
            <cx:txData>
              <cx:f>_xlchart.v1.4</cx:f>
              <cx:v>ball_take_rate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ball_take_rate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ball_take_rate</a:t>
          </a:r>
        </a:p>
      </cx:txPr>
    </cx:title>
    <cx:plotArea>
      <cx:plotAreaRegion>
        <cx:series layoutId="boxWhisker" uniqueId="{C9B7687E-EC07-F04D-8A01-8C9B214F8282}">
          <cx:tx>
            <cx:txData>
              <cx:f>_xlchart.v1.7</cx:f>
              <cx:v>ball_take_rate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total_balls_taken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total_balls_taken</a:t>
          </a:r>
        </a:p>
      </cx:txPr>
    </cx:title>
    <cx:plotArea>
      <cx:plotAreaRegion>
        <cx:series layoutId="boxWhisker" uniqueId="{DB0B1B3F-DBAE-4A4D-8062-0702BC00670E}">
          <cx:tx>
            <cx:txData>
              <cx:f>_xlchart.v1.10</cx:f>
              <cx:v>total_balls_taken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31</xdr:col>
      <xdr:colOff>596925</xdr:colOff>
      <xdr:row>1</xdr:row>
      <xdr:rowOff>29028</xdr:rowOff>
    </xdr:from>
    <xdr:to>
      <xdr:col>54</xdr:col>
      <xdr:colOff>61025</xdr:colOff>
      <xdr:row>66</xdr:row>
      <xdr:rowOff>148524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F53A9DA-0436-8CD3-8DAE-C233883FAB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74825" y="232228"/>
              <a:ext cx="18450600" cy="58090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22</xdr:col>
      <xdr:colOff>104920</xdr:colOff>
      <xdr:row>2</xdr:row>
      <xdr:rowOff>21526</xdr:rowOff>
    </xdr:from>
    <xdr:to>
      <xdr:col>31</xdr:col>
      <xdr:colOff>566549</xdr:colOff>
      <xdr:row>67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AFA90CD-EFF9-973B-7A25-9A1D993B4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3320" y="427926"/>
              <a:ext cx="7891129" cy="56680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31</xdr:col>
      <xdr:colOff>588075</xdr:colOff>
      <xdr:row>66</xdr:row>
      <xdr:rowOff>177799</xdr:rowOff>
    </xdr:from>
    <xdr:to>
      <xdr:col>54</xdr:col>
      <xdr:colOff>61025</xdr:colOff>
      <xdr:row>138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EC47BAF-F924-06AF-FFD8-9604F4E381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65975" y="6070599"/>
              <a:ext cx="18459450" cy="637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22</xdr:col>
      <xdr:colOff>101600</xdr:colOff>
      <xdr:row>67</xdr:row>
      <xdr:rowOff>177800</xdr:rowOff>
    </xdr:from>
    <xdr:to>
      <xdr:col>31</xdr:col>
      <xdr:colOff>622300</xdr:colOff>
      <xdr:row>138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27A95FB-AFC3-FB98-161A-0AB23CD2A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0" y="6273800"/>
              <a:ext cx="7950200" cy="617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4B18-3D81-5A48-9BE5-09FFF423584D}">
  <sheetPr filterMode="1"/>
  <dimension ref="A1:X837"/>
  <sheetViews>
    <sheetView tabSelected="1" zoomScale="86" zoomScaleNormal="86" workbookViewId="0">
      <selection activeCell="O26" sqref="O26"/>
    </sheetView>
  </sheetViews>
  <sheetFormatPr baseColWidth="10" defaultRowHeight="16" x14ac:dyDescent="0.2"/>
  <cols>
    <col min="18" max="18" width="12.1640625" bestFit="1" customWidth="1"/>
    <col min="21" max="21" width="19.8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533</v>
      </c>
      <c r="R1" t="s">
        <v>534</v>
      </c>
      <c r="S1" t="s">
        <v>535</v>
      </c>
      <c r="W1" t="s">
        <v>536</v>
      </c>
      <c r="X1">
        <f>1-EXP((-10*AVERAGE(R:R)))</f>
        <v>0.54613968073776209</v>
      </c>
    </row>
    <row r="2" spans="1:24" x14ac:dyDescent="0.2">
      <c r="A2">
        <v>2</v>
      </c>
      <c r="B2" t="s">
        <v>21</v>
      </c>
      <c r="C2">
        <v>-1</v>
      </c>
      <c r="D2">
        <v>1</v>
      </c>
      <c r="E2">
        <v>1000</v>
      </c>
      <c r="F2" t="b">
        <v>1</v>
      </c>
      <c r="G2">
        <v>51.176000000000002</v>
      </c>
      <c r="H2">
        <v>30</v>
      </c>
      <c r="I2">
        <v>6</v>
      </c>
      <c r="J2">
        <v>6.66</v>
      </c>
      <c r="K2" t="s">
        <v>22</v>
      </c>
      <c r="L2">
        <v>0</v>
      </c>
      <c r="N2" t="s">
        <v>23</v>
      </c>
      <c r="O2" t="s">
        <v>24</v>
      </c>
      <c r="P2" t="s">
        <v>20</v>
      </c>
      <c r="Q2">
        <f t="shared" ref="Q2:Q65" si="0">(VALUE(LEFT(SUBSTITUTE(O2,"T"," "),23)) - VALUE(LEFT(SUBSTITUTE(N2,"T"," "),23))) * 86400</f>
        <v>281.81599995587021</v>
      </c>
      <c r="R2">
        <f t="shared" ref="R2:R65" si="1">I2/G2</f>
        <v>0.11724245740190714</v>
      </c>
      <c r="S2">
        <f t="shared" ref="S2:S65" si="2">H2/G2</f>
        <v>0.58621228700953565</v>
      </c>
    </row>
    <row r="3" spans="1:24" x14ac:dyDescent="0.2">
      <c r="A3">
        <v>5</v>
      </c>
      <c r="B3" t="s">
        <v>21</v>
      </c>
      <c r="C3">
        <v>0</v>
      </c>
      <c r="D3">
        <v>1</v>
      </c>
      <c r="E3">
        <v>1000</v>
      </c>
      <c r="F3" t="b">
        <v>1</v>
      </c>
      <c r="G3">
        <v>77.540000000000006</v>
      </c>
      <c r="H3">
        <v>26</v>
      </c>
      <c r="I3">
        <v>2</v>
      </c>
      <c r="J3">
        <v>0.96</v>
      </c>
      <c r="K3" t="s">
        <v>32</v>
      </c>
      <c r="L3">
        <v>0</v>
      </c>
      <c r="N3" t="s">
        <v>33</v>
      </c>
      <c r="O3" t="s">
        <v>34</v>
      </c>
      <c r="P3" t="s">
        <v>20</v>
      </c>
      <c r="Q3">
        <f t="shared" si="0"/>
        <v>358.82600017357618</v>
      </c>
      <c r="R3">
        <f t="shared" si="1"/>
        <v>2.5793139025019344E-2</v>
      </c>
      <c r="S3">
        <f t="shared" si="2"/>
        <v>0.33531080732525148</v>
      </c>
    </row>
    <row r="4" spans="1:24" x14ac:dyDescent="0.2">
      <c r="A4">
        <v>8</v>
      </c>
      <c r="B4" t="s">
        <v>21</v>
      </c>
      <c r="C4">
        <v>2</v>
      </c>
      <c r="D4">
        <v>1</v>
      </c>
      <c r="E4">
        <v>1000</v>
      </c>
      <c r="F4" t="b">
        <v>1</v>
      </c>
      <c r="G4">
        <v>107.992</v>
      </c>
      <c r="H4">
        <v>29</v>
      </c>
      <c r="I4">
        <v>1</v>
      </c>
      <c r="J4">
        <v>0.06</v>
      </c>
      <c r="K4" t="s">
        <v>41</v>
      </c>
      <c r="L4">
        <v>0</v>
      </c>
      <c r="N4" t="s">
        <v>42</v>
      </c>
      <c r="O4" t="s">
        <v>43</v>
      </c>
      <c r="P4" t="s">
        <v>20</v>
      </c>
      <c r="Q4">
        <f t="shared" si="0"/>
        <v>469.3160000955686</v>
      </c>
      <c r="R4">
        <f t="shared" si="1"/>
        <v>9.2599451811245272E-3</v>
      </c>
      <c r="S4">
        <f t="shared" si="2"/>
        <v>0.26853841025261127</v>
      </c>
    </row>
    <row r="5" spans="1:24" x14ac:dyDescent="0.2">
      <c r="A5">
        <v>11</v>
      </c>
      <c r="B5" t="s">
        <v>21</v>
      </c>
      <c r="C5">
        <v>5</v>
      </c>
      <c r="D5">
        <v>1</v>
      </c>
      <c r="E5">
        <v>1000</v>
      </c>
      <c r="F5" t="b">
        <v>1</v>
      </c>
      <c r="G5">
        <v>75.572000000000003</v>
      </c>
      <c r="H5">
        <v>26</v>
      </c>
      <c r="I5">
        <v>3</v>
      </c>
      <c r="J5">
        <v>0.96</v>
      </c>
      <c r="K5" t="s">
        <v>50</v>
      </c>
      <c r="L5">
        <v>0</v>
      </c>
      <c r="N5" t="s">
        <v>51</v>
      </c>
      <c r="O5" t="s">
        <v>52</v>
      </c>
      <c r="P5" t="s">
        <v>20</v>
      </c>
      <c r="Q5">
        <f t="shared" si="0"/>
        <v>299.43900019861758</v>
      </c>
      <c r="R5">
        <f t="shared" si="1"/>
        <v>3.9697242364897051E-2</v>
      </c>
      <c r="S5">
        <f t="shared" si="2"/>
        <v>0.34404276716244109</v>
      </c>
    </row>
    <row r="6" spans="1:24" hidden="1" x14ac:dyDescent="0.2">
      <c r="A6">
        <v>14</v>
      </c>
      <c r="B6" t="s">
        <v>21</v>
      </c>
      <c r="C6">
        <v>10</v>
      </c>
      <c r="D6">
        <v>1</v>
      </c>
      <c r="E6">
        <v>1000</v>
      </c>
      <c r="F6" t="b">
        <v>1</v>
      </c>
      <c r="G6">
        <v>51.612000000000002</v>
      </c>
      <c r="H6">
        <v>24</v>
      </c>
      <c r="I6">
        <v>2</v>
      </c>
      <c r="J6">
        <v>0.78</v>
      </c>
      <c r="K6" t="s">
        <v>59</v>
      </c>
      <c r="L6">
        <v>0</v>
      </c>
      <c r="N6" t="s">
        <v>60</v>
      </c>
      <c r="O6" t="s">
        <v>61</v>
      </c>
      <c r="P6" t="s">
        <v>20</v>
      </c>
      <c r="Q6">
        <f t="shared" si="0"/>
        <v>251.74299997743219</v>
      </c>
      <c r="R6">
        <f t="shared" si="1"/>
        <v>3.8750678136867396E-2</v>
      </c>
      <c r="S6">
        <f t="shared" si="2"/>
        <v>0.46500813764240873</v>
      </c>
    </row>
    <row r="7" spans="1:24" hidden="1" x14ac:dyDescent="0.2">
      <c r="A7">
        <v>17</v>
      </c>
      <c r="B7" t="s">
        <v>21</v>
      </c>
      <c r="C7">
        <v>15</v>
      </c>
      <c r="D7">
        <v>1</v>
      </c>
      <c r="E7">
        <v>1000</v>
      </c>
      <c r="F7" t="b">
        <v>1</v>
      </c>
      <c r="G7">
        <v>82.272000000000006</v>
      </c>
      <c r="H7">
        <v>29</v>
      </c>
      <c r="I7">
        <v>7</v>
      </c>
      <c r="J7">
        <v>1.74</v>
      </c>
      <c r="K7" t="s">
        <v>68</v>
      </c>
      <c r="L7">
        <v>0</v>
      </c>
      <c r="N7" t="s">
        <v>69</v>
      </c>
      <c r="O7" t="s">
        <v>70</v>
      </c>
      <c r="P7" t="s">
        <v>20</v>
      </c>
      <c r="Q7">
        <f t="shared" si="0"/>
        <v>347.47200007550418</v>
      </c>
      <c r="R7">
        <f t="shared" si="1"/>
        <v>8.5083625048619202E-2</v>
      </c>
      <c r="S7">
        <f t="shared" si="2"/>
        <v>0.35248930377285098</v>
      </c>
    </row>
    <row r="8" spans="1:24" hidden="1" x14ac:dyDescent="0.2">
      <c r="A8">
        <v>20</v>
      </c>
      <c r="B8" t="s">
        <v>21</v>
      </c>
      <c r="C8">
        <v>20</v>
      </c>
      <c r="D8">
        <v>1</v>
      </c>
      <c r="E8">
        <v>1000</v>
      </c>
      <c r="F8" t="b">
        <v>1</v>
      </c>
      <c r="G8">
        <v>60.572000000000003</v>
      </c>
      <c r="H8">
        <v>27</v>
      </c>
      <c r="I8">
        <v>8</v>
      </c>
      <c r="J8">
        <v>2.82</v>
      </c>
      <c r="K8" t="s">
        <v>77</v>
      </c>
      <c r="L8">
        <v>0</v>
      </c>
      <c r="N8" t="s">
        <v>78</v>
      </c>
      <c r="O8" t="s">
        <v>79</v>
      </c>
      <c r="P8" t="s">
        <v>20</v>
      </c>
      <c r="Q8">
        <f t="shared" si="0"/>
        <v>278.10899997130036</v>
      </c>
      <c r="R8">
        <f t="shared" si="1"/>
        <v>0.13207422571485175</v>
      </c>
      <c r="S8">
        <f t="shared" si="2"/>
        <v>0.44575051178762465</v>
      </c>
    </row>
    <row r="9" spans="1:24" hidden="1" x14ac:dyDescent="0.2">
      <c r="A9">
        <v>23</v>
      </c>
      <c r="B9" t="s">
        <v>21</v>
      </c>
      <c r="C9">
        <v>50</v>
      </c>
      <c r="D9">
        <v>1</v>
      </c>
      <c r="E9">
        <v>1000</v>
      </c>
      <c r="F9" t="b">
        <v>1</v>
      </c>
      <c r="G9">
        <v>64.988</v>
      </c>
      <c r="H9">
        <v>25</v>
      </c>
      <c r="I9">
        <v>9</v>
      </c>
      <c r="J9">
        <v>1.74</v>
      </c>
      <c r="K9" t="s">
        <v>86</v>
      </c>
      <c r="L9">
        <v>0</v>
      </c>
      <c r="N9" t="s">
        <v>87</v>
      </c>
      <c r="O9" t="s">
        <v>88</v>
      </c>
      <c r="P9" t="s">
        <v>20</v>
      </c>
      <c r="Q9">
        <f t="shared" si="0"/>
        <v>266.25100001692772</v>
      </c>
      <c r="R9">
        <f t="shared" si="1"/>
        <v>0.13848710531174988</v>
      </c>
      <c r="S9">
        <f t="shared" si="2"/>
        <v>0.38468640364374962</v>
      </c>
    </row>
    <row r="10" spans="1:24" hidden="1" x14ac:dyDescent="0.2">
      <c r="A10">
        <v>26</v>
      </c>
      <c r="B10" t="s">
        <v>21</v>
      </c>
      <c r="C10">
        <v>70</v>
      </c>
      <c r="D10">
        <v>1</v>
      </c>
      <c r="E10">
        <v>1000</v>
      </c>
      <c r="F10" t="b">
        <v>1</v>
      </c>
      <c r="G10">
        <v>60.932000000000002</v>
      </c>
      <c r="H10">
        <v>27</v>
      </c>
      <c r="I10">
        <v>1</v>
      </c>
      <c r="J10">
        <v>0.06</v>
      </c>
      <c r="K10" t="s">
        <v>95</v>
      </c>
      <c r="L10">
        <v>0</v>
      </c>
      <c r="N10" t="s">
        <v>96</v>
      </c>
      <c r="O10" t="s">
        <v>97</v>
      </c>
      <c r="P10" t="s">
        <v>20</v>
      </c>
      <c r="Q10">
        <f t="shared" si="0"/>
        <v>248.39600042905658</v>
      </c>
      <c r="R10">
        <f t="shared" si="1"/>
        <v>1.6411737674785005E-2</v>
      </c>
      <c r="S10">
        <f t="shared" si="2"/>
        <v>0.44311691721919516</v>
      </c>
    </row>
    <row r="11" spans="1:24" hidden="1" x14ac:dyDescent="0.2">
      <c r="A11">
        <v>29</v>
      </c>
      <c r="B11" t="s">
        <v>21</v>
      </c>
      <c r="C11">
        <v>100</v>
      </c>
      <c r="D11">
        <v>1</v>
      </c>
      <c r="E11">
        <v>1000</v>
      </c>
      <c r="F11" t="b">
        <v>1</v>
      </c>
      <c r="G11">
        <v>57.68</v>
      </c>
      <c r="H11">
        <v>25</v>
      </c>
      <c r="I11">
        <v>6</v>
      </c>
      <c r="J11">
        <v>1.2</v>
      </c>
      <c r="K11" t="s">
        <v>104</v>
      </c>
      <c r="L11">
        <v>0</v>
      </c>
      <c r="N11" t="s">
        <v>105</v>
      </c>
      <c r="O11" t="s">
        <v>106</v>
      </c>
      <c r="P11" t="s">
        <v>20</v>
      </c>
      <c r="Q11">
        <f t="shared" si="0"/>
        <v>290.53900006692857</v>
      </c>
      <c r="R11">
        <f t="shared" si="1"/>
        <v>0.10402219140083217</v>
      </c>
      <c r="S11">
        <f t="shared" si="2"/>
        <v>0.43342579750346744</v>
      </c>
    </row>
    <row r="12" spans="1:24" x14ac:dyDescent="0.2">
      <c r="A12">
        <v>3</v>
      </c>
      <c r="B12" t="s">
        <v>25</v>
      </c>
      <c r="C12">
        <v>-1</v>
      </c>
      <c r="D12">
        <v>1</v>
      </c>
      <c r="E12">
        <v>1000</v>
      </c>
      <c r="F12" t="b">
        <v>1</v>
      </c>
      <c r="G12">
        <v>38.084000000000003</v>
      </c>
      <c r="H12">
        <v>33</v>
      </c>
      <c r="I12">
        <v>4</v>
      </c>
      <c r="J12">
        <v>4.68</v>
      </c>
      <c r="K12" t="s">
        <v>26</v>
      </c>
      <c r="L12">
        <v>0</v>
      </c>
      <c r="N12" t="s">
        <v>27</v>
      </c>
      <c r="O12" t="s">
        <v>28</v>
      </c>
      <c r="P12" t="s">
        <v>20</v>
      </c>
      <c r="Q12">
        <f t="shared" si="0"/>
        <v>124.01799999643117</v>
      </c>
      <c r="R12">
        <f t="shared" si="1"/>
        <v>0.10503098414032139</v>
      </c>
      <c r="S12">
        <f t="shared" si="2"/>
        <v>0.86650561915765145</v>
      </c>
    </row>
    <row r="13" spans="1:24" x14ac:dyDescent="0.2">
      <c r="A13">
        <v>6</v>
      </c>
      <c r="B13" t="s">
        <v>25</v>
      </c>
      <c r="C13">
        <v>0</v>
      </c>
      <c r="D13">
        <v>1</v>
      </c>
      <c r="E13">
        <v>1000</v>
      </c>
      <c r="F13" t="b">
        <v>1</v>
      </c>
      <c r="G13">
        <v>44.78</v>
      </c>
      <c r="H13">
        <v>31</v>
      </c>
      <c r="I13">
        <v>3</v>
      </c>
      <c r="J13">
        <v>1.8</v>
      </c>
      <c r="K13" t="s">
        <v>35</v>
      </c>
      <c r="L13">
        <v>0</v>
      </c>
      <c r="N13" t="s">
        <v>36</v>
      </c>
      <c r="O13" t="s">
        <v>37</v>
      </c>
      <c r="P13" t="s">
        <v>20</v>
      </c>
      <c r="Q13">
        <f t="shared" si="0"/>
        <v>206.11300016753376</v>
      </c>
      <c r="R13">
        <f t="shared" si="1"/>
        <v>6.6994193836534169E-2</v>
      </c>
      <c r="S13">
        <f t="shared" si="2"/>
        <v>0.69227333631085308</v>
      </c>
    </row>
    <row r="14" spans="1:24" x14ac:dyDescent="0.2">
      <c r="A14">
        <v>9</v>
      </c>
      <c r="B14" t="s">
        <v>25</v>
      </c>
      <c r="C14">
        <v>2</v>
      </c>
      <c r="D14">
        <v>1</v>
      </c>
      <c r="E14">
        <v>1000</v>
      </c>
      <c r="F14" t="b">
        <v>1</v>
      </c>
      <c r="G14">
        <v>53.567999999999998</v>
      </c>
      <c r="H14">
        <v>29</v>
      </c>
      <c r="I14">
        <v>5</v>
      </c>
      <c r="J14">
        <v>1.92</v>
      </c>
      <c r="K14" t="s">
        <v>44</v>
      </c>
      <c r="L14">
        <v>0</v>
      </c>
      <c r="N14" t="s">
        <v>45</v>
      </c>
      <c r="O14" t="s">
        <v>46</v>
      </c>
      <c r="P14" t="s">
        <v>20</v>
      </c>
      <c r="Q14">
        <f t="shared" si="0"/>
        <v>215.16799970995635</v>
      </c>
      <c r="R14">
        <f t="shared" si="1"/>
        <v>9.3339307048984466E-2</v>
      </c>
      <c r="S14">
        <f t="shared" si="2"/>
        <v>0.54136798088410998</v>
      </c>
    </row>
    <row r="15" spans="1:24" x14ac:dyDescent="0.2">
      <c r="A15">
        <v>12</v>
      </c>
      <c r="B15" t="s">
        <v>25</v>
      </c>
      <c r="C15">
        <v>5</v>
      </c>
      <c r="D15">
        <v>1</v>
      </c>
      <c r="E15">
        <v>1000</v>
      </c>
      <c r="F15" t="b">
        <v>1</v>
      </c>
      <c r="G15">
        <v>59.375999999999998</v>
      </c>
      <c r="H15">
        <v>29</v>
      </c>
      <c r="I15">
        <v>4</v>
      </c>
      <c r="J15">
        <v>1.38</v>
      </c>
      <c r="K15" t="s">
        <v>53</v>
      </c>
      <c r="L15">
        <v>0</v>
      </c>
      <c r="N15" t="s">
        <v>54</v>
      </c>
      <c r="O15" t="s">
        <v>55</v>
      </c>
      <c r="P15" t="s">
        <v>20</v>
      </c>
      <c r="Q15">
        <f t="shared" si="0"/>
        <v>242.80600044876337</v>
      </c>
      <c r="R15">
        <f t="shared" si="1"/>
        <v>6.7367286445701974E-2</v>
      </c>
      <c r="S15">
        <f t="shared" si="2"/>
        <v>0.48841282673133929</v>
      </c>
    </row>
    <row r="16" spans="1:24" hidden="1" x14ac:dyDescent="0.2">
      <c r="A16">
        <v>15</v>
      </c>
      <c r="B16" t="s">
        <v>25</v>
      </c>
      <c r="C16">
        <v>10</v>
      </c>
      <c r="D16">
        <v>1</v>
      </c>
      <c r="E16">
        <v>1000</v>
      </c>
      <c r="F16" t="b">
        <v>1</v>
      </c>
      <c r="G16">
        <v>60.28</v>
      </c>
      <c r="H16">
        <v>30</v>
      </c>
      <c r="I16">
        <v>2</v>
      </c>
      <c r="J16">
        <v>0.96</v>
      </c>
      <c r="K16" t="s">
        <v>62</v>
      </c>
      <c r="L16">
        <v>0</v>
      </c>
      <c r="N16" t="s">
        <v>63</v>
      </c>
      <c r="O16" t="s">
        <v>64</v>
      </c>
      <c r="P16" t="s">
        <v>20</v>
      </c>
      <c r="Q16">
        <f t="shared" si="0"/>
        <v>174.14299969095737</v>
      </c>
      <c r="R16">
        <f t="shared" si="1"/>
        <v>3.3178500331785002E-2</v>
      </c>
      <c r="S16">
        <f t="shared" si="2"/>
        <v>0.49767750497677504</v>
      </c>
    </row>
    <row r="17" spans="1:19" hidden="1" x14ac:dyDescent="0.2">
      <c r="A17">
        <v>18</v>
      </c>
      <c r="B17" t="s">
        <v>25</v>
      </c>
      <c r="C17">
        <v>15</v>
      </c>
      <c r="D17">
        <v>1</v>
      </c>
      <c r="E17">
        <v>1000</v>
      </c>
      <c r="F17" t="b">
        <v>1</v>
      </c>
      <c r="G17">
        <v>46.42</v>
      </c>
      <c r="H17">
        <v>29</v>
      </c>
      <c r="I17">
        <v>4</v>
      </c>
      <c r="J17">
        <v>2.04</v>
      </c>
      <c r="K17" t="s">
        <v>71</v>
      </c>
      <c r="L17">
        <v>0</v>
      </c>
      <c r="N17" t="s">
        <v>72</v>
      </c>
      <c r="O17" t="s">
        <v>73</v>
      </c>
      <c r="P17" t="s">
        <v>20</v>
      </c>
      <c r="Q17">
        <f t="shared" si="0"/>
        <v>137.16199994087219</v>
      </c>
      <c r="R17">
        <f t="shared" si="1"/>
        <v>8.6169754416199909E-2</v>
      </c>
      <c r="S17">
        <f t="shared" si="2"/>
        <v>0.62473071951744941</v>
      </c>
    </row>
    <row r="18" spans="1:19" hidden="1" x14ac:dyDescent="0.2">
      <c r="A18">
        <v>21</v>
      </c>
      <c r="B18" t="s">
        <v>25</v>
      </c>
      <c r="C18">
        <v>20</v>
      </c>
      <c r="D18">
        <v>1</v>
      </c>
      <c r="E18">
        <v>1000</v>
      </c>
      <c r="F18" t="b">
        <v>1</v>
      </c>
      <c r="G18">
        <v>47.131999999999998</v>
      </c>
      <c r="H18">
        <v>27</v>
      </c>
      <c r="I18">
        <v>2</v>
      </c>
      <c r="J18">
        <v>0.84</v>
      </c>
      <c r="K18" t="s">
        <v>80</v>
      </c>
      <c r="L18">
        <v>0</v>
      </c>
      <c r="N18" t="s">
        <v>81</v>
      </c>
      <c r="O18" t="s">
        <v>82</v>
      </c>
      <c r="P18" t="s">
        <v>20</v>
      </c>
      <c r="Q18">
        <f t="shared" si="0"/>
        <v>209.88200004212558</v>
      </c>
      <c r="R18">
        <f t="shared" si="1"/>
        <v>4.2434015106509383E-2</v>
      </c>
      <c r="S18">
        <f t="shared" si="2"/>
        <v>0.57285920393787659</v>
      </c>
    </row>
    <row r="19" spans="1:19" hidden="1" x14ac:dyDescent="0.2">
      <c r="A19">
        <v>24</v>
      </c>
      <c r="B19" t="s">
        <v>25</v>
      </c>
      <c r="C19">
        <v>50</v>
      </c>
      <c r="D19">
        <v>1</v>
      </c>
      <c r="E19">
        <v>1000</v>
      </c>
      <c r="F19" t="b">
        <v>1</v>
      </c>
      <c r="G19">
        <v>46.915999999999997</v>
      </c>
      <c r="H19">
        <v>27</v>
      </c>
      <c r="I19">
        <v>3</v>
      </c>
      <c r="J19">
        <v>1.08</v>
      </c>
      <c r="K19" t="s">
        <v>89</v>
      </c>
      <c r="L19">
        <v>0</v>
      </c>
      <c r="N19" t="s">
        <v>90</v>
      </c>
      <c r="O19" t="s">
        <v>91</v>
      </c>
      <c r="P19" t="s">
        <v>20</v>
      </c>
      <c r="Q19">
        <f t="shared" si="0"/>
        <v>205.84699942264706</v>
      </c>
      <c r="R19">
        <f t="shared" si="1"/>
        <v>6.3944070253218521E-2</v>
      </c>
      <c r="S19">
        <f t="shared" si="2"/>
        <v>0.57549663227896675</v>
      </c>
    </row>
    <row r="20" spans="1:19" hidden="1" x14ac:dyDescent="0.2">
      <c r="A20">
        <v>27</v>
      </c>
      <c r="B20" t="s">
        <v>25</v>
      </c>
      <c r="C20">
        <v>70</v>
      </c>
      <c r="D20">
        <v>1</v>
      </c>
      <c r="E20">
        <v>1000</v>
      </c>
      <c r="F20" t="b">
        <v>1</v>
      </c>
      <c r="G20">
        <v>48.444000000000003</v>
      </c>
      <c r="H20">
        <v>29</v>
      </c>
      <c r="I20">
        <v>11</v>
      </c>
      <c r="J20">
        <v>2.64</v>
      </c>
      <c r="K20" t="s">
        <v>98</v>
      </c>
      <c r="L20">
        <v>0</v>
      </c>
      <c r="N20" t="s">
        <v>99</v>
      </c>
      <c r="O20" t="s">
        <v>100</v>
      </c>
      <c r="P20" t="s">
        <v>20</v>
      </c>
      <c r="Q20">
        <f t="shared" si="0"/>
        <v>237.62299949303269</v>
      </c>
      <c r="R20">
        <f t="shared" si="1"/>
        <v>0.22706630336058128</v>
      </c>
      <c r="S20">
        <f t="shared" si="2"/>
        <v>0.59862934522335065</v>
      </c>
    </row>
    <row r="21" spans="1:19" hidden="1" x14ac:dyDescent="0.2">
      <c r="A21">
        <v>30</v>
      </c>
      <c r="B21" t="s">
        <v>25</v>
      </c>
      <c r="C21">
        <v>100</v>
      </c>
      <c r="D21">
        <v>1</v>
      </c>
      <c r="E21">
        <v>1000</v>
      </c>
      <c r="F21" t="b">
        <v>1</v>
      </c>
      <c r="G21">
        <v>46.496000000000002</v>
      </c>
      <c r="H21">
        <v>31</v>
      </c>
      <c r="I21">
        <v>4</v>
      </c>
      <c r="J21">
        <v>2.04</v>
      </c>
      <c r="K21" t="s">
        <v>107</v>
      </c>
      <c r="L21">
        <v>0</v>
      </c>
      <c r="N21" t="s">
        <v>108</v>
      </c>
      <c r="O21" t="s">
        <v>109</v>
      </c>
      <c r="P21" t="s">
        <v>20</v>
      </c>
      <c r="Q21">
        <f t="shared" si="0"/>
        <v>83.090000180527568</v>
      </c>
      <c r="R21">
        <f t="shared" si="1"/>
        <v>8.6028905712319331E-2</v>
      </c>
      <c r="S21">
        <f t="shared" si="2"/>
        <v>0.66672401927047487</v>
      </c>
    </row>
    <row r="22" spans="1:19" x14ac:dyDescent="0.2">
      <c r="A22">
        <v>1</v>
      </c>
      <c r="B22" t="s">
        <v>16</v>
      </c>
      <c r="C22">
        <v>-1</v>
      </c>
      <c r="D22">
        <v>1</v>
      </c>
      <c r="E22">
        <v>1000</v>
      </c>
      <c r="F22" t="b">
        <v>1</v>
      </c>
      <c r="G22">
        <v>68.12</v>
      </c>
      <c r="H22">
        <v>28</v>
      </c>
      <c r="I22">
        <v>13</v>
      </c>
      <c r="J22">
        <v>12.54</v>
      </c>
      <c r="K22" t="s">
        <v>17</v>
      </c>
      <c r="L22">
        <v>0</v>
      </c>
      <c r="N22" t="s">
        <v>18</v>
      </c>
      <c r="O22" t="s">
        <v>19</v>
      </c>
      <c r="P22" t="s">
        <v>20</v>
      </c>
      <c r="Q22">
        <f t="shared" si="0"/>
        <v>253.23099985253066</v>
      </c>
      <c r="R22">
        <f t="shared" si="1"/>
        <v>0.19083969465648853</v>
      </c>
      <c r="S22">
        <f t="shared" si="2"/>
        <v>0.41103934233705225</v>
      </c>
    </row>
    <row r="23" spans="1:19" x14ac:dyDescent="0.2">
      <c r="A23">
        <v>4</v>
      </c>
      <c r="B23" t="s">
        <v>16</v>
      </c>
      <c r="C23">
        <v>0</v>
      </c>
      <c r="D23">
        <v>1</v>
      </c>
      <c r="E23">
        <v>1000</v>
      </c>
      <c r="F23" t="b">
        <v>1</v>
      </c>
      <c r="G23">
        <v>120.78400000000001</v>
      </c>
      <c r="H23">
        <v>25</v>
      </c>
      <c r="I23">
        <v>1</v>
      </c>
      <c r="J23">
        <v>0.9</v>
      </c>
      <c r="K23" t="s">
        <v>29</v>
      </c>
      <c r="L23">
        <v>0</v>
      </c>
      <c r="N23" t="s">
        <v>30</v>
      </c>
      <c r="O23" t="s">
        <v>31</v>
      </c>
      <c r="P23" t="s">
        <v>20</v>
      </c>
      <c r="Q23">
        <f t="shared" si="0"/>
        <v>466.84199986048043</v>
      </c>
      <c r="R23">
        <f t="shared" si="1"/>
        <v>8.2792422837461906E-3</v>
      </c>
      <c r="S23">
        <f t="shared" si="2"/>
        <v>0.20698105709365477</v>
      </c>
    </row>
    <row r="24" spans="1:19" x14ac:dyDescent="0.2">
      <c r="A24">
        <v>7</v>
      </c>
      <c r="B24" t="s">
        <v>16</v>
      </c>
      <c r="C24">
        <v>2</v>
      </c>
      <c r="D24">
        <v>1</v>
      </c>
      <c r="E24">
        <v>1000</v>
      </c>
      <c r="F24" t="b">
        <v>1</v>
      </c>
      <c r="G24">
        <v>45.972000000000001</v>
      </c>
      <c r="H24">
        <v>27</v>
      </c>
      <c r="I24">
        <v>0</v>
      </c>
      <c r="J24">
        <v>0</v>
      </c>
      <c r="K24" t="s">
        <v>38</v>
      </c>
      <c r="L24">
        <v>0</v>
      </c>
      <c r="N24" t="s">
        <v>39</v>
      </c>
      <c r="O24" t="s">
        <v>40</v>
      </c>
      <c r="P24" t="s">
        <v>20</v>
      </c>
      <c r="Q24">
        <f t="shared" si="0"/>
        <v>249.70499994233251</v>
      </c>
      <c r="R24">
        <f t="shared" si="1"/>
        <v>0</v>
      </c>
      <c r="S24">
        <f t="shared" si="2"/>
        <v>0.58731401722787779</v>
      </c>
    </row>
    <row r="25" spans="1:19" x14ac:dyDescent="0.2">
      <c r="A25">
        <v>10</v>
      </c>
      <c r="B25" t="s">
        <v>16</v>
      </c>
      <c r="C25">
        <v>5</v>
      </c>
      <c r="D25">
        <v>1</v>
      </c>
      <c r="E25">
        <v>1000</v>
      </c>
      <c r="F25" t="b">
        <v>1</v>
      </c>
      <c r="G25">
        <v>103.596</v>
      </c>
      <c r="H25">
        <v>25</v>
      </c>
      <c r="I25">
        <v>4</v>
      </c>
      <c r="J25">
        <v>0.36</v>
      </c>
      <c r="K25" t="s">
        <v>47</v>
      </c>
      <c r="L25">
        <v>0</v>
      </c>
      <c r="N25" t="s">
        <v>48</v>
      </c>
      <c r="O25" t="s">
        <v>49</v>
      </c>
      <c r="P25" t="s">
        <v>20</v>
      </c>
      <c r="Q25">
        <f t="shared" si="0"/>
        <v>475.89400014840066</v>
      </c>
      <c r="R25">
        <f t="shared" si="1"/>
        <v>3.8611529402679638E-2</v>
      </c>
      <c r="S25">
        <f t="shared" si="2"/>
        <v>0.24132205876674775</v>
      </c>
    </row>
    <row r="26" spans="1:19" hidden="1" x14ac:dyDescent="0.2">
      <c r="A26">
        <v>13</v>
      </c>
      <c r="B26" t="s">
        <v>16</v>
      </c>
      <c r="C26">
        <v>10</v>
      </c>
      <c r="D26">
        <v>1</v>
      </c>
      <c r="E26">
        <v>1000</v>
      </c>
      <c r="F26" t="b">
        <v>1</v>
      </c>
      <c r="G26">
        <v>87.275999999999996</v>
      </c>
      <c r="H26">
        <v>26</v>
      </c>
      <c r="I26">
        <v>4</v>
      </c>
      <c r="J26">
        <v>2.04</v>
      </c>
      <c r="K26" t="s">
        <v>56</v>
      </c>
      <c r="L26">
        <v>0</v>
      </c>
      <c r="N26" t="s">
        <v>57</v>
      </c>
      <c r="O26" t="s">
        <v>58</v>
      </c>
      <c r="P26" t="s">
        <v>20</v>
      </c>
      <c r="Q26">
        <f t="shared" si="0"/>
        <v>377.99700046889484</v>
      </c>
      <c r="R26">
        <f t="shared" si="1"/>
        <v>4.5831614647784041E-2</v>
      </c>
      <c r="S26">
        <f t="shared" si="2"/>
        <v>0.29790549521059628</v>
      </c>
    </row>
    <row r="27" spans="1:19" hidden="1" x14ac:dyDescent="0.2">
      <c r="A27">
        <v>16</v>
      </c>
      <c r="B27" t="s">
        <v>16</v>
      </c>
      <c r="C27">
        <v>15</v>
      </c>
      <c r="D27">
        <v>1</v>
      </c>
      <c r="E27">
        <v>1000</v>
      </c>
      <c r="F27" t="b">
        <v>1</v>
      </c>
      <c r="G27">
        <v>84.975999999999999</v>
      </c>
      <c r="H27">
        <v>25</v>
      </c>
      <c r="I27">
        <v>12</v>
      </c>
      <c r="J27">
        <v>2.2200000000000002</v>
      </c>
      <c r="K27" t="s">
        <v>65</v>
      </c>
      <c r="L27">
        <v>0</v>
      </c>
      <c r="N27" t="s">
        <v>66</v>
      </c>
      <c r="O27" t="s">
        <v>67</v>
      </c>
      <c r="P27" t="s">
        <v>20</v>
      </c>
      <c r="Q27">
        <f t="shared" si="0"/>
        <v>317.12799975648522</v>
      </c>
      <c r="R27">
        <f t="shared" si="1"/>
        <v>0.14121634343814723</v>
      </c>
      <c r="S27">
        <f t="shared" si="2"/>
        <v>0.29420071549614008</v>
      </c>
    </row>
    <row r="28" spans="1:19" hidden="1" x14ac:dyDescent="0.2">
      <c r="A28">
        <v>19</v>
      </c>
      <c r="B28" t="s">
        <v>16</v>
      </c>
      <c r="C28">
        <v>20</v>
      </c>
      <c r="D28">
        <v>1</v>
      </c>
      <c r="E28">
        <v>1000</v>
      </c>
      <c r="F28" t="b">
        <v>1</v>
      </c>
      <c r="G28">
        <v>52.332000000000001</v>
      </c>
      <c r="H28">
        <v>28</v>
      </c>
      <c r="I28">
        <v>0</v>
      </c>
      <c r="J28">
        <v>0</v>
      </c>
      <c r="K28" t="s">
        <v>74</v>
      </c>
      <c r="L28">
        <v>0</v>
      </c>
      <c r="N28" t="s">
        <v>75</v>
      </c>
      <c r="O28" t="s">
        <v>76</v>
      </c>
      <c r="P28" t="s">
        <v>20</v>
      </c>
      <c r="Q28">
        <f t="shared" si="0"/>
        <v>181.71800009440631</v>
      </c>
      <c r="R28">
        <f t="shared" si="1"/>
        <v>0</v>
      </c>
      <c r="S28">
        <f t="shared" si="2"/>
        <v>0.53504547886570353</v>
      </c>
    </row>
    <row r="29" spans="1:19" hidden="1" x14ac:dyDescent="0.2">
      <c r="A29">
        <v>22</v>
      </c>
      <c r="B29" t="s">
        <v>16</v>
      </c>
      <c r="C29">
        <v>50</v>
      </c>
      <c r="D29">
        <v>1</v>
      </c>
      <c r="E29">
        <v>1000</v>
      </c>
      <c r="F29" t="b">
        <v>1</v>
      </c>
      <c r="G29">
        <v>49.46</v>
      </c>
      <c r="H29">
        <v>29</v>
      </c>
      <c r="I29">
        <v>4</v>
      </c>
      <c r="J29">
        <v>0.72</v>
      </c>
      <c r="K29" t="s">
        <v>83</v>
      </c>
      <c r="L29">
        <v>0</v>
      </c>
      <c r="N29" t="s">
        <v>84</v>
      </c>
      <c r="O29" t="s">
        <v>85</v>
      </c>
      <c r="P29" t="s">
        <v>20</v>
      </c>
      <c r="Q29">
        <f t="shared" si="0"/>
        <v>258.34700006525964</v>
      </c>
      <c r="R29">
        <f t="shared" si="1"/>
        <v>8.087343307723413E-2</v>
      </c>
      <c r="S29">
        <f t="shared" si="2"/>
        <v>0.5863323898099474</v>
      </c>
    </row>
    <row r="30" spans="1:19" hidden="1" x14ac:dyDescent="0.2">
      <c r="A30">
        <v>25</v>
      </c>
      <c r="B30" t="s">
        <v>16</v>
      </c>
      <c r="C30">
        <v>70</v>
      </c>
      <c r="D30">
        <v>1</v>
      </c>
      <c r="E30">
        <v>1000</v>
      </c>
      <c r="F30" t="b">
        <v>1</v>
      </c>
      <c r="G30">
        <v>48.404000000000003</v>
      </c>
      <c r="H30">
        <v>31</v>
      </c>
      <c r="I30">
        <v>6</v>
      </c>
      <c r="J30">
        <v>1.44</v>
      </c>
      <c r="K30" t="s">
        <v>92</v>
      </c>
      <c r="L30">
        <v>0</v>
      </c>
      <c r="N30" t="s">
        <v>93</v>
      </c>
      <c r="O30" t="s">
        <v>94</v>
      </c>
      <c r="P30" t="s">
        <v>20</v>
      </c>
      <c r="Q30">
        <f t="shared" si="0"/>
        <v>218.81399997510016</v>
      </c>
      <c r="R30">
        <f t="shared" si="1"/>
        <v>0.12395669779357077</v>
      </c>
      <c r="S30">
        <f t="shared" si="2"/>
        <v>0.6404429386001157</v>
      </c>
    </row>
    <row r="31" spans="1:19" hidden="1" x14ac:dyDescent="0.2">
      <c r="A31">
        <v>28</v>
      </c>
      <c r="B31" t="s">
        <v>16</v>
      </c>
      <c r="C31">
        <v>100</v>
      </c>
      <c r="D31">
        <v>1</v>
      </c>
      <c r="E31">
        <v>1000</v>
      </c>
      <c r="F31" t="b">
        <v>1</v>
      </c>
      <c r="G31">
        <v>62.155999999999999</v>
      </c>
      <c r="H31">
        <v>29</v>
      </c>
      <c r="I31">
        <v>9</v>
      </c>
      <c r="J31">
        <v>2.16</v>
      </c>
      <c r="K31" t="s">
        <v>101</v>
      </c>
      <c r="L31">
        <v>0</v>
      </c>
      <c r="N31" t="s">
        <v>102</v>
      </c>
      <c r="O31" t="s">
        <v>103</v>
      </c>
      <c r="P31" t="s">
        <v>20</v>
      </c>
      <c r="Q31">
        <f t="shared" si="0"/>
        <v>272.65499993227422</v>
      </c>
      <c r="R31">
        <f t="shared" si="1"/>
        <v>0.14479696248149818</v>
      </c>
      <c r="S31">
        <f t="shared" si="2"/>
        <v>0.46656799021816076</v>
      </c>
    </row>
    <row r="32" spans="1:19" x14ac:dyDescent="0.2">
      <c r="A32" s="1">
        <v>2</v>
      </c>
      <c r="B32" s="1" t="s">
        <v>21</v>
      </c>
      <c r="C32" s="1">
        <v>-1</v>
      </c>
      <c r="D32" s="1">
        <v>1</v>
      </c>
      <c r="E32" s="1">
        <v>1001</v>
      </c>
      <c r="F32" s="1" t="b">
        <v>1</v>
      </c>
      <c r="G32" s="1">
        <v>79.587999999999994</v>
      </c>
      <c r="H32" s="1">
        <v>27</v>
      </c>
      <c r="I32" s="1">
        <v>11</v>
      </c>
      <c r="J32" s="1">
        <v>12.06</v>
      </c>
      <c r="K32" s="1" t="s">
        <v>293</v>
      </c>
      <c r="L32" s="1">
        <v>0</v>
      </c>
      <c r="M32" s="1"/>
      <c r="N32" s="1" t="s">
        <v>294</v>
      </c>
      <c r="O32" s="1" t="s">
        <v>295</v>
      </c>
      <c r="P32" s="1" t="s">
        <v>20</v>
      </c>
      <c r="Q32">
        <f t="shared" si="0"/>
        <v>347.5020001642406</v>
      </c>
      <c r="R32">
        <f t="shared" si="1"/>
        <v>0.13821179072221945</v>
      </c>
      <c r="S32">
        <f t="shared" si="2"/>
        <v>0.33924712268181134</v>
      </c>
    </row>
    <row r="33" spans="1:19" x14ac:dyDescent="0.2">
      <c r="A33" s="1">
        <v>5</v>
      </c>
      <c r="B33" s="1" t="s">
        <v>21</v>
      </c>
      <c r="C33" s="1">
        <v>0</v>
      </c>
      <c r="D33" s="1">
        <v>1</v>
      </c>
      <c r="E33" s="1">
        <v>1001</v>
      </c>
      <c r="F33" s="1" t="b">
        <v>1</v>
      </c>
      <c r="G33" s="1">
        <v>53.328000000000003</v>
      </c>
      <c r="H33" s="1">
        <v>29</v>
      </c>
      <c r="I33" s="1">
        <v>2</v>
      </c>
      <c r="J33" s="1">
        <v>1.44</v>
      </c>
      <c r="K33" s="1" t="s">
        <v>302</v>
      </c>
      <c r="L33" s="1">
        <v>0</v>
      </c>
      <c r="M33" s="1"/>
      <c r="N33" s="1" t="s">
        <v>303</v>
      </c>
      <c r="O33" s="1" t="s">
        <v>304</v>
      </c>
      <c r="P33" s="1" t="s">
        <v>20</v>
      </c>
      <c r="Q33">
        <f t="shared" si="0"/>
        <v>281.54000001959503</v>
      </c>
      <c r="R33">
        <f t="shared" si="1"/>
        <v>3.7503750375037503E-2</v>
      </c>
      <c r="S33">
        <f t="shared" si="2"/>
        <v>0.5438043804380438</v>
      </c>
    </row>
    <row r="34" spans="1:19" x14ac:dyDescent="0.2">
      <c r="A34" s="1">
        <v>8</v>
      </c>
      <c r="B34" s="1" t="s">
        <v>21</v>
      </c>
      <c r="C34" s="1">
        <v>2</v>
      </c>
      <c r="D34" s="1">
        <v>1</v>
      </c>
      <c r="E34" s="1">
        <v>1001</v>
      </c>
      <c r="F34" s="1" t="b">
        <v>1</v>
      </c>
      <c r="G34" s="1">
        <v>65.16</v>
      </c>
      <c r="H34" s="1">
        <v>26</v>
      </c>
      <c r="I34" s="1">
        <v>1</v>
      </c>
      <c r="J34" s="1">
        <v>0.06</v>
      </c>
      <c r="K34" s="1" t="s">
        <v>311</v>
      </c>
      <c r="L34" s="1">
        <v>0</v>
      </c>
      <c r="M34" s="1"/>
      <c r="N34" s="1" t="s">
        <v>312</v>
      </c>
      <c r="O34" s="1" t="s">
        <v>313</v>
      </c>
      <c r="P34" s="1" t="s">
        <v>20</v>
      </c>
      <c r="Q34">
        <f t="shared" si="0"/>
        <v>355.24000008590519</v>
      </c>
      <c r="R34">
        <f t="shared" si="1"/>
        <v>1.5346838551258441E-2</v>
      </c>
      <c r="S34">
        <f t="shared" si="2"/>
        <v>0.3990178023327195</v>
      </c>
    </row>
    <row r="35" spans="1:19" x14ac:dyDescent="0.2">
      <c r="A35" s="1">
        <v>11</v>
      </c>
      <c r="B35" s="1" t="s">
        <v>21</v>
      </c>
      <c r="C35" s="1">
        <v>5</v>
      </c>
      <c r="D35" s="1">
        <v>1</v>
      </c>
      <c r="E35" s="1">
        <v>1001</v>
      </c>
      <c r="F35" s="1" t="b">
        <v>1</v>
      </c>
      <c r="G35" s="1">
        <v>69.727999999999994</v>
      </c>
      <c r="H35" s="1">
        <v>24</v>
      </c>
      <c r="I35" s="1">
        <v>1</v>
      </c>
      <c r="J35" s="1">
        <v>0.12</v>
      </c>
      <c r="K35" s="1" t="s">
        <v>320</v>
      </c>
      <c r="L35" s="1">
        <v>0</v>
      </c>
      <c r="M35" s="1"/>
      <c r="N35" s="1" t="s">
        <v>321</v>
      </c>
      <c r="O35" s="1" t="s">
        <v>322</v>
      </c>
      <c r="P35" s="1" t="s">
        <v>20</v>
      </c>
      <c r="Q35">
        <f t="shared" si="0"/>
        <v>325.79400020185858</v>
      </c>
      <c r="R35">
        <f t="shared" si="1"/>
        <v>1.4341441027994494E-2</v>
      </c>
      <c r="S35">
        <f t="shared" si="2"/>
        <v>0.34419458467186786</v>
      </c>
    </row>
    <row r="36" spans="1:19" hidden="1" x14ac:dyDescent="0.2">
      <c r="A36" s="1">
        <v>14</v>
      </c>
      <c r="B36" s="1" t="s">
        <v>21</v>
      </c>
      <c r="C36" s="1">
        <v>10</v>
      </c>
      <c r="D36" s="1">
        <v>1</v>
      </c>
      <c r="E36" s="1">
        <v>1001</v>
      </c>
      <c r="F36" s="1" t="b">
        <v>1</v>
      </c>
      <c r="G36" s="1">
        <v>82.927999999999997</v>
      </c>
      <c r="H36" s="1">
        <v>29</v>
      </c>
      <c r="I36" s="1">
        <v>7</v>
      </c>
      <c r="J36" s="1">
        <v>2.58</v>
      </c>
      <c r="K36" s="1" t="s">
        <v>329</v>
      </c>
      <c r="L36" s="1">
        <v>0</v>
      </c>
      <c r="M36" s="1"/>
      <c r="N36" s="1" t="s">
        <v>330</v>
      </c>
      <c r="O36" s="1" t="s">
        <v>331</v>
      </c>
      <c r="P36" s="1" t="s">
        <v>20</v>
      </c>
      <c r="Q36">
        <f t="shared" si="0"/>
        <v>321.9409998273477</v>
      </c>
      <c r="R36">
        <f t="shared" si="1"/>
        <v>8.4410573027204325E-2</v>
      </c>
      <c r="S36">
        <f t="shared" si="2"/>
        <v>0.3497009453984179</v>
      </c>
    </row>
    <row r="37" spans="1:19" hidden="1" x14ac:dyDescent="0.2">
      <c r="A37" s="1">
        <v>17</v>
      </c>
      <c r="B37" s="1" t="s">
        <v>21</v>
      </c>
      <c r="C37" s="1">
        <v>15</v>
      </c>
      <c r="D37" s="1">
        <v>1</v>
      </c>
      <c r="E37" s="1">
        <v>1001</v>
      </c>
      <c r="F37" s="1" t="b">
        <v>1</v>
      </c>
      <c r="G37" s="1">
        <v>53.095999999999997</v>
      </c>
      <c r="H37" s="1">
        <v>27</v>
      </c>
      <c r="I37" s="1">
        <v>0</v>
      </c>
      <c r="J37" s="1">
        <v>0</v>
      </c>
      <c r="K37" s="1" t="s">
        <v>338</v>
      </c>
      <c r="L37" s="1">
        <v>0</v>
      </c>
      <c r="M37" s="1"/>
      <c r="N37" s="1" t="s">
        <v>339</v>
      </c>
      <c r="O37" s="1" t="s">
        <v>340</v>
      </c>
      <c r="P37" s="1" t="s">
        <v>20</v>
      </c>
      <c r="Q37">
        <f t="shared" si="0"/>
        <v>291.86699967831373</v>
      </c>
      <c r="R37">
        <f t="shared" si="1"/>
        <v>0</v>
      </c>
      <c r="S37">
        <f t="shared" si="2"/>
        <v>0.50851288232635228</v>
      </c>
    </row>
    <row r="38" spans="1:19" hidden="1" x14ac:dyDescent="0.2">
      <c r="A38" s="1">
        <v>20</v>
      </c>
      <c r="B38" s="1" t="s">
        <v>21</v>
      </c>
      <c r="C38" s="1">
        <v>20</v>
      </c>
      <c r="D38" s="1">
        <v>1</v>
      </c>
      <c r="E38" s="1">
        <v>1001</v>
      </c>
      <c r="F38" s="1" t="b">
        <v>1</v>
      </c>
      <c r="G38" s="1">
        <v>132.74799999999999</v>
      </c>
      <c r="H38" s="1">
        <v>24</v>
      </c>
      <c r="I38" s="1">
        <v>28</v>
      </c>
      <c r="J38" s="1">
        <v>7.26</v>
      </c>
      <c r="K38" s="1" t="s">
        <v>347</v>
      </c>
      <c r="L38" s="1">
        <v>0</v>
      </c>
      <c r="M38" s="1"/>
      <c r="N38" s="1" t="s">
        <v>348</v>
      </c>
      <c r="O38" s="1" t="s">
        <v>349</v>
      </c>
      <c r="P38" s="1" t="s">
        <v>20</v>
      </c>
      <c r="Q38">
        <f t="shared" si="0"/>
        <v>618.80900021642447</v>
      </c>
      <c r="R38">
        <f t="shared" si="1"/>
        <v>0.21092596498628982</v>
      </c>
      <c r="S38">
        <f t="shared" si="2"/>
        <v>0.1807936842739627</v>
      </c>
    </row>
    <row r="39" spans="1:19" hidden="1" x14ac:dyDescent="0.2">
      <c r="A39" s="1">
        <v>23</v>
      </c>
      <c r="B39" s="1" t="s">
        <v>21</v>
      </c>
      <c r="C39" s="1">
        <v>50</v>
      </c>
      <c r="D39" s="1">
        <v>1</v>
      </c>
      <c r="E39" s="1">
        <v>1001</v>
      </c>
      <c r="F39" s="1" t="b">
        <v>1</v>
      </c>
      <c r="G39" s="1">
        <v>59.616</v>
      </c>
      <c r="H39" s="1">
        <v>27</v>
      </c>
      <c r="I39" s="1">
        <v>12</v>
      </c>
      <c r="J39" s="1">
        <v>2.76</v>
      </c>
      <c r="K39" s="1" t="s">
        <v>356</v>
      </c>
      <c r="L39" s="1">
        <v>0</v>
      </c>
      <c r="M39" s="1"/>
      <c r="N39" s="1" t="s">
        <v>357</v>
      </c>
      <c r="O39" s="1" t="s">
        <v>358</v>
      </c>
      <c r="P39" s="1" t="s">
        <v>20</v>
      </c>
      <c r="Q39">
        <f t="shared" si="0"/>
        <v>248.29400000162423</v>
      </c>
      <c r="R39">
        <f t="shared" si="1"/>
        <v>0.20128824476650564</v>
      </c>
      <c r="S39">
        <f t="shared" si="2"/>
        <v>0.45289855072463769</v>
      </c>
    </row>
    <row r="40" spans="1:19" hidden="1" x14ac:dyDescent="0.2">
      <c r="A40" s="1">
        <v>26</v>
      </c>
      <c r="B40" s="1" t="s">
        <v>21</v>
      </c>
      <c r="C40" s="1">
        <v>70</v>
      </c>
      <c r="D40" s="1">
        <v>1</v>
      </c>
      <c r="E40" s="1">
        <v>1001</v>
      </c>
      <c r="F40" s="1" t="b">
        <v>1</v>
      </c>
      <c r="G40" s="1">
        <v>58.308</v>
      </c>
      <c r="H40" s="1">
        <v>25</v>
      </c>
      <c r="I40" s="1">
        <v>23</v>
      </c>
      <c r="J40" s="1">
        <v>5.34</v>
      </c>
      <c r="K40" s="1" t="s">
        <v>365</v>
      </c>
      <c r="L40" s="1">
        <v>0</v>
      </c>
      <c r="M40" s="1"/>
      <c r="N40" s="1" t="s">
        <v>366</v>
      </c>
      <c r="O40" s="1" t="s">
        <v>367</v>
      </c>
      <c r="P40" s="1" t="s">
        <v>20</v>
      </c>
      <c r="Q40">
        <f t="shared" si="0"/>
        <v>316.61899967584759</v>
      </c>
      <c r="R40">
        <f t="shared" si="1"/>
        <v>0.39445702133497978</v>
      </c>
      <c r="S40">
        <f t="shared" si="2"/>
        <v>0.42875763188584759</v>
      </c>
    </row>
    <row r="41" spans="1:19" x14ac:dyDescent="0.2">
      <c r="A41" s="1">
        <v>3</v>
      </c>
      <c r="B41" s="1" t="s">
        <v>25</v>
      </c>
      <c r="C41" s="1">
        <v>-1</v>
      </c>
      <c r="D41" s="1">
        <v>1</v>
      </c>
      <c r="E41" s="1">
        <v>1001</v>
      </c>
      <c r="F41" s="1" t="b">
        <v>1</v>
      </c>
      <c r="G41" s="1">
        <v>45.2</v>
      </c>
      <c r="H41" s="1">
        <v>25</v>
      </c>
      <c r="I41" s="1">
        <v>4</v>
      </c>
      <c r="J41" s="1">
        <v>5.94</v>
      </c>
      <c r="K41" s="1" t="s">
        <v>296</v>
      </c>
      <c r="L41" s="1">
        <v>0</v>
      </c>
      <c r="M41" s="1"/>
      <c r="N41" s="1" t="s">
        <v>297</v>
      </c>
      <c r="O41" s="1" t="s">
        <v>298</v>
      </c>
      <c r="P41" s="1" t="s">
        <v>20</v>
      </c>
      <c r="Q41">
        <f t="shared" si="0"/>
        <v>202.49499964993447</v>
      </c>
      <c r="R41">
        <f t="shared" si="1"/>
        <v>8.8495575221238937E-2</v>
      </c>
      <c r="S41">
        <f t="shared" si="2"/>
        <v>0.55309734513274333</v>
      </c>
    </row>
    <row r="42" spans="1:19" x14ac:dyDescent="0.2">
      <c r="A42" s="1">
        <v>6</v>
      </c>
      <c r="B42" s="1" t="s">
        <v>25</v>
      </c>
      <c r="C42" s="1">
        <v>0</v>
      </c>
      <c r="D42" s="1">
        <v>1</v>
      </c>
      <c r="E42" s="1">
        <v>1001</v>
      </c>
      <c r="F42" s="1" t="b">
        <v>1</v>
      </c>
      <c r="G42" s="1">
        <v>46.747999999999998</v>
      </c>
      <c r="H42" s="1">
        <v>24</v>
      </c>
      <c r="I42" s="1">
        <v>2</v>
      </c>
      <c r="J42" s="1">
        <v>0.24</v>
      </c>
      <c r="K42" s="1" t="s">
        <v>305</v>
      </c>
      <c r="L42" s="1">
        <v>0</v>
      </c>
      <c r="M42" s="1"/>
      <c r="N42" s="1" t="s">
        <v>306</v>
      </c>
      <c r="O42" s="1" t="s">
        <v>307</v>
      </c>
      <c r="P42" s="1" t="s">
        <v>20</v>
      </c>
      <c r="Q42">
        <f t="shared" si="0"/>
        <v>210.32299983780831</v>
      </c>
      <c r="R42">
        <f t="shared" si="1"/>
        <v>4.2782578933858138E-2</v>
      </c>
      <c r="S42">
        <f t="shared" si="2"/>
        <v>0.51339094720629763</v>
      </c>
    </row>
    <row r="43" spans="1:19" x14ac:dyDescent="0.2">
      <c r="A43" s="1">
        <v>9</v>
      </c>
      <c r="B43" s="1" t="s">
        <v>25</v>
      </c>
      <c r="C43" s="1">
        <v>2</v>
      </c>
      <c r="D43" s="1">
        <v>1</v>
      </c>
      <c r="E43" s="1">
        <v>1001</v>
      </c>
      <c r="F43" s="1" t="b">
        <v>1</v>
      </c>
      <c r="G43" s="1">
        <v>34.304000000000002</v>
      </c>
      <c r="H43" s="1">
        <v>27</v>
      </c>
      <c r="I43" s="1">
        <v>1</v>
      </c>
      <c r="J43" s="1">
        <v>0.06</v>
      </c>
      <c r="K43" s="1" t="s">
        <v>314</v>
      </c>
      <c r="L43" s="1">
        <v>0</v>
      </c>
      <c r="M43" s="1"/>
      <c r="N43" s="1" t="s">
        <v>315</v>
      </c>
      <c r="O43" s="1" t="s">
        <v>316</v>
      </c>
      <c r="P43" s="1" t="s">
        <v>20</v>
      </c>
      <c r="Q43">
        <f t="shared" si="0"/>
        <v>143.200000282377</v>
      </c>
      <c r="R43">
        <f t="shared" si="1"/>
        <v>2.9151119402985072E-2</v>
      </c>
      <c r="S43">
        <f t="shared" si="2"/>
        <v>0.78708022388059695</v>
      </c>
    </row>
    <row r="44" spans="1:19" x14ac:dyDescent="0.2">
      <c r="A44" s="1">
        <v>12</v>
      </c>
      <c r="B44" s="1" t="s">
        <v>25</v>
      </c>
      <c r="C44" s="1">
        <v>5</v>
      </c>
      <c r="D44" s="1">
        <v>1</v>
      </c>
      <c r="E44" s="1">
        <v>1001</v>
      </c>
      <c r="F44" s="1" t="b">
        <v>1</v>
      </c>
      <c r="G44" s="1">
        <v>44.527999999999999</v>
      </c>
      <c r="H44" s="1">
        <v>25</v>
      </c>
      <c r="I44" s="1">
        <v>2</v>
      </c>
      <c r="J44" s="1">
        <v>0.24</v>
      </c>
      <c r="K44" s="1" t="s">
        <v>323</v>
      </c>
      <c r="L44" s="1">
        <v>0</v>
      </c>
      <c r="M44" s="1"/>
      <c r="N44" s="1" t="s">
        <v>324</v>
      </c>
      <c r="O44" s="1" t="s">
        <v>325</v>
      </c>
      <c r="P44" s="1" t="s">
        <v>20</v>
      </c>
      <c r="Q44">
        <f t="shared" si="0"/>
        <v>187.59099994786084</v>
      </c>
      <c r="R44">
        <f t="shared" si="1"/>
        <v>4.4915558749550846E-2</v>
      </c>
      <c r="S44">
        <f t="shared" si="2"/>
        <v>0.56144448436938554</v>
      </c>
    </row>
    <row r="45" spans="1:19" hidden="1" x14ac:dyDescent="0.2">
      <c r="A45" s="1">
        <v>15</v>
      </c>
      <c r="B45" s="1" t="s">
        <v>25</v>
      </c>
      <c r="C45" s="1">
        <v>10</v>
      </c>
      <c r="D45" s="1">
        <v>1</v>
      </c>
      <c r="E45" s="1">
        <v>1001</v>
      </c>
      <c r="F45" s="1" t="b">
        <v>1</v>
      </c>
      <c r="G45" s="1">
        <v>44.603999999999999</v>
      </c>
      <c r="H45" s="1">
        <v>26</v>
      </c>
      <c r="I45" s="1">
        <v>3</v>
      </c>
      <c r="J45" s="1">
        <v>0.54</v>
      </c>
      <c r="K45" s="1" t="s">
        <v>332</v>
      </c>
      <c r="L45" s="1">
        <v>0</v>
      </c>
      <c r="M45" s="1"/>
      <c r="N45" s="1" t="s">
        <v>333</v>
      </c>
      <c r="O45" s="1" t="s">
        <v>334</v>
      </c>
      <c r="P45" s="1" t="s">
        <v>20</v>
      </c>
      <c r="Q45">
        <f t="shared" si="0"/>
        <v>207.68200003076345</v>
      </c>
      <c r="R45">
        <f t="shared" si="1"/>
        <v>6.7258541834813029E-2</v>
      </c>
      <c r="S45">
        <f t="shared" si="2"/>
        <v>0.58290736256837949</v>
      </c>
    </row>
    <row r="46" spans="1:19" hidden="1" x14ac:dyDescent="0.2">
      <c r="A46" s="1">
        <v>18</v>
      </c>
      <c r="B46" s="1" t="s">
        <v>25</v>
      </c>
      <c r="C46" s="1">
        <v>15</v>
      </c>
      <c r="D46" s="1">
        <v>1</v>
      </c>
      <c r="E46" s="1">
        <v>1001</v>
      </c>
      <c r="F46" s="1" t="b">
        <v>1</v>
      </c>
      <c r="G46" s="1">
        <v>39.368000000000002</v>
      </c>
      <c r="H46" s="1">
        <v>26</v>
      </c>
      <c r="I46" s="1">
        <v>2</v>
      </c>
      <c r="J46" s="1">
        <v>0.3</v>
      </c>
      <c r="K46" s="1" t="s">
        <v>341</v>
      </c>
      <c r="L46" s="1">
        <v>0</v>
      </c>
      <c r="M46" s="1"/>
      <c r="N46" s="1" t="s">
        <v>342</v>
      </c>
      <c r="O46" s="1" t="s">
        <v>343</v>
      </c>
      <c r="P46" s="1" t="s">
        <v>20</v>
      </c>
      <c r="Q46">
        <f t="shared" si="0"/>
        <v>153.57399978674948</v>
      </c>
      <c r="R46">
        <f t="shared" si="1"/>
        <v>5.080268238162975E-2</v>
      </c>
      <c r="S46">
        <f t="shared" si="2"/>
        <v>0.66043487096118669</v>
      </c>
    </row>
    <row r="47" spans="1:19" hidden="1" x14ac:dyDescent="0.2">
      <c r="A47" s="1">
        <v>21</v>
      </c>
      <c r="B47" s="1" t="s">
        <v>25</v>
      </c>
      <c r="C47" s="1">
        <v>20</v>
      </c>
      <c r="D47" s="1">
        <v>1</v>
      </c>
      <c r="E47" s="1">
        <v>1001</v>
      </c>
      <c r="F47" s="1" t="b">
        <v>1</v>
      </c>
      <c r="G47" s="1">
        <v>52.603999999999999</v>
      </c>
      <c r="H47" s="1">
        <v>28</v>
      </c>
      <c r="I47" s="1">
        <v>4</v>
      </c>
      <c r="J47" s="1">
        <v>1.56</v>
      </c>
      <c r="K47" s="1" t="s">
        <v>350</v>
      </c>
      <c r="L47" s="1">
        <v>0</v>
      </c>
      <c r="M47" s="1"/>
      <c r="N47" s="1" t="s">
        <v>351</v>
      </c>
      <c r="O47" s="1" t="s">
        <v>352</v>
      </c>
      <c r="P47" s="1" t="s">
        <v>20</v>
      </c>
      <c r="Q47">
        <f t="shared" si="0"/>
        <v>241.7059995001182</v>
      </c>
      <c r="R47">
        <f t="shared" si="1"/>
        <v>7.6039844878716442E-2</v>
      </c>
      <c r="S47">
        <f t="shared" si="2"/>
        <v>0.53227891415101514</v>
      </c>
    </row>
    <row r="48" spans="1:19" hidden="1" x14ac:dyDescent="0.2">
      <c r="A48" s="1">
        <v>24</v>
      </c>
      <c r="B48" s="1" t="s">
        <v>25</v>
      </c>
      <c r="C48" s="1">
        <v>50</v>
      </c>
      <c r="D48" s="1">
        <v>1</v>
      </c>
      <c r="E48" s="1">
        <v>1001</v>
      </c>
      <c r="F48" s="1" t="b">
        <v>1</v>
      </c>
      <c r="G48" s="1">
        <v>38.932000000000002</v>
      </c>
      <c r="H48" s="1">
        <v>26</v>
      </c>
      <c r="I48" s="1">
        <v>4</v>
      </c>
      <c r="J48" s="1">
        <v>1.02</v>
      </c>
      <c r="K48" s="1" t="s">
        <v>359</v>
      </c>
      <c r="L48" s="1">
        <v>0</v>
      </c>
      <c r="M48" s="1"/>
      <c r="N48" s="1" t="s">
        <v>360</v>
      </c>
      <c r="O48" s="1" t="s">
        <v>361</v>
      </c>
      <c r="P48" s="1" t="s">
        <v>20</v>
      </c>
      <c r="Q48">
        <f t="shared" si="0"/>
        <v>138.17700021900237</v>
      </c>
      <c r="R48">
        <f t="shared" si="1"/>
        <v>0.10274324463166547</v>
      </c>
      <c r="S48">
        <f t="shared" si="2"/>
        <v>0.66783109010582553</v>
      </c>
    </row>
    <row r="49" spans="1:19" hidden="1" x14ac:dyDescent="0.2">
      <c r="A49" s="1">
        <v>27</v>
      </c>
      <c r="B49" s="1" t="s">
        <v>25</v>
      </c>
      <c r="C49" s="1">
        <v>70</v>
      </c>
      <c r="D49" s="1">
        <v>1</v>
      </c>
      <c r="E49" s="1">
        <v>1001</v>
      </c>
      <c r="F49" s="1" t="b">
        <v>1</v>
      </c>
      <c r="G49" s="1">
        <v>39.067999999999998</v>
      </c>
      <c r="H49" s="1">
        <v>26</v>
      </c>
      <c r="I49" s="1">
        <v>3</v>
      </c>
      <c r="J49" s="1">
        <v>0.78</v>
      </c>
      <c r="K49" s="1" t="s">
        <v>368</v>
      </c>
      <c r="L49" s="1">
        <v>0</v>
      </c>
      <c r="M49" s="1"/>
      <c r="N49" s="1" t="s">
        <v>369</v>
      </c>
      <c r="O49" s="1" t="s">
        <v>370</v>
      </c>
      <c r="P49" s="1" t="s">
        <v>20</v>
      </c>
      <c r="Q49">
        <f t="shared" si="0"/>
        <v>96.147999912500381</v>
      </c>
      <c r="R49">
        <f t="shared" si="1"/>
        <v>7.6789188082318008E-2</v>
      </c>
      <c r="S49">
        <f t="shared" si="2"/>
        <v>0.66550629671342276</v>
      </c>
    </row>
    <row r="50" spans="1:19" x14ac:dyDescent="0.2">
      <c r="A50" s="1">
        <v>1</v>
      </c>
      <c r="B50" s="1" t="s">
        <v>16</v>
      </c>
      <c r="C50" s="1">
        <v>-1</v>
      </c>
      <c r="D50" s="1">
        <v>1</v>
      </c>
      <c r="E50" s="1">
        <v>1001</v>
      </c>
      <c r="F50" s="1" t="b">
        <v>1</v>
      </c>
      <c r="G50" s="1">
        <v>56.036000000000001</v>
      </c>
      <c r="H50" s="1">
        <v>24</v>
      </c>
      <c r="I50" s="1">
        <v>8</v>
      </c>
      <c r="J50" s="1">
        <v>8.2799999999999994</v>
      </c>
      <c r="K50" s="1" t="s">
        <v>290</v>
      </c>
      <c r="L50" s="1">
        <v>0</v>
      </c>
      <c r="M50" s="1"/>
      <c r="N50" s="1" t="s">
        <v>291</v>
      </c>
      <c r="O50" s="1" t="s">
        <v>292</v>
      </c>
      <c r="P50" s="1" t="s">
        <v>20</v>
      </c>
      <c r="Q50">
        <f t="shared" si="0"/>
        <v>232.16700037010014</v>
      </c>
      <c r="R50">
        <f t="shared" si="1"/>
        <v>0.1427653651224213</v>
      </c>
      <c r="S50">
        <f t="shared" si="2"/>
        <v>0.42829609536726387</v>
      </c>
    </row>
    <row r="51" spans="1:19" x14ac:dyDescent="0.2">
      <c r="A51" s="1">
        <v>4</v>
      </c>
      <c r="B51" s="1" t="s">
        <v>16</v>
      </c>
      <c r="C51" s="1">
        <v>0</v>
      </c>
      <c r="D51" s="1">
        <v>1</v>
      </c>
      <c r="E51" s="1">
        <v>1001</v>
      </c>
      <c r="F51" s="1" t="b">
        <v>1</v>
      </c>
      <c r="G51" s="1">
        <v>95.971999999999994</v>
      </c>
      <c r="H51" s="1">
        <v>26</v>
      </c>
      <c r="I51" s="1">
        <v>1</v>
      </c>
      <c r="J51" s="1">
        <v>0.12</v>
      </c>
      <c r="K51" s="1" t="s">
        <v>299</v>
      </c>
      <c r="L51" s="1">
        <v>0</v>
      </c>
      <c r="M51" s="1"/>
      <c r="N51" s="1" t="s">
        <v>300</v>
      </c>
      <c r="O51" s="1" t="s">
        <v>301</v>
      </c>
      <c r="P51" s="1" t="s">
        <v>20</v>
      </c>
      <c r="Q51">
        <f t="shared" si="0"/>
        <v>350.54099997505546</v>
      </c>
      <c r="R51">
        <f t="shared" si="1"/>
        <v>1.0419705747509691E-2</v>
      </c>
      <c r="S51">
        <f t="shared" si="2"/>
        <v>0.27091234943525194</v>
      </c>
    </row>
    <row r="52" spans="1:19" x14ac:dyDescent="0.2">
      <c r="A52" s="1">
        <v>7</v>
      </c>
      <c r="B52" s="1" t="s">
        <v>16</v>
      </c>
      <c r="C52" s="1">
        <v>2</v>
      </c>
      <c r="D52" s="1">
        <v>1</v>
      </c>
      <c r="E52" s="1">
        <v>1001</v>
      </c>
      <c r="F52" s="1" t="b">
        <v>1</v>
      </c>
      <c r="G52" s="1">
        <v>105.944</v>
      </c>
      <c r="H52" s="1">
        <v>27</v>
      </c>
      <c r="I52" s="1">
        <v>3</v>
      </c>
      <c r="J52" s="1">
        <v>0.66</v>
      </c>
      <c r="K52" s="1" t="s">
        <v>308</v>
      </c>
      <c r="L52" s="1">
        <v>0</v>
      </c>
      <c r="M52" s="1"/>
      <c r="N52" s="1" t="s">
        <v>309</v>
      </c>
      <c r="O52" s="1" t="s">
        <v>310</v>
      </c>
      <c r="P52" s="1" t="s">
        <v>20</v>
      </c>
      <c r="Q52">
        <f t="shared" si="0"/>
        <v>430.35500014666468</v>
      </c>
      <c r="R52">
        <f t="shared" si="1"/>
        <v>2.8316846635958619E-2</v>
      </c>
      <c r="S52">
        <f t="shared" si="2"/>
        <v>0.25485161972362758</v>
      </c>
    </row>
    <row r="53" spans="1:19" x14ac:dyDescent="0.2">
      <c r="A53" s="1">
        <v>10</v>
      </c>
      <c r="B53" s="1" t="s">
        <v>16</v>
      </c>
      <c r="C53" s="1">
        <v>5</v>
      </c>
      <c r="D53" s="1">
        <v>1</v>
      </c>
      <c r="E53" s="1">
        <v>1001</v>
      </c>
      <c r="F53" s="1" t="b">
        <v>1</v>
      </c>
      <c r="G53" s="1">
        <v>85.575999999999993</v>
      </c>
      <c r="H53" s="1">
        <v>26</v>
      </c>
      <c r="I53" s="1">
        <v>4</v>
      </c>
      <c r="J53" s="1">
        <v>1.98</v>
      </c>
      <c r="K53" s="1" t="s">
        <v>317</v>
      </c>
      <c r="L53" s="1">
        <v>0</v>
      </c>
      <c r="M53" s="1"/>
      <c r="N53" s="1" t="s">
        <v>318</v>
      </c>
      <c r="O53" s="1" t="s">
        <v>319</v>
      </c>
      <c r="P53" s="1" t="s">
        <v>20</v>
      </c>
      <c r="Q53">
        <f t="shared" si="0"/>
        <v>364.94300016202033</v>
      </c>
      <c r="R53">
        <f t="shared" si="1"/>
        <v>4.6742077217911571E-2</v>
      </c>
      <c r="S53">
        <f t="shared" si="2"/>
        <v>0.30382350191642521</v>
      </c>
    </row>
    <row r="54" spans="1:19" hidden="1" x14ac:dyDescent="0.2">
      <c r="A54" s="1">
        <v>13</v>
      </c>
      <c r="B54" s="1" t="s">
        <v>16</v>
      </c>
      <c r="C54" s="1">
        <v>10</v>
      </c>
      <c r="D54" s="1">
        <v>1</v>
      </c>
      <c r="E54" s="1">
        <v>1001</v>
      </c>
      <c r="F54" s="1" t="b">
        <v>1</v>
      </c>
      <c r="G54" s="1">
        <v>82.992000000000004</v>
      </c>
      <c r="H54" s="1">
        <v>25</v>
      </c>
      <c r="I54" s="1">
        <v>10</v>
      </c>
      <c r="J54" s="1">
        <v>2.76</v>
      </c>
      <c r="K54" s="1" t="s">
        <v>326</v>
      </c>
      <c r="L54" s="1">
        <v>0</v>
      </c>
      <c r="M54" s="1"/>
      <c r="N54" s="1" t="s">
        <v>327</v>
      </c>
      <c r="O54" s="1" t="s">
        <v>328</v>
      </c>
      <c r="P54" s="1" t="s">
        <v>20</v>
      </c>
      <c r="Q54">
        <f t="shared" si="0"/>
        <v>377.87599994335324</v>
      </c>
      <c r="R54">
        <f t="shared" si="1"/>
        <v>0.12049354154617312</v>
      </c>
      <c r="S54">
        <f t="shared" si="2"/>
        <v>0.30123385386543278</v>
      </c>
    </row>
    <row r="55" spans="1:19" hidden="1" x14ac:dyDescent="0.2">
      <c r="A55" s="1">
        <v>16</v>
      </c>
      <c r="B55" s="1" t="s">
        <v>16</v>
      </c>
      <c r="C55" s="1">
        <v>15</v>
      </c>
      <c r="D55" s="1">
        <v>1</v>
      </c>
      <c r="E55" s="1">
        <v>1001</v>
      </c>
      <c r="F55" s="1" t="b">
        <v>1</v>
      </c>
      <c r="G55" s="1">
        <v>83.995999999999995</v>
      </c>
      <c r="H55" s="1">
        <v>27</v>
      </c>
      <c r="I55" s="1">
        <v>9</v>
      </c>
      <c r="J55" s="1">
        <v>2.7</v>
      </c>
      <c r="K55" s="1" t="s">
        <v>335</v>
      </c>
      <c r="L55" s="1">
        <v>0</v>
      </c>
      <c r="M55" s="1"/>
      <c r="N55" s="1" t="s">
        <v>336</v>
      </c>
      <c r="O55" s="1" t="s">
        <v>337</v>
      </c>
      <c r="P55" s="1" t="s">
        <v>20</v>
      </c>
      <c r="Q55">
        <f t="shared" si="0"/>
        <v>344.7860001353547</v>
      </c>
      <c r="R55">
        <f t="shared" si="1"/>
        <v>0.10714795942663936</v>
      </c>
      <c r="S55">
        <f t="shared" si="2"/>
        <v>0.3214438782799181</v>
      </c>
    </row>
    <row r="56" spans="1:19" hidden="1" x14ac:dyDescent="0.2">
      <c r="A56" s="1">
        <v>19</v>
      </c>
      <c r="B56" s="1" t="s">
        <v>16</v>
      </c>
      <c r="C56" s="1">
        <v>20</v>
      </c>
      <c r="D56" s="1">
        <v>1</v>
      </c>
      <c r="E56" s="1">
        <v>1001</v>
      </c>
      <c r="F56" s="1" t="b">
        <v>1</v>
      </c>
      <c r="G56" s="1">
        <v>67.272000000000006</v>
      </c>
      <c r="H56" s="1">
        <v>29</v>
      </c>
      <c r="I56" s="1">
        <v>9</v>
      </c>
      <c r="J56" s="1">
        <v>2.34</v>
      </c>
      <c r="K56" s="1" t="s">
        <v>344</v>
      </c>
      <c r="L56" s="1">
        <v>0</v>
      </c>
      <c r="M56" s="1"/>
      <c r="N56" s="1" t="s">
        <v>345</v>
      </c>
      <c r="O56" s="1" t="s">
        <v>346</v>
      </c>
      <c r="P56" s="1" t="s">
        <v>20</v>
      </c>
      <c r="Q56">
        <f t="shared" si="0"/>
        <v>296.13900049589574</v>
      </c>
      <c r="R56">
        <f t="shared" si="1"/>
        <v>0.13378523011059579</v>
      </c>
      <c r="S56">
        <f t="shared" si="2"/>
        <v>0.4310857414674753</v>
      </c>
    </row>
    <row r="57" spans="1:19" hidden="1" x14ac:dyDescent="0.2">
      <c r="A57" s="1">
        <v>22</v>
      </c>
      <c r="B57" s="1" t="s">
        <v>16</v>
      </c>
      <c r="C57" s="1">
        <v>50</v>
      </c>
      <c r="D57" s="1">
        <v>1</v>
      </c>
      <c r="E57" s="1">
        <v>1001</v>
      </c>
      <c r="F57" s="1" t="b">
        <v>1</v>
      </c>
      <c r="G57" s="1">
        <v>93.772000000000006</v>
      </c>
      <c r="H57" s="1">
        <v>27</v>
      </c>
      <c r="I57" s="1">
        <v>5</v>
      </c>
      <c r="J57" s="1">
        <v>1.8</v>
      </c>
      <c r="K57" s="1" t="s">
        <v>353</v>
      </c>
      <c r="L57" s="1">
        <v>0</v>
      </c>
      <c r="M57" s="1"/>
      <c r="N57" s="1" t="s">
        <v>354</v>
      </c>
      <c r="O57" s="1" t="s">
        <v>355</v>
      </c>
      <c r="P57" s="1" t="s">
        <v>20</v>
      </c>
      <c r="Q57">
        <f t="shared" si="0"/>
        <v>393.67100014351308</v>
      </c>
      <c r="R57">
        <f t="shared" si="1"/>
        <v>5.3320820714072431E-2</v>
      </c>
      <c r="S57">
        <f t="shared" si="2"/>
        <v>0.2879324318559911</v>
      </c>
    </row>
    <row r="58" spans="1:19" hidden="1" x14ac:dyDescent="0.2">
      <c r="A58" s="1">
        <v>25</v>
      </c>
      <c r="B58" s="1" t="s">
        <v>16</v>
      </c>
      <c r="C58" s="1">
        <v>70</v>
      </c>
      <c r="D58" s="1">
        <v>1</v>
      </c>
      <c r="E58" s="1">
        <v>1001</v>
      </c>
      <c r="F58" s="1" t="b">
        <v>1</v>
      </c>
      <c r="G58" s="1">
        <v>88.7</v>
      </c>
      <c r="H58" s="1">
        <v>28</v>
      </c>
      <c r="I58" s="1">
        <v>8</v>
      </c>
      <c r="J58" s="1">
        <v>1.1399999999999999</v>
      </c>
      <c r="K58" s="1" t="s">
        <v>362</v>
      </c>
      <c r="L58" s="1">
        <v>0</v>
      </c>
      <c r="M58" s="1"/>
      <c r="N58" s="1" t="s">
        <v>363</v>
      </c>
      <c r="O58" s="1" t="s">
        <v>364</v>
      </c>
      <c r="P58" s="1" t="s">
        <v>20</v>
      </c>
      <c r="Q58">
        <f t="shared" si="0"/>
        <v>317.42699984461069</v>
      </c>
      <c r="R58">
        <f t="shared" si="1"/>
        <v>9.0191657271702363E-2</v>
      </c>
      <c r="S58">
        <f t="shared" si="2"/>
        <v>0.3156708004509583</v>
      </c>
    </row>
    <row r="59" spans="1:19" x14ac:dyDescent="0.2">
      <c r="A59">
        <v>2</v>
      </c>
      <c r="B59" t="s">
        <v>21</v>
      </c>
      <c r="C59">
        <v>-1</v>
      </c>
      <c r="D59">
        <v>1</v>
      </c>
      <c r="E59">
        <v>1002</v>
      </c>
      <c r="F59" t="b">
        <v>1</v>
      </c>
      <c r="G59">
        <v>48.8</v>
      </c>
      <c r="H59">
        <v>25</v>
      </c>
      <c r="I59">
        <v>3</v>
      </c>
      <c r="J59">
        <v>3.78</v>
      </c>
      <c r="K59" t="s">
        <v>540</v>
      </c>
      <c r="L59">
        <v>0</v>
      </c>
      <c r="N59" t="s">
        <v>541</v>
      </c>
      <c r="O59" t="s">
        <v>542</v>
      </c>
      <c r="P59" t="s">
        <v>20</v>
      </c>
      <c r="Q59">
        <f t="shared" si="0"/>
        <v>260.05399958230555</v>
      </c>
      <c r="R59">
        <f t="shared" si="1"/>
        <v>6.147540983606558E-2</v>
      </c>
      <c r="S59">
        <f t="shared" si="2"/>
        <v>0.51229508196721318</v>
      </c>
    </row>
    <row r="60" spans="1:19" x14ac:dyDescent="0.2">
      <c r="A60">
        <v>5</v>
      </c>
      <c r="B60" t="s">
        <v>21</v>
      </c>
      <c r="C60">
        <v>0</v>
      </c>
      <c r="D60">
        <v>1</v>
      </c>
      <c r="E60">
        <v>1002</v>
      </c>
      <c r="F60" t="b">
        <v>1</v>
      </c>
      <c r="G60">
        <v>99.988</v>
      </c>
      <c r="H60">
        <v>25</v>
      </c>
      <c r="I60">
        <v>3</v>
      </c>
      <c r="J60">
        <v>0.78</v>
      </c>
      <c r="K60" t="s">
        <v>549</v>
      </c>
      <c r="L60">
        <v>0</v>
      </c>
      <c r="N60" t="s">
        <v>550</v>
      </c>
      <c r="O60" t="s">
        <v>551</v>
      </c>
      <c r="P60" t="s">
        <v>20</v>
      </c>
      <c r="Q60">
        <f t="shared" si="0"/>
        <v>454.93800023104995</v>
      </c>
      <c r="R60">
        <f t="shared" si="1"/>
        <v>3.0003600432051847E-2</v>
      </c>
      <c r="S60">
        <f t="shared" si="2"/>
        <v>0.25003000360043204</v>
      </c>
    </row>
    <row r="61" spans="1:19" x14ac:dyDescent="0.2">
      <c r="A61">
        <v>8</v>
      </c>
      <c r="B61" t="s">
        <v>21</v>
      </c>
      <c r="C61">
        <v>2</v>
      </c>
      <c r="D61">
        <v>1</v>
      </c>
      <c r="E61">
        <v>1002</v>
      </c>
      <c r="F61" t="b">
        <v>1</v>
      </c>
      <c r="G61">
        <v>147.852</v>
      </c>
      <c r="H61">
        <v>26</v>
      </c>
      <c r="I61">
        <v>4</v>
      </c>
      <c r="J61">
        <v>1.62</v>
      </c>
      <c r="K61" t="s">
        <v>558</v>
      </c>
      <c r="L61">
        <v>0</v>
      </c>
      <c r="N61" t="s">
        <v>559</v>
      </c>
      <c r="O61" t="s">
        <v>560</v>
      </c>
      <c r="P61" t="s">
        <v>20</v>
      </c>
      <c r="Q61">
        <f t="shared" si="0"/>
        <v>614.21199990436435</v>
      </c>
      <c r="R61">
        <f t="shared" si="1"/>
        <v>2.7054081108135161E-2</v>
      </c>
      <c r="S61">
        <f t="shared" si="2"/>
        <v>0.17585152720287855</v>
      </c>
    </row>
    <row r="62" spans="1:19" x14ac:dyDescent="0.2">
      <c r="A62">
        <v>11</v>
      </c>
      <c r="B62" t="s">
        <v>21</v>
      </c>
      <c r="C62">
        <v>5</v>
      </c>
      <c r="D62">
        <v>1</v>
      </c>
      <c r="E62">
        <v>1002</v>
      </c>
      <c r="F62" t="b">
        <v>1</v>
      </c>
      <c r="G62">
        <v>98.231999999999999</v>
      </c>
      <c r="H62">
        <v>24</v>
      </c>
      <c r="I62">
        <v>2</v>
      </c>
      <c r="J62">
        <v>1.44</v>
      </c>
      <c r="K62" t="s">
        <v>567</v>
      </c>
      <c r="L62">
        <v>0</v>
      </c>
      <c r="N62" t="s">
        <v>568</v>
      </c>
      <c r="O62" t="s">
        <v>569</v>
      </c>
      <c r="P62" t="s">
        <v>20</v>
      </c>
      <c r="Q62">
        <f t="shared" si="0"/>
        <v>344.25299973227084</v>
      </c>
      <c r="R62">
        <f t="shared" si="1"/>
        <v>2.0359964166463067E-2</v>
      </c>
      <c r="S62">
        <f t="shared" si="2"/>
        <v>0.2443195699975568</v>
      </c>
    </row>
    <row r="63" spans="1:19" hidden="1" x14ac:dyDescent="0.2">
      <c r="A63">
        <v>14</v>
      </c>
      <c r="B63" t="s">
        <v>21</v>
      </c>
      <c r="C63">
        <v>10</v>
      </c>
      <c r="D63">
        <v>1</v>
      </c>
      <c r="E63">
        <v>1002</v>
      </c>
      <c r="F63" t="b">
        <v>1</v>
      </c>
      <c r="G63">
        <v>58.223999999999997</v>
      </c>
      <c r="H63">
        <v>27</v>
      </c>
      <c r="I63">
        <v>7</v>
      </c>
      <c r="J63">
        <v>1.26</v>
      </c>
      <c r="K63" t="s">
        <v>576</v>
      </c>
      <c r="L63">
        <v>0</v>
      </c>
      <c r="N63" t="s">
        <v>577</v>
      </c>
      <c r="O63" t="s">
        <v>578</v>
      </c>
      <c r="P63" t="s">
        <v>20</v>
      </c>
      <c r="Q63">
        <f t="shared" si="0"/>
        <v>241.97900018189102</v>
      </c>
      <c r="R63">
        <f t="shared" si="1"/>
        <v>0.12022533663094258</v>
      </c>
      <c r="S63">
        <f t="shared" si="2"/>
        <v>0.46372629843363566</v>
      </c>
    </row>
    <row r="64" spans="1:19" hidden="1" x14ac:dyDescent="0.2">
      <c r="A64">
        <v>17</v>
      </c>
      <c r="B64" t="s">
        <v>21</v>
      </c>
      <c r="C64">
        <v>15</v>
      </c>
      <c r="D64">
        <v>1</v>
      </c>
      <c r="E64">
        <v>1002</v>
      </c>
      <c r="F64" t="b">
        <v>1</v>
      </c>
      <c r="G64">
        <v>76.727999999999994</v>
      </c>
      <c r="H64">
        <v>26</v>
      </c>
      <c r="I64">
        <v>9</v>
      </c>
      <c r="J64">
        <v>1.8</v>
      </c>
      <c r="K64" t="s">
        <v>585</v>
      </c>
      <c r="L64">
        <v>0</v>
      </c>
      <c r="N64" t="s">
        <v>586</v>
      </c>
      <c r="O64" t="s">
        <v>587</v>
      </c>
      <c r="P64" t="s">
        <v>20</v>
      </c>
      <c r="Q64">
        <f t="shared" si="0"/>
        <v>310.44300030916929</v>
      </c>
      <c r="R64">
        <f t="shared" si="1"/>
        <v>0.11729746637472631</v>
      </c>
      <c r="S64">
        <f t="shared" si="2"/>
        <v>0.33885934730476491</v>
      </c>
    </row>
    <row r="65" spans="1:19" hidden="1" x14ac:dyDescent="0.2">
      <c r="A65">
        <v>23</v>
      </c>
      <c r="B65" t="s">
        <v>21</v>
      </c>
      <c r="C65">
        <v>50</v>
      </c>
      <c r="D65">
        <v>1</v>
      </c>
      <c r="E65">
        <v>1002</v>
      </c>
      <c r="F65" t="b">
        <v>1</v>
      </c>
      <c r="G65">
        <v>60.112000000000002</v>
      </c>
      <c r="H65">
        <v>25</v>
      </c>
      <c r="I65">
        <v>12</v>
      </c>
      <c r="J65">
        <v>1.98</v>
      </c>
      <c r="K65" t="s">
        <v>600</v>
      </c>
      <c r="L65">
        <v>0</v>
      </c>
      <c r="N65" t="s">
        <v>601</v>
      </c>
      <c r="O65" t="s">
        <v>602</v>
      </c>
      <c r="P65" t="s">
        <v>20</v>
      </c>
      <c r="Q65">
        <f t="shared" si="0"/>
        <v>326.45599998068064</v>
      </c>
      <c r="R65">
        <f t="shared" si="1"/>
        <v>0.19962736225712005</v>
      </c>
      <c r="S65">
        <f t="shared" si="2"/>
        <v>0.41589033803566672</v>
      </c>
    </row>
    <row r="66" spans="1:19" hidden="1" x14ac:dyDescent="0.2">
      <c r="A66">
        <v>26</v>
      </c>
      <c r="B66" t="s">
        <v>21</v>
      </c>
      <c r="C66">
        <v>70</v>
      </c>
      <c r="D66">
        <v>1</v>
      </c>
      <c r="E66">
        <v>1002</v>
      </c>
      <c r="F66" t="b">
        <v>1</v>
      </c>
      <c r="G66">
        <v>63.988</v>
      </c>
      <c r="H66">
        <v>26</v>
      </c>
      <c r="I66">
        <v>18</v>
      </c>
      <c r="J66">
        <v>3.06</v>
      </c>
      <c r="K66" t="s">
        <v>609</v>
      </c>
      <c r="L66">
        <v>0</v>
      </c>
      <c r="N66" t="s">
        <v>610</v>
      </c>
      <c r="O66" t="s">
        <v>611</v>
      </c>
      <c r="P66" t="s">
        <v>20</v>
      </c>
      <c r="Q66">
        <f t="shared" ref="Q66:Q129" si="3">(VALUE(LEFT(SUBSTITUTE(O66,"T"," "),23)) - VALUE(LEFT(SUBSTITUTE(N66,"T"," "),23))) * 86400</f>
        <v>309.24299990292639</v>
      </c>
      <c r="R66">
        <f t="shared" ref="R66:R129" si="4">I66/G66</f>
        <v>0.2813027442645496</v>
      </c>
      <c r="S66">
        <f t="shared" ref="S66:S129" si="5">H66/G66</f>
        <v>0.40632618615990501</v>
      </c>
    </row>
    <row r="67" spans="1:19" x14ac:dyDescent="0.2">
      <c r="A67">
        <v>3</v>
      </c>
      <c r="B67" t="s">
        <v>25</v>
      </c>
      <c r="C67">
        <v>-1</v>
      </c>
      <c r="D67">
        <v>1</v>
      </c>
      <c r="E67">
        <v>1002</v>
      </c>
      <c r="F67" t="b">
        <v>1</v>
      </c>
      <c r="G67">
        <v>41.488</v>
      </c>
      <c r="H67">
        <v>26</v>
      </c>
      <c r="I67">
        <v>7</v>
      </c>
      <c r="J67">
        <v>7.14</v>
      </c>
      <c r="K67" t="s">
        <v>543</v>
      </c>
      <c r="L67">
        <v>0</v>
      </c>
      <c r="N67" t="s">
        <v>544</v>
      </c>
      <c r="O67" t="s">
        <v>545</v>
      </c>
      <c r="P67" t="s">
        <v>20</v>
      </c>
      <c r="Q67">
        <f t="shared" si="3"/>
        <v>150.59399998281151</v>
      </c>
      <c r="R67">
        <f t="shared" si="4"/>
        <v>0.16872348630929426</v>
      </c>
      <c r="S67">
        <f t="shared" si="5"/>
        <v>0.62668723486309297</v>
      </c>
    </row>
    <row r="68" spans="1:19" x14ac:dyDescent="0.2">
      <c r="A68">
        <v>6</v>
      </c>
      <c r="B68" t="s">
        <v>25</v>
      </c>
      <c r="C68">
        <v>0</v>
      </c>
      <c r="D68">
        <v>1</v>
      </c>
      <c r="E68">
        <v>1002</v>
      </c>
      <c r="F68" t="b">
        <v>1</v>
      </c>
      <c r="G68">
        <v>58.704000000000001</v>
      </c>
      <c r="H68">
        <v>25</v>
      </c>
      <c r="I68">
        <v>0</v>
      </c>
      <c r="J68">
        <v>0</v>
      </c>
      <c r="K68" t="s">
        <v>552</v>
      </c>
      <c r="L68">
        <v>0</v>
      </c>
      <c r="N68" t="s">
        <v>553</v>
      </c>
      <c r="O68" t="s">
        <v>554</v>
      </c>
      <c r="P68" t="s">
        <v>20</v>
      </c>
      <c r="Q68">
        <f t="shared" si="3"/>
        <v>255.12899989262223</v>
      </c>
      <c r="R68">
        <f t="shared" si="4"/>
        <v>0</v>
      </c>
      <c r="S68">
        <f t="shared" si="5"/>
        <v>0.42586535840828565</v>
      </c>
    </row>
    <row r="69" spans="1:19" x14ac:dyDescent="0.2">
      <c r="A69">
        <v>9</v>
      </c>
      <c r="B69" t="s">
        <v>25</v>
      </c>
      <c r="C69">
        <v>2</v>
      </c>
      <c r="D69">
        <v>1</v>
      </c>
      <c r="E69">
        <v>1002</v>
      </c>
      <c r="F69" t="b">
        <v>1</v>
      </c>
      <c r="G69">
        <v>48.664000000000001</v>
      </c>
      <c r="H69">
        <v>26</v>
      </c>
      <c r="I69">
        <v>0</v>
      </c>
      <c r="J69">
        <v>0</v>
      </c>
      <c r="K69" t="s">
        <v>561</v>
      </c>
      <c r="L69">
        <v>0</v>
      </c>
      <c r="N69" t="s">
        <v>562</v>
      </c>
      <c r="O69" t="s">
        <v>563</v>
      </c>
      <c r="P69" t="s">
        <v>20</v>
      </c>
      <c r="Q69">
        <f t="shared" si="3"/>
        <v>212.72800024598837</v>
      </c>
      <c r="R69">
        <f t="shared" si="4"/>
        <v>0</v>
      </c>
      <c r="S69">
        <f t="shared" si="5"/>
        <v>0.53427585073154693</v>
      </c>
    </row>
    <row r="70" spans="1:19" x14ac:dyDescent="0.2">
      <c r="A70">
        <v>12</v>
      </c>
      <c r="B70" t="s">
        <v>25</v>
      </c>
      <c r="C70">
        <v>5</v>
      </c>
      <c r="D70">
        <v>1</v>
      </c>
      <c r="E70">
        <v>1002</v>
      </c>
      <c r="F70" t="b">
        <v>1</v>
      </c>
      <c r="G70">
        <v>46.24</v>
      </c>
      <c r="H70">
        <v>21</v>
      </c>
      <c r="I70">
        <v>1</v>
      </c>
      <c r="J70">
        <v>0.72</v>
      </c>
      <c r="K70" t="s">
        <v>570</v>
      </c>
      <c r="L70">
        <v>0</v>
      </c>
      <c r="N70" t="s">
        <v>571</v>
      </c>
      <c r="O70" t="s">
        <v>572</v>
      </c>
      <c r="P70" t="s">
        <v>20</v>
      </c>
      <c r="Q70">
        <f t="shared" si="3"/>
        <v>175.4770003259182</v>
      </c>
      <c r="R70">
        <f t="shared" si="4"/>
        <v>2.162629757785467E-2</v>
      </c>
      <c r="S70">
        <f t="shared" si="5"/>
        <v>0.45415224913494806</v>
      </c>
    </row>
    <row r="71" spans="1:19" hidden="1" x14ac:dyDescent="0.2">
      <c r="A71">
        <v>15</v>
      </c>
      <c r="B71" t="s">
        <v>25</v>
      </c>
      <c r="C71">
        <v>10</v>
      </c>
      <c r="D71">
        <v>1</v>
      </c>
      <c r="E71">
        <v>1002</v>
      </c>
      <c r="F71" t="b">
        <v>1</v>
      </c>
      <c r="G71">
        <v>44.932000000000002</v>
      </c>
      <c r="H71">
        <v>28</v>
      </c>
      <c r="I71">
        <v>5</v>
      </c>
      <c r="J71">
        <v>1.38</v>
      </c>
      <c r="K71" t="s">
        <v>579</v>
      </c>
      <c r="L71">
        <v>0</v>
      </c>
      <c r="N71" t="s">
        <v>580</v>
      </c>
      <c r="O71" t="s">
        <v>581</v>
      </c>
      <c r="P71" t="s">
        <v>20</v>
      </c>
      <c r="Q71">
        <f t="shared" si="3"/>
        <v>250.95999967306852</v>
      </c>
      <c r="R71">
        <f t="shared" si="4"/>
        <v>0.11127926644707557</v>
      </c>
      <c r="S71">
        <f t="shared" si="5"/>
        <v>0.62316389210362322</v>
      </c>
    </row>
    <row r="72" spans="1:19" hidden="1" x14ac:dyDescent="0.2">
      <c r="A72">
        <v>18</v>
      </c>
      <c r="B72" t="s">
        <v>25</v>
      </c>
      <c r="C72">
        <v>15</v>
      </c>
      <c r="D72">
        <v>1</v>
      </c>
      <c r="E72">
        <v>1002</v>
      </c>
      <c r="F72" t="b">
        <v>1</v>
      </c>
      <c r="G72">
        <v>50.792000000000002</v>
      </c>
      <c r="H72">
        <v>30</v>
      </c>
      <c r="I72">
        <v>3</v>
      </c>
      <c r="J72">
        <v>0.48</v>
      </c>
      <c r="K72" t="s">
        <v>588</v>
      </c>
      <c r="L72">
        <v>0</v>
      </c>
      <c r="N72" t="s">
        <v>589</v>
      </c>
      <c r="O72" t="s">
        <v>590</v>
      </c>
      <c r="P72" t="s">
        <v>20</v>
      </c>
      <c r="Q72">
        <f t="shared" si="3"/>
        <v>180.35699988249689</v>
      </c>
      <c r="R72">
        <f t="shared" si="4"/>
        <v>5.9064419593636792E-2</v>
      </c>
      <c r="S72">
        <f t="shared" si="5"/>
        <v>0.59064419593636797</v>
      </c>
    </row>
    <row r="73" spans="1:19" hidden="1" x14ac:dyDescent="0.2">
      <c r="A73">
        <v>21</v>
      </c>
      <c r="B73" t="s">
        <v>25</v>
      </c>
      <c r="C73">
        <v>20</v>
      </c>
      <c r="D73">
        <v>1</v>
      </c>
      <c r="E73">
        <v>1002</v>
      </c>
      <c r="F73" t="b">
        <v>1</v>
      </c>
      <c r="G73">
        <v>41.951999999999998</v>
      </c>
      <c r="H73">
        <v>28</v>
      </c>
      <c r="I73">
        <v>1</v>
      </c>
      <c r="J73">
        <v>0.54</v>
      </c>
      <c r="K73" t="s">
        <v>594</v>
      </c>
      <c r="L73">
        <v>0</v>
      </c>
      <c r="N73" t="s">
        <v>595</v>
      </c>
      <c r="O73" t="s">
        <v>596</v>
      </c>
      <c r="P73" t="s">
        <v>20</v>
      </c>
      <c r="Q73">
        <f t="shared" si="3"/>
        <v>172.05100050196052</v>
      </c>
      <c r="R73">
        <f t="shared" si="4"/>
        <v>2.3836765827612509E-2</v>
      </c>
      <c r="S73">
        <f t="shared" si="5"/>
        <v>0.66742944317315034</v>
      </c>
    </row>
    <row r="74" spans="1:19" hidden="1" x14ac:dyDescent="0.2">
      <c r="A74">
        <v>24</v>
      </c>
      <c r="B74" t="s">
        <v>25</v>
      </c>
      <c r="C74">
        <v>50</v>
      </c>
      <c r="D74">
        <v>1</v>
      </c>
      <c r="E74">
        <v>1002</v>
      </c>
      <c r="F74" t="b">
        <v>1</v>
      </c>
      <c r="G74">
        <v>58.003999999999998</v>
      </c>
      <c r="H74">
        <v>27</v>
      </c>
      <c r="I74">
        <v>3</v>
      </c>
      <c r="J74">
        <v>0.66</v>
      </c>
      <c r="K74" t="s">
        <v>603</v>
      </c>
      <c r="L74">
        <v>0</v>
      </c>
      <c r="N74" t="s">
        <v>604</v>
      </c>
      <c r="O74" t="s">
        <v>605</v>
      </c>
      <c r="P74" t="s">
        <v>20</v>
      </c>
      <c r="Q74">
        <f t="shared" si="3"/>
        <v>288.67500016931444</v>
      </c>
      <c r="R74">
        <f t="shared" si="4"/>
        <v>5.1720570995103785E-2</v>
      </c>
      <c r="S74">
        <f t="shared" si="5"/>
        <v>0.46548513895593407</v>
      </c>
    </row>
    <row r="75" spans="1:19" hidden="1" x14ac:dyDescent="0.2">
      <c r="A75">
        <v>27</v>
      </c>
      <c r="B75" t="s">
        <v>25</v>
      </c>
      <c r="C75">
        <v>70</v>
      </c>
      <c r="D75">
        <v>1</v>
      </c>
      <c r="E75">
        <v>1002</v>
      </c>
      <c r="F75" t="b">
        <v>1</v>
      </c>
      <c r="G75">
        <v>31.98</v>
      </c>
      <c r="H75">
        <v>27</v>
      </c>
      <c r="I75">
        <v>7</v>
      </c>
      <c r="J75">
        <v>0.84</v>
      </c>
      <c r="K75" t="s">
        <v>612</v>
      </c>
      <c r="L75">
        <v>0</v>
      </c>
      <c r="N75" t="s">
        <v>613</v>
      </c>
      <c r="O75" t="s">
        <v>614</v>
      </c>
      <c r="P75" t="s">
        <v>20</v>
      </c>
      <c r="Q75">
        <f t="shared" si="3"/>
        <v>195.86999975144863</v>
      </c>
      <c r="R75">
        <f t="shared" si="4"/>
        <v>0.21888680425265791</v>
      </c>
      <c r="S75">
        <f t="shared" si="5"/>
        <v>0.84427767354596617</v>
      </c>
    </row>
    <row r="76" spans="1:19" x14ac:dyDescent="0.2">
      <c r="A76">
        <v>1</v>
      </c>
      <c r="B76" t="s">
        <v>16</v>
      </c>
      <c r="C76">
        <v>-1</v>
      </c>
      <c r="D76">
        <v>1</v>
      </c>
      <c r="E76">
        <v>1002</v>
      </c>
      <c r="F76" t="b">
        <v>1</v>
      </c>
      <c r="G76">
        <v>51.344000000000001</v>
      </c>
      <c r="H76">
        <v>27</v>
      </c>
      <c r="I76">
        <v>4</v>
      </c>
      <c r="J76">
        <v>2.82</v>
      </c>
      <c r="K76" t="s">
        <v>537</v>
      </c>
      <c r="L76">
        <v>0</v>
      </c>
      <c r="N76" t="s">
        <v>538</v>
      </c>
      <c r="O76" t="s">
        <v>539</v>
      </c>
      <c r="P76" t="s">
        <v>20</v>
      </c>
      <c r="Q76">
        <f t="shared" si="3"/>
        <v>201.91900008358061</v>
      </c>
      <c r="R76">
        <f t="shared" si="4"/>
        <v>7.7905889685260202E-2</v>
      </c>
      <c r="S76">
        <f t="shared" si="5"/>
        <v>0.52586475537550637</v>
      </c>
    </row>
    <row r="77" spans="1:19" x14ac:dyDescent="0.2">
      <c r="A77">
        <v>4</v>
      </c>
      <c r="B77" t="s">
        <v>16</v>
      </c>
      <c r="C77">
        <v>0</v>
      </c>
      <c r="D77">
        <v>1</v>
      </c>
      <c r="E77">
        <v>1002</v>
      </c>
      <c r="F77" t="b">
        <v>1</v>
      </c>
      <c r="G77">
        <v>69.676000000000002</v>
      </c>
      <c r="H77">
        <v>26</v>
      </c>
      <c r="I77">
        <v>4</v>
      </c>
      <c r="J77">
        <v>1.2</v>
      </c>
      <c r="K77" t="s">
        <v>546</v>
      </c>
      <c r="L77">
        <v>0</v>
      </c>
      <c r="N77" t="s">
        <v>547</v>
      </c>
      <c r="O77" t="s">
        <v>548</v>
      </c>
      <c r="P77" t="s">
        <v>20</v>
      </c>
      <c r="Q77">
        <f t="shared" si="3"/>
        <v>319.79400005657226</v>
      </c>
      <c r="R77">
        <f t="shared" si="4"/>
        <v>5.74085768413801E-2</v>
      </c>
      <c r="S77">
        <f t="shared" si="5"/>
        <v>0.37315574946897068</v>
      </c>
    </row>
    <row r="78" spans="1:19" x14ac:dyDescent="0.2">
      <c r="A78">
        <v>7</v>
      </c>
      <c r="B78" t="s">
        <v>16</v>
      </c>
      <c r="C78">
        <v>2</v>
      </c>
      <c r="D78">
        <v>1</v>
      </c>
      <c r="E78">
        <v>1002</v>
      </c>
      <c r="F78" t="b">
        <v>1</v>
      </c>
      <c r="G78">
        <v>76.384</v>
      </c>
      <c r="H78">
        <v>26</v>
      </c>
      <c r="I78">
        <v>0</v>
      </c>
      <c r="J78">
        <v>0</v>
      </c>
      <c r="K78" t="s">
        <v>555</v>
      </c>
      <c r="L78">
        <v>0</v>
      </c>
      <c r="N78" t="s">
        <v>556</v>
      </c>
      <c r="O78" t="s">
        <v>557</v>
      </c>
      <c r="P78" t="s">
        <v>20</v>
      </c>
      <c r="Q78">
        <f t="shared" si="3"/>
        <v>303.16100022755563</v>
      </c>
      <c r="R78">
        <f t="shared" si="4"/>
        <v>0</v>
      </c>
      <c r="S78">
        <f t="shared" si="5"/>
        <v>0.34038542103058234</v>
      </c>
    </row>
    <row r="79" spans="1:19" x14ac:dyDescent="0.2">
      <c r="A79">
        <v>10</v>
      </c>
      <c r="B79" t="s">
        <v>16</v>
      </c>
      <c r="C79">
        <v>5</v>
      </c>
      <c r="D79">
        <v>1</v>
      </c>
      <c r="E79">
        <v>1002</v>
      </c>
      <c r="F79" t="b">
        <v>1</v>
      </c>
      <c r="G79">
        <v>111.54</v>
      </c>
      <c r="H79">
        <v>27</v>
      </c>
      <c r="I79">
        <v>2</v>
      </c>
      <c r="J79">
        <v>0.24</v>
      </c>
      <c r="K79" t="s">
        <v>564</v>
      </c>
      <c r="L79">
        <v>0</v>
      </c>
      <c r="N79" t="s">
        <v>565</v>
      </c>
      <c r="O79" t="s">
        <v>566</v>
      </c>
      <c r="P79" t="s">
        <v>20</v>
      </c>
      <c r="Q79">
        <f t="shared" si="3"/>
        <v>389.09600044135004</v>
      </c>
      <c r="R79">
        <f t="shared" si="4"/>
        <v>1.793078716155639E-2</v>
      </c>
      <c r="S79">
        <f t="shared" si="5"/>
        <v>0.24206562668101128</v>
      </c>
    </row>
    <row r="80" spans="1:19" hidden="1" x14ac:dyDescent="0.2">
      <c r="A80">
        <v>13</v>
      </c>
      <c r="B80" t="s">
        <v>16</v>
      </c>
      <c r="C80">
        <v>10</v>
      </c>
      <c r="D80">
        <v>1</v>
      </c>
      <c r="E80">
        <v>1002</v>
      </c>
      <c r="F80" t="b">
        <v>1</v>
      </c>
      <c r="G80">
        <v>52.103999999999999</v>
      </c>
      <c r="H80">
        <v>28</v>
      </c>
      <c r="I80">
        <v>4</v>
      </c>
      <c r="J80">
        <v>0.42</v>
      </c>
      <c r="K80" t="s">
        <v>573</v>
      </c>
      <c r="L80">
        <v>0</v>
      </c>
      <c r="N80" t="s">
        <v>574</v>
      </c>
      <c r="O80" t="s">
        <v>575</v>
      </c>
      <c r="P80" t="s">
        <v>20</v>
      </c>
      <c r="Q80">
        <f t="shared" si="3"/>
        <v>220.85300018079579</v>
      </c>
      <c r="R80">
        <f t="shared" si="4"/>
        <v>7.6769537847382163E-2</v>
      </c>
      <c r="S80">
        <f t="shared" si="5"/>
        <v>0.53738676493167514</v>
      </c>
    </row>
    <row r="81" spans="1:19" hidden="1" x14ac:dyDescent="0.2">
      <c r="A81">
        <v>16</v>
      </c>
      <c r="B81" t="s">
        <v>16</v>
      </c>
      <c r="C81">
        <v>15</v>
      </c>
      <c r="D81">
        <v>1</v>
      </c>
      <c r="E81">
        <v>1002</v>
      </c>
      <c r="F81" t="b">
        <v>1</v>
      </c>
      <c r="G81">
        <v>77.712000000000003</v>
      </c>
      <c r="H81">
        <v>28</v>
      </c>
      <c r="I81">
        <v>11</v>
      </c>
      <c r="J81">
        <v>3.12</v>
      </c>
      <c r="K81" t="s">
        <v>582</v>
      </c>
      <c r="L81">
        <v>0</v>
      </c>
      <c r="N81" t="s">
        <v>583</v>
      </c>
      <c r="O81" t="s">
        <v>584</v>
      </c>
      <c r="P81" t="s">
        <v>20</v>
      </c>
      <c r="Q81">
        <f t="shared" si="3"/>
        <v>339.05900004319847</v>
      </c>
      <c r="R81">
        <f t="shared" si="4"/>
        <v>0.14154828083178916</v>
      </c>
      <c r="S81">
        <f t="shared" si="5"/>
        <v>0.36030471484455423</v>
      </c>
    </row>
    <row r="82" spans="1:19" hidden="1" x14ac:dyDescent="0.2">
      <c r="A82">
        <v>19</v>
      </c>
      <c r="B82" t="s">
        <v>16</v>
      </c>
      <c r="C82">
        <v>20</v>
      </c>
      <c r="D82">
        <v>1</v>
      </c>
      <c r="E82">
        <v>1002</v>
      </c>
      <c r="F82" t="b">
        <v>1</v>
      </c>
      <c r="G82">
        <v>70.707999999999998</v>
      </c>
      <c r="H82">
        <v>24</v>
      </c>
      <c r="I82">
        <v>8</v>
      </c>
      <c r="J82">
        <v>1.86</v>
      </c>
      <c r="K82" t="s">
        <v>591</v>
      </c>
      <c r="L82">
        <v>0</v>
      </c>
      <c r="N82" t="s">
        <v>592</v>
      </c>
      <c r="O82" t="s">
        <v>593</v>
      </c>
      <c r="P82" t="s">
        <v>20</v>
      </c>
      <c r="Q82">
        <f t="shared" si="3"/>
        <v>334.49299999047071</v>
      </c>
      <c r="R82">
        <f t="shared" si="4"/>
        <v>0.11314137014199242</v>
      </c>
      <c r="S82">
        <f t="shared" si="5"/>
        <v>0.33942411042597725</v>
      </c>
    </row>
    <row r="83" spans="1:19" hidden="1" x14ac:dyDescent="0.2">
      <c r="A83">
        <v>22</v>
      </c>
      <c r="B83" t="s">
        <v>16</v>
      </c>
      <c r="C83">
        <v>50</v>
      </c>
      <c r="D83">
        <v>1</v>
      </c>
      <c r="E83">
        <v>1002</v>
      </c>
      <c r="F83" t="b">
        <v>1</v>
      </c>
      <c r="G83">
        <v>76.311999999999998</v>
      </c>
      <c r="H83">
        <v>26</v>
      </c>
      <c r="I83">
        <v>9</v>
      </c>
      <c r="J83">
        <v>1.92</v>
      </c>
      <c r="K83" t="s">
        <v>597</v>
      </c>
      <c r="L83">
        <v>0</v>
      </c>
      <c r="N83" t="s">
        <v>598</v>
      </c>
      <c r="O83" t="s">
        <v>599</v>
      </c>
      <c r="P83" t="s">
        <v>20</v>
      </c>
      <c r="Q83">
        <f t="shared" si="3"/>
        <v>312.54200006369501</v>
      </c>
      <c r="R83">
        <f t="shared" si="4"/>
        <v>0.11793689065939826</v>
      </c>
      <c r="S83">
        <f t="shared" si="5"/>
        <v>0.3407065730160394</v>
      </c>
    </row>
    <row r="84" spans="1:19" hidden="1" x14ac:dyDescent="0.2">
      <c r="A84">
        <v>25</v>
      </c>
      <c r="B84" t="s">
        <v>16</v>
      </c>
      <c r="C84">
        <v>70</v>
      </c>
      <c r="D84">
        <v>1</v>
      </c>
      <c r="E84">
        <v>1002</v>
      </c>
      <c r="F84" t="b">
        <v>1</v>
      </c>
      <c r="G84">
        <v>70.516000000000005</v>
      </c>
      <c r="H84">
        <v>26</v>
      </c>
      <c r="I84">
        <v>16</v>
      </c>
      <c r="J84">
        <v>3.9</v>
      </c>
      <c r="K84" t="s">
        <v>606</v>
      </c>
      <c r="L84">
        <v>0</v>
      </c>
      <c r="N84" t="s">
        <v>607</v>
      </c>
      <c r="O84" t="s">
        <v>608</v>
      </c>
      <c r="P84" t="s">
        <v>20</v>
      </c>
      <c r="Q84">
        <f t="shared" si="3"/>
        <v>297.64099961612374</v>
      </c>
      <c r="R84">
        <f t="shared" si="4"/>
        <v>0.22689885983322933</v>
      </c>
      <c r="S84">
        <f t="shared" si="5"/>
        <v>0.36871064722899766</v>
      </c>
    </row>
    <row r="85" spans="1:19" x14ac:dyDescent="0.2">
      <c r="A85">
        <v>29</v>
      </c>
      <c r="B85" t="s">
        <v>21</v>
      </c>
      <c r="C85">
        <v>-1</v>
      </c>
      <c r="D85">
        <v>2</v>
      </c>
      <c r="E85">
        <v>1003</v>
      </c>
      <c r="F85" t="b">
        <v>1</v>
      </c>
      <c r="G85">
        <v>55.436</v>
      </c>
      <c r="H85">
        <v>28</v>
      </c>
      <c r="I85">
        <v>4</v>
      </c>
      <c r="J85">
        <v>4.68</v>
      </c>
      <c r="K85" t="s">
        <v>618</v>
      </c>
      <c r="L85">
        <v>0</v>
      </c>
      <c r="N85" t="s">
        <v>619</v>
      </c>
      <c r="O85" t="s">
        <v>620</v>
      </c>
      <c r="P85" t="s">
        <v>20</v>
      </c>
      <c r="Q85">
        <f t="shared" si="3"/>
        <v>249.47800019290298</v>
      </c>
      <c r="R85">
        <f t="shared" si="4"/>
        <v>7.2155278158597305E-2</v>
      </c>
      <c r="S85">
        <f t="shared" si="5"/>
        <v>0.50508694711018109</v>
      </c>
    </row>
    <row r="86" spans="1:19" x14ac:dyDescent="0.2">
      <c r="A86">
        <v>32</v>
      </c>
      <c r="B86" t="s">
        <v>21</v>
      </c>
      <c r="C86">
        <v>0</v>
      </c>
      <c r="D86">
        <v>2</v>
      </c>
      <c r="E86">
        <v>1003</v>
      </c>
      <c r="F86" t="b">
        <v>1</v>
      </c>
      <c r="G86">
        <v>120.044</v>
      </c>
      <c r="H86">
        <v>27</v>
      </c>
      <c r="I86">
        <v>3</v>
      </c>
      <c r="J86">
        <v>1.2</v>
      </c>
      <c r="K86" t="s">
        <v>627</v>
      </c>
      <c r="L86">
        <v>0</v>
      </c>
      <c r="N86" t="s">
        <v>628</v>
      </c>
      <c r="O86" t="s">
        <v>629</v>
      </c>
      <c r="P86" t="s">
        <v>20</v>
      </c>
      <c r="Q86">
        <f t="shared" si="3"/>
        <v>558.30399999395013</v>
      </c>
      <c r="R86">
        <f t="shared" si="4"/>
        <v>2.499083669321249E-2</v>
      </c>
      <c r="S86">
        <f t="shared" si="5"/>
        <v>0.22491753023891239</v>
      </c>
    </row>
    <row r="87" spans="1:19" x14ac:dyDescent="0.2">
      <c r="A87">
        <v>35</v>
      </c>
      <c r="B87" t="s">
        <v>21</v>
      </c>
      <c r="C87">
        <v>2</v>
      </c>
      <c r="D87">
        <v>2</v>
      </c>
      <c r="E87">
        <v>1003</v>
      </c>
      <c r="F87" t="b">
        <v>1</v>
      </c>
      <c r="G87">
        <v>48.375999999999998</v>
      </c>
      <c r="H87">
        <v>25</v>
      </c>
      <c r="I87">
        <v>1</v>
      </c>
      <c r="J87">
        <v>0.12</v>
      </c>
      <c r="K87" t="s">
        <v>636</v>
      </c>
      <c r="L87">
        <v>0</v>
      </c>
      <c r="N87" t="s">
        <v>637</v>
      </c>
      <c r="O87" t="s">
        <v>638</v>
      </c>
      <c r="P87" t="s">
        <v>20</v>
      </c>
      <c r="Q87">
        <f t="shared" si="3"/>
        <v>195.76999966520816</v>
      </c>
      <c r="R87">
        <f t="shared" si="4"/>
        <v>2.0671407309409626E-2</v>
      </c>
      <c r="S87">
        <f t="shared" si="5"/>
        <v>0.51678518273524066</v>
      </c>
    </row>
    <row r="88" spans="1:19" x14ac:dyDescent="0.2">
      <c r="A88">
        <v>38</v>
      </c>
      <c r="B88" t="s">
        <v>21</v>
      </c>
      <c r="C88">
        <v>5</v>
      </c>
      <c r="D88">
        <v>2</v>
      </c>
      <c r="E88">
        <v>1003</v>
      </c>
      <c r="F88" t="b">
        <v>1</v>
      </c>
      <c r="G88">
        <v>69.311999999999998</v>
      </c>
      <c r="H88">
        <v>28</v>
      </c>
      <c r="I88">
        <v>1</v>
      </c>
      <c r="J88">
        <v>0.06</v>
      </c>
      <c r="K88" t="s">
        <v>645</v>
      </c>
      <c r="L88">
        <v>0</v>
      </c>
      <c r="N88" t="s">
        <v>646</v>
      </c>
      <c r="O88" t="s">
        <v>647</v>
      </c>
      <c r="P88" t="s">
        <v>20</v>
      </c>
      <c r="Q88">
        <f t="shared" si="3"/>
        <v>265.31699972692877</v>
      </c>
      <c r="R88">
        <f t="shared" si="4"/>
        <v>1.4427516158818099E-2</v>
      </c>
      <c r="S88">
        <f t="shared" si="5"/>
        <v>0.40397045244690677</v>
      </c>
    </row>
    <row r="89" spans="1:19" hidden="1" x14ac:dyDescent="0.2">
      <c r="A89">
        <v>41</v>
      </c>
      <c r="B89" t="s">
        <v>21</v>
      </c>
      <c r="C89">
        <v>10</v>
      </c>
      <c r="D89">
        <v>2</v>
      </c>
      <c r="E89">
        <v>1003</v>
      </c>
      <c r="F89" t="b">
        <v>1</v>
      </c>
      <c r="G89">
        <v>74.144000000000005</v>
      </c>
      <c r="H89">
        <v>27</v>
      </c>
      <c r="I89">
        <v>1</v>
      </c>
      <c r="J89">
        <v>0.84</v>
      </c>
      <c r="K89" t="s">
        <v>654</v>
      </c>
      <c r="L89">
        <v>0</v>
      </c>
      <c r="N89" t="s">
        <v>655</v>
      </c>
      <c r="O89" t="s">
        <v>656</v>
      </c>
      <c r="P89" t="s">
        <v>20</v>
      </c>
      <c r="Q89">
        <f t="shared" si="3"/>
        <v>281.73800047952682</v>
      </c>
      <c r="R89">
        <f t="shared" si="4"/>
        <v>1.3487268018990072E-2</v>
      </c>
      <c r="S89">
        <f t="shared" si="5"/>
        <v>0.36415623651273193</v>
      </c>
    </row>
    <row r="90" spans="1:19" hidden="1" x14ac:dyDescent="0.2">
      <c r="A90">
        <v>44</v>
      </c>
      <c r="B90" t="s">
        <v>21</v>
      </c>
      <c r="C90">
        <v>15</v>
      </c>
      <c r="D90">
        <v>2</v>
      </c>
      <c r="E90">
        <v>1003</v>
      </c>
      <c r="F90" t="b">
        <v>1</v>
      </c>
      <c r="G90">
        <v>69</v>
      </c>
      <c r="H90">
        <v>26</v>
      </c>
      <c r="I90">
        <v>2</v>
      </c>
      <c r="J90">
        <v>0.18</v>
      </c>
      <c r="K90" t="s">
        <v>663</v>
      </c>
      <c r="L90">
        <v>0</v>
      </c>
      <c r="N90" t="s">
        <v>664</v>
      </c>
      <c r="O90" t="s">
        <v>665</v>
      </c>
      <c r="P90" t="s">
        <v>20</v>
      </c>
      <c r="Q90">
        <f t="shared" si="3"/>
        <v>298.69999985676259</v>
      </c>
      <c r="R90">
        <f t="shared" si="4"/>
        <v>2.8985507246376812E-2</v>
      </c>
      <c r="S90">
        <f t="shared" si="5"/>
        <v>0.37681159420289856</v>
      </c>
    </row>
    <row r="91" spans="1:19" hidden="1" x14ac:dyDescent="0.2">
      <c r="A91">
        <v>47</v>
      </c>
      <c r="B91" t="s">
        <v>21</v>
      </c>
      <c r="C91">
        <v>20</v>
      </c>
      <c r="D91">
        <v>2</v>
      </c>
      <c r="E91">
        <v>1003</v>
      </c>
      <c r="F91" t="b">
        <v>1</v>
      </c>
      <c r="G91">
        <v>53.756</v>
      </c>
      <c r="H91">
        <v>30</v>
      </c>
      <c r="I91">
        <v>0</v>
      </c>
      <c r="J91">
        <v>0</v>
      </c>
      <c r="K91" t="s">
        <v>672</v>
      </c>
      <c r="L91">
        <v>0</v>
      </c>
      <c r="N91" t="s">
        <v>673</v>
      </c>
      <c r="O91" t="s">
        <v>674</v>
      </c>
      <c r="P91" t="s">
        <v>20</v>
      </c>
      <c r="Q91">
        <f t="shared" si="3"/>
        <v>239.55899972934276</v>
      </c>
      <c r="R91">
        <f t="shared" si="4"/>
        <v>0</v>
      </c>
      <c r="S91">
        <f t="shared" si="5"/>
        <v>0.55807723788972396</v>
      </c>
    </row>
    <row r="92" spans="1:19" hidden="1" x14ac:dyDescent="0.2">
      <c r="A92">
        <v>50</v>
      </c>
      <c r="B92" t="s">
        <v>21</v>
      </c>
      <c r="C92">
        <v>50</v>
      </c>
      <c r="D92">
        <v>2</v>
      </c>
      <c r="E92">
        <v>1003</v>
      </c>
      <c r="F92" t="b">
        <v>1</v>
      </c>
      <c r="G92">
        <v>116.092</v>
      </c>
      <c r="H92">
        <v>27</v>
      </c>
      <c r="I92">
        <v>10</v>
      </c>
      <c r="J92">
        <v>3.18</v>
      </c>
      <c r="K92" t="s">
        <v>681</v>
      </c>
      <c r="L92">
        <v>0</v>
      </c>
      <c r="N92" t="s">
        <v>682</v>
      </c>
      <c r="O92" t="s">
        <v>683</v>
      </c>
      <c r="P92" t="s">
        <v>20</v>
      </c>
      <c r="Q92">
        <f t="shared" si="3"/>
        <v>423.46499967388809</v>
      </c>
      <c r="R92">
        <f t="shared" si="4"/>
        <v>8.6138579747097127E-2</v>
      </c>
      <c r="S92">
        <f t="shared" si="5"/>
        <v>0.23257416531716224</v>
      </c>
    </row>
    <row r="93" spans="1:19" hidden="1" x14ac:dyDescent="0.2">
      <c r="A93">
        <v>53</v>
      </c>
      <c r="B93" t="s">
        <v>21</v>
      </c>
      <c r="C93">
        <v>70</v>
      </c>
      <c r="D93">
        <v>2</v>
      </c>
      <c r="E93">
        <v>1003</v>
      </c>
      <c r="F93" t="b">
        <v>1</v>
      </c>
      <c r="G93">
        <v>72.195999999999998</v>
      </c>
      <c r="H93">
        <v>26</v>
      </c>
      <c r="I93">
        <v>2</v>
      </c>
      <c r="J93">
        <v>1.08</v>
      </c>
      <c r="K93" t="s">
        <v>690</v>
      </c>
      <c r="L93">
        <v>0</v>
      </c>
      <c r="N93" t="s">
        <v>691</v>
      </c>
      <c r="O93" t="s">
        <v>692</v>
      </c>
      <c r="P93" t="s">
        <v>20</v>
      </c>
      <c r="Q93">
        <f t="shared" si="3"/>
        <v>324.40800012554973</v>
      </c>
      <c r="R93">
        <f t="shared" si="4"/>
        <v>2.7702365782037788E-2</v>
      </c>
      <c r="S93">
        <f t="shared" si="5"/>
        <v>0.36013075516649123</v>
      </c>
    </row>
    <row r="94" spans="1:19" x14ac:dyDescent="0.2">
      <c r="A94">
        <v>30</v>
      </c>
      <c r="B94" t="s">
        <v>25</v>
      </c>
      <c r="C94">
        <v>-1</v>
      </c>
      <c r="D94">
        <v>2</v>
      </c>
      <c r="E94">
        <v>1003</v>
      </c>
      <c r="F94" t="b">
        <v>1</v>
      </c>
      <c r="G94">
        <v>42.036000000000001</v>
      </c>
      <c r="H94">
        <v>30</v>
      </c>
      <c r="I94">
        <v>4</v>
      </c>
      <c r="J94">
        <v>2.52</v>
      </c>
      <c r="K94" t="s">
        <v>621</v>
      </c>
      <c r="L94">
        <v>0</v>
      </c>
      <c r="N94" t="s">
        <v>622</v>
      </c>
      <c r="O94" t="s">
        <v>623</v>
      </c>
      <c r="P94" t="s">
        <v>20</v>
      </c>
      <c r="Q94">
        <f t="shared" si="3"/>
        <v>161.83899971656501</v>
      </c>
      <c r="R94">
        <f t="shared" si="4"/>
        <v>9.5156532495955848E-2</v>
      </c>
      <c r="S94">
        <f t="shared" si="5"/>
        <v>0.71367399371966889</v>
      </c>
    </row>
    <row r="95" spans="1:19" x14ac:dyDescent="0.2">
      <c r="A95">
        <v>33</v>
      </c>
      <c r="B95" t="s">
        <v>25</v>
      </c>
      <c r="C95">
        <v>0</v>
      </c>
      <c r="D95">
        <v>2</v>
      </c>
      <c r="E95">
        <v>1003</v>
      </c>
      <c r="F95" t="b">
        <v>1</v>
      </c>
      <c r="G95">
        <v>40.828000000000003</v>
      </c>
      <c r="H95">
        <v>29</v>
      </c>
      <c r="I95">
        <v>2</v>
      </c>
      <c r="J95">
        <v>1.86</v>
      </c>
      <c r="K95" t="s">
        <v>630</v>
      </c>
      <c r="L95">
        <v>0</v>
      </c>
      <c r="N95" t="s">
        <v>631</v>
      </c>
      <c r="O95" t="s">
        <v>632</v>
      </c>
      <c r="P95" t="s">
        <v>20</v>
      </c>
      <c r="Q95">
        <f t="shared" si="3"/>
        <v>233.12900040764362</v>
      </c>
      <c r="R95">
        <f t="shared" si="4"/>
        <v>4.8985990006858035E-2</v>
      </c>
      <c r="S95">
        <f t="shared" si="5"/>
        <v>0.71029685509944152</v>
      </c>
    </row>
    <row r="96" spans="1:19" x14ac:dyDescent="0.2">
      <c r="A96">
        <v>36</v>
      </c>
      <c r="B96" t="s">
        <v>25</v>
      </c>
      <c r="C96">
        <v>2</v>
      </c>
      <c r="D96">
        <v>2</v>
      </c>
      <c r="E96">
        <v>1003</v>
      </c>
      <c r="F96" t="b">
        <v>1</v>
      </c>
      <c r="G96">
        <v>48.872</v>
      </c>
      <c r="H96">
        <v>31</v>
      </c>
      <c r="I96">
        <v>2</v>
      </c>
      <c r="J96">
        <v>2.7</v>
      </c>
      <c r="K96" t="s">
        <v>639</v>
      </c>
      <c r="L96">
        <v>0</v>
      </c>
      <c r="N96" t="s">
        <v>640</v>
      </c>
      <c r="O96" t="s">
        <v>641</v>
      </c>
      <c r="P96" t="s">
        <v>20</v>
      </c>
      <c r="Q96">
        <f t="shared" si="3"/>
        <v>179.00000035297126</v>
      </c>
      <c r="R96">
        <f t="shared" si="4"/>
        <v>4.092322802422655E-2</v>
      </c>
      <c r="S96">
        <f t="shared" si="5"/>
        <v>0.63431003437551159</v>
      </c>
    </row>
    <row r="97" spans="1:19" x14ac:dyDescent="0.2">
      <c r="A97">
        <v>39</v>
      </c>
      <c r="B97" t="s">
        <v>25</v>
      </c>
      <c r="C97">
        <v>5</v>
      </c>
      <c r="D97">
        <v>2</v>
      </c>
      <c r="E97">
        <v>1003</v>
      </c>
      <c r="F97" t="b">
        <v>1</v>
      </c>
      <c r="G97">
        <v>57.616</v>
      </c>
      <c r="H97">
        <v>31</v>
      </c>
      <c r="I97">
        <v>2</v>
      </c>
      <c r="J97">
        <v>2.16</v>
      </c>
      <c r="K97" t="s">
        <v>648</v>
      </c>
      <c r="L97">
        <v>0</v>
      </c>
      <c r="N97" t="s">
        <v>649</v>
      </c>
      <c r="O97" t="s">
        <v>650</v>
      </c>
      <c r="P97" t="s">
        <v>20</v>
      </c>
      <c r="Q97">
        <f t="shared" si="3"/>
        <v>234.73400012589991</v>
      </c>
      <c r="R97">
        <f t="shared" si="4"/>
        <v>3.4712579838933631E-2</v>
      </c>
      <c r="S97">
        <f t="shared" si="5"/>
        <v>0.53804498750347129</v>
      </c>
    </row>
    <row r="98" spans="1:19" hidden="1" x14ac:dyDescent="0.2">
      <c r="A98">
        <v>42</v>
      </c>
      <c r="B98" t="s">
        <v>25</v>
      </c>
      <c r="C98">
        <v>10</v>
      </c>
      <c r="D98">
        <v>2</v>
      </c>
      <c r="E98">
        <v>1003</v>
      </c>
      <c r="F98" t="b">
        <v>1</v>
      </c>
      <c r="G98">
        <v>57</v>
      </c>
      <c r="H98">
        <v>31</v>
      </c>
      <c r="I98">
        <v>3</v>
      </c>
      <c r="J98">
        <v>0.78</v>
      </c>
      <c r="K98" t="s">
        <v>657</v>
      </c>
      <c r="L98">
        <v>0</v>
      </c>
      <c r="N98" t="s">
        <v>658</v>
      </c>
      <c r="O98" t="s">
        <v>659</v>
      </c>
      <c r="P98" t="s">
        <v>20</v>
      </c>
      <c r="Q98">
        <f t="shared" si="3"/>
        <v>211.61299988161772</v>
      </c>
      <c r="R98">
        <f t="shared" si="4"/>
        <v>5.2631578947368418E-2</v>
      </c>
      <c r="S98">
        <f t="shared" si="5"/>
        <v>0.54385964912280704</v>
      </c>
    </row>
    <row r="99" spans="1:19" hidden="1" x14ac:dyDescent="0.2">
      <c r="A99">
        <v>45</v>
      </c>
      <c r="B99" t="s">
        <v>25</v>
      </c>
      <c r="C99">
        <v>15</v>
      </c>
      <c r="D99">
        <v>2</v>
      </c>
      <c r="E99">
        <v>1003</v>
      </c>
      <c r="F99" t="b">
        <v>1</v>
      </c>
      <c r="G99">
        <v>47.26</v>
      </c>
      <c r="H99">
        <v>32</v>
      </c>
      <c r="I99">
        <v>2</v>
      </c>
      <c r="J99">
        <v>0.42</v>
      </c>
      <c r="K99" t="s">
        <v>666</v>
      </c>
      <c r="L99">
        <v>0</v>
      </c>
      <c r="N99" t="s">
        <v>667</v>
      </c>
      <c r="O99" t="s">
        <v>668</v>
      </c>
      <c r="P99" t="s">
        <v>20</v>
      </c>
      <c r="Q99">
        <f t="shared" si="3"/>
        <v>170.82299971953034</v>
      </c>
      <c r="R99">
        <f t="shared" si="4"/>
        <v>4.2319085907744393E-2</v>
      </c>
      <c r="S99">
        <f t="shared" si="5"/>
        <v>0.67710537452391029</v>
      </c>
    </row>
    <row r="100" spans="1:19" hidden="1" x14ac:dyDescent="0.2">
      <c r="A100">
        <v>48</v>
      </c>
      <c r="B100" t="s">
        <v>25</v>
      </c>
      <c r="C100">
        <v>20</v>
      </c>
      <c r="D100">
        <v>2</v>
      </c>
      <c r="E100">
        <v>1003</v>
      </c>
      <c r="F100" t="b">
        <v>1</v>
      </c>
      <c r="G100">
        <v>43.56</v>
      </c>
      <c r="H100">
        <v>28</v>
      </c>
      <c r="I100">
        <v>2</v>
      </c>
      <c r="J100">
        <v>1.8</v>
      </c>
      <c r="K100" t="s">
        <v>675</v>
      </c>
      <c r="L100">
        <v>0</v>
      </c>
      <c r="N100" t="s">
        <v>676</v>
      </c>
      <c r="O100" t="s">
        <v>677</v>
      </c>
      <c r="P100" t="s">
        <v>20</v>
      </c>
      <c r="Q100">
        <f t="shared" si="3"/>
        <v>200.38099985104054</v>
      </c>
      <c r="R100">
        <f t="shared" si="4"/>
        <v>4.5913682277318638E-2</v>
      </c>
      <c r="S100">
        <f t="shared" si="5"/>
        <v>0.64279155188246095</v>
      </c>
    </row>
    <row r="101" spans="1:19" hidden="1" x14ac:dyDescent="0.2">
      <c r="A101">
        <v>51</v>
      </c>
      <c r="B101" t="s">
        <v>25</v>
      </c>
      <c r="C101">
        <v>50</v>
      </c>
      <c r="D101">
        <v>2</v>
      </c>
      <c r="E101">
        <v>1003</v>
      </c>
      <c r="F101" t="b">
        <v>1</v>
      </c>
      <c r="G101">
        <v>49.531999999999996</v>
      </c>
      <c r="H101">
        <v>30</v>
      </c>
      <c r="I101">
        <v>3</v>
      </c>
      <c r="J101">
        <v>0.48</v>
      </c>
      <c r="K101" t="s">
        <v>684</v>
      </c>
      <c r="L101">
        <v>0</v>
      </c>
      <c r="N101" t="s">
        <v>685</v>
      </c>
      <c r="O101" t="s">
        <v>686</v>
      </c>
      <c r="P101" t="s">
        <v>20</v>
      </c>
      <c r="Q101">
        <f t="shared" si="3"/>
        <v>215.18799997866154</v>
      </c>
      <c r="R101">
        <f t="shared" si="4"/>
        <v>6.0566906242429143E-2</v>
      </c>
      <c r="S101">
        <f t="shared" si="5"/>
        <v>0.60566906242429142</v>
      </c>
    </row>
    <row r="102" spans="1:19" hidden="1" x14ac:dyDescent="0.2">
      <c r="A102">
        <v>54</v>
      </c>
      <c r="B102" t="s">
        <v>25</v>
      </c>
      <c r="C102">
        <v>70</v>
      </c>
      <c r="D102">
        <v>2</v>
      </c>
      <c r="E102">
        <v>1003</v>
      </c>
      <c r="F102" t="b">
        <v>1</v>
      </c>
      <c r="G102">
        <v>37.427999999999997</v>
      </c>
      <c r="H102">
        <v>32</v>
      </c>
      <c r="I102">
        <v>2</v>
      </c>
      <c r="J102">
        <v>0.24</v>
      </c>
      <c r="K102" t="s">
        <v>693</v>
      </c>
      <c r="L102">
        <v>0</v>
      </c>
      <c r="N102" t="s">
        <v>694</v>
      </c>
      <c r="O102" t="s">
        <v>695</v>
      </c>
      <c r="P102" t="s">
        <v>20</v>
      </c>
      <c r="Q102">
        <f t="shared" si="3"/>
        <v>147.9690003907308</v>
      </c>
      <c r="R102">
        <f t="shared" si="4"/>
        <v>5.3435930319546868E-2</v>
      </c>
      <c r="S102">
        <f t="shared" si="5"/>
        <v>0.85497488511274988</v>
      </c>
    </row>
    <row r="103" spans="1:19" x14ac:dyDescent="0.2">
      <c r="A103">
        <v>28</v>
      </c>
      <c r="B103" t="s">
        <v>16</v>
      </c>
      <c r="C103">
        <v>-1</v>
      </c>
      <c r="D103">
        <v>2</v>
      </c>
      <c r="E103">
        <v>1003</v>
      </c>
      <c r="F103" t="b">
        <v>1</v>
      </c>
      <c r="G103">
        <v>67.168000000000006</v>
      </c>
      <c r="H103">
        <v>29</v>
      </c>
      <c r="I103">
        <v>6</v>
      </c>
      <c r="J103">
        <v>5.22</v>
      </c>
      <c r="K103" t="s">
        <v>615</v>
      </c>
      <c r="L103">
        <v>0</v>
      </c>
      <c r="N103" t="s">
        <v>616</v>
      </c>
      <c r="O103" t="s">
        <v>617</v>
      </c>
      <c r="P103" t="s">
        <v>20</v>
      </c>
      <c r="Q103">
        <f t="shared" si="3"/>
        <v>205.37000040058047</v>
      </c>
      <c r="R103">
        <f t="shared" si="4"/>
        <v>8.9328251548356358E-2</v>
      </c>
      <c r="S103">
        <f t="shared" si="5"/>
        <v>0.43175321581705572</v>
      </c>
    </row>
    <row r="104" spans="1:19" x14ac:dyDescent="0.2">
      <c r="A104">
        <v>31</v>
      </c>
      <c r="B104" t="s">
        <v>16</v>
      </c>
      <c r="C104">
        <v>0</v>
      </c>
      <c r="D104">
        <v>2</v>
      </c>
      <c r="E104">
        <v>1003</v>
      </c>
      <c r="F104" t="b">
        <v>1</v>
      </c>
      <c r="G104">
        <v>108.804</v>
      </c>
      <c r="H104">
        <v>28</v>
      </c>
      <c r="I104">
        <v>4</v>
      </c>
      <c r="J104">
        <v>1.86</v>
      </c>
      <c r="K104" t="s">
        <v>624</v>
      </c>
      <c r="L104">
        <v>0</v>
      </c>
      <c r="N104" t="s">
        <v>625</v>
      </c>
      <c r="O104" t="s">
        <v>626</v>
      </c>
      <c r="P104" t="s">
        <v>20</v>
      </c>
      <c r="Q104">
        <f t="shared" si="3"/>
        <v>432.43100037798285</v>
      </c>
      <c r="R104">
        <f t="shared" si="4"/>
        <v>3.676335428844528E-2</v>
      </c>
      <c r="S104">
        <f t="shared" si="5"/>
        <v>0.25734348001911694</v>
      </c>
    </row>
    <row r="105" spans="1:19" x14ac:dyDescent="0.2">
      <c r="A105">
        <v>34</v>
      </c>
      <c r="B105" t="s">
        <v>16</v>
      </c>
      <c r="C105">
        <v>2</v>
      </c>
      <c r="D105">
        <v>2</v>
      </c>
      <c r="E105">
        <v>1003</v>
      </c>
      <c r="F105" t="b">
        <v>1</v>
      </c>
      <c r="G105">
        <v>110.164</v>
      </c>
      <c r="H105">
        <v>26</v>
      </c>
      <c r="I105">
        <v>2</v>
      </c>
      <c r="J105">
        <v>0.3</v>
      </c>
      <c r="K105" t="s">
        <v>633</v>
      </c>
      <c r="L105">
        <v>0</v>
      </c>
      <c r="N105" t="s">
        <v>634</v>
      </c>
      <c r="O105" t="s">
        <v>635</v>
      </c>
      <c r="P105" t="s">
        <v>20</v>
      </c>
      <c r="Q105">
        <f t="shared" si="3"/>
        <v>378.5739995772019</v>
      </c>
      <c r="R105">
        <f t="shared" si="4"/>
        <v>1.815475109836244E-2</v>
      </c>
      <c r="S105">
        <f t="shared" si="5"/>
        <v>0.23601176427871173</v>
      </c>
    </row>
    <row r="106" spans="1:19" x14ac:dyDescent="0.2">
      <c r="A106">
        <v>37</v>
      </c>
      <c r="B106" t="s">
        <v>16</v>
      </c>
      <c r="C106">
        <v>5</v>
      </c>
      <c r="D106">
        <v>2</v>
      </c>
      <c r="E106">
        <v>1003</v>
      </c>
      <c r="F106" t="b">
        <v>1</v>
      </c>
      <c r="G106">
        <v>68.308000000000007</v>
      </c>
      <c r="H106">
        <v>26</v>
      </c>
      <c r="I106">
        <v>4</v>
      </c>
      <c r="J106">
        <v>1.02</v>
      </c>
      <c r="K106" t="s">
        <v>642</v>
      </c>
      <c r="L106">
        <v>0</v>
      </c>
      <c r="N106" t="s">
        <v>643</v>
      </c>
      <c r="O106" t="s">
        <v>644</v>
      </c>
      <c r="P106" t="s">
        <v>20</v>
      </c>
      <c r="Q106">
        <f t="shared" si="3"/>
        <v>320.77800007537007</v>
      </c>
      <c r="R106">
        <f t="shared" si="4"/>
        <v>5.855829478245593E-2</v>
      </c>
      <c r="S106">
        <f t="shared" si="5"/>
        <v>0.38062891608596355</v>
      </c>
    </row>
    <row r="107" spans="1:19" hidden="1" x14ac:dyDescent="0.2">
      <c r="A107">
        <v>40</v>
      </c>
      <c r="B107" t="s">
        <v>16</v>
      </c>
      <c r="C107">
        <v>10</v>
      </c>
      <c r="D107">
        <v>2</v>
      </c>
      <c r="E107">
        <v>1003</v>
      </c>
      <c r="F107" t="b">
        <v>1</v>
      </c>
      <c r="G107">
        <v>58.795999999999999</v>
      </c>
      <c r="H107">
        <v>28</v>
      </c>
      <c r="I107">
        <v>1</v>
      </c>
      <c r="J107">
        <v>0.6</v>
      </c>
      <c r="K107" t="s">
        <v>651</v>
      </c>
      <c r="L107">
        <v>0</v>
      </c>
      <c r="N107" t="s">
        <v>652</v>
      </c>
      <c r="O107" t="s">
        <v>653</v>
      </c>
      <c r="P107" t="s">
        <v>20</v>
      </c>
      <c r="Q107">
        <f t="shared" si="3"/>
        <v>355.40399977471679</v>
      </c>
      <c r="R107">
        <f t="shared" si="4"/>
        <v>1.7007959725151373E-2</v>
      </c>
      <c r="S107">
        <f t="shared" si="5"/>
        <v>0.47622287230423838</v>
      </c>
    </row>
    <row r="108" spans="1:19" hidden="1" x14ac:dyDescent="0.2">
      <c r="A108">
        <v>43</v>
      </c>
      <c r="B108" t="s">
        <v>16</v>
      </c>
      <c r="C108">
        <v>15</v>
      </c>
      <c r="D108">
        <v>2</v>
      </c>
      <c r="E108">
        <v>1003</v>
      </c>
      <c r="F108" t="b">
        <v>1</v>
      </c>
      <c r="G108">
        <v>59.055999999999997</v>
      </c>
      <c r="H108">
        <v>28</v>
      </c>
      <c r="I108">
        <v>2</v>
      </c>
      <c r="J108">
        <v>1.08</v>
      </c>
      <c r="K108" t="s">
        <v>660</v>
      </c>
      <c r="L108">
        <v>0</v>
      </c>
      <c r="N108" t="s">
        <v>661</v>
      </c>
      <c r="O108" t="s">
        <v>662</v>
      </c>
      <c r="P108" t="s">
        <v>20</v>
      </c>
      <c r="Q108">
        <f t="shared" si="3"/>
        <v>259.64599975850433</v>
      </c>
      <c r="R108">
        <f t="shared" si="4"/>
        <v>3.386616093199675E-2</v>
      </c>
      <c r="S108">
        <f t="shared" si="5"/>
        <v>0.47412625304795453</v>
      </c>
    </row>
    <row r="109" spans="1:19" hidden="1" x14ac:dyDescent="0.2">
      <c r="A109">
        <v>46</v>
      </c>
      <c r="B109" t="s">
        <v>16</v>
      </c>
      <c r="C109">
        <v>20</v>
      </c>
      <c r="D109">
        <v>2</v>
      </c>
      <c r="E109">
        <v>1003</v>
      </c>
      <c r="F109" t="b">
        <v>1</v>
      </c>
      <c r="G109">
        <v>66.847999999999999</v>
      </c>
      <c r="H109">
        <v>29</v>
      </c>
      <c r="I109">
        <v>5</v>
      </c>
      <c r="J109">
        <v>0.9</v>
      </c>
      <c r="K109" t="s">
        <v>669</v>
      </c>
      <c r="L109">
        <v>0</v>
      </c>
      <c r="N109" t="s">
        <v>670</v>
      </c>
      <c r="O109" t="s">
        <v>671</v>
      </c>
      <c r="P109" t="s">
        <v>20</v>
      </c>
      <c r="Q109">
        <f t="shared" si="3"/>
        <v>242.60199959389865</v>
      </c>
      <c r="R109">
        <f t="shared" si="4"/>
        <v>7.4796553374820496E-2</v>
      </c>
      <c r="S109">
        <f t="shared" si="5"/>
        <v>0.43382000957395883</v>
      </c>
    </row>
    <row r="110" spans="1:19" hidden="1" x14ac:dyDescent="0.2">
      <c r="A110">
        <v>49</v>
      </c>
      <c r="B110" t="s">
        <v>16</v>
      </c>
      <c r="C110">
        <v>50</v>
      </c>
      <c r="D110">
        <v>2</v>
      </c>
      <c r="E110">
        <v>1003</v>
      </c>
      <c r="F110" t="b">
        <v>1</v>
      </c>
      <c r="G110">
        <v>60.548000000000002</v>
      </c>
      <c r="H110">
        <v>29</v>
      </c>
      <c r="I110">
        <v>6</v>
      </c>
      <c r="J110">
        <v>0.72</v>
      </c>
      <c r="K110" t="s">
        <v>678</v>
      </c>
      <c r="L110">
        <v>0</v>
      </c>
      <c r="N110" t="s">
        <v>679</v>
      </c>
      <c r="O110" t="s">
        <v>680</v>
      </c>
      <c r="P110" t="s">
        <v>20</v>
      </c>
      <c r="Q110">
        <f t="shared" si="3"/>
        <v>314.72100026439875</v>
      </c>
      <c r="R110">
        <f t="shared" si="4"/>
        <v>9.9094932945762035E-2</v>
      </c>
      <c r="S110">
        <f t="shared" si="5"/>
        <v>0.47895884257118315</v>
      </c>
    </row>
    <row r="111" spans="1:19" hidden="1" x14ac:dyDescent="0.2">
      <c r="A111">
        <v>52</v>
      </c>
      <c r="B111" t="s">
        <v>16</v>
      </c>
      <c r="C111">
        <v>70</v>
      </c>
      <c r="D111">
        <v>2</v>
      </c>
      <c r="E111">
        <v>1003</v>
      </c>
      <c r="F111" t="b">
        <v>1</v>
      </c>
      <c r="G111">
        <v>57.84</v>
      </c>
      <c r="H111">
        <v>29</v>
      </c>
      <c r="I111">
        <v>6</v>
      </c>
      <c r="J111">
        <v>0.78</v>
      </c>
      <c r="K111" t="s">
        <v>687</v>
      </c>
      <c r="L111">
        <v>0</v>
      </c>
      <c r="N111" t="s">
        <v>688</v>
      </c>
      <c r="O111" t="s">
        <v>689</v>
      </c>
      <c r="P111" t="s">
        <v>20</v>
      </c>
      <c r="Q111">
        <f t="shared" si="3"/>
        <v>261.18800004478544</v>
      </c>
      <c r="R111">
        <f t="shared" si="4"/>
        <v>0.10373443983402489</v>
      </c>
      <c r="S111">
        <f t="shared" si="5"/>
        <v>0.50138312586445366</v>
      </c>
    </row>
    <row r="112" spans="1:19" x14ac:dyDescent="0.2">
      <c r="A112">
        <v>56</v>
      </c>
      <c r="B112" t="s">
        <v>21</v>
      </c>
      <c r="C112">
        <v>-1</v>
      </c>
      <c r="D112">
        <v>3</v>
      </c>
      <c r="E112">
        <v>1004</v>
      </c>
      <c r="F112" t="b">
        <v>1</v>
      </c>
      <c r="G112">
        <v>54.872</v>
      </c>
      <c r="H112">
        <v>26</v>
      </c>
      <c r="I112">
        <v>9</v>
      </c>
      <c r="J112">
        <v>5.7</v>
      </c>
      <c r="K112" t="s">
        <v>699</v>
      </c>
      <c r="L112">
        <v>0</v>
      </c>
      <c r="N112" t="s">
        <v>700</v>
      </c>
      <c r="O112" t="s">
        <v>701</v>
      </c>
      <c r="P112" t="s">
        <v>20</v>
      </c>
      <c r="Q112">
        <f t="shared" si="3"/>
        <v>262.52300022169948</v>
      </c>
      <c r="R112">
        <f t="shared" si="4"/>
        <v>0.16401807843708996</v>
      </c>
      <c r="S112">
        <f t="shared" si="5"/>
        <v>0.47383000437381545</v>
      </c>
    </row>
    <row r="113" spans="1:19" x14ac:dyDescent="0.2">
      <c r="A113">
        <v>59</v>
      </c>
      <c r="B113" t="s">
        <v>21</v>
      </c>
      <c r="C113">
        <v>0</v>
      </c>
      <c r="D113">
        <v>3</v>
      </c>
      <c r="E113">
        <v>1004</v>
      </c>
      <c r="F113" t="b">
        <v>1</v>
      </c>
      <c r="G113">
        <v>83.656000000000006</v>
      </c>
      <c r="H113">
        <v>27</v>
      </c>
      <c r="I113">
        <v>2</v>
      </c>
      <c r="J113">
        <v>0.36</v>
      </c>
      <c r="K113" t="s">
        <v>708</v>
      </c>
      <c r="L113">
        <v>0</v>
      </c>
      <c r="N113" t="s">
        <v>709</v>
      </c>
      <c r="O113" t="s">
        <v>710</v>
      </c>
      <c r="P113" t="s">
        <v>20</v>
      </c>
      <c r="Q113">
        <f t="shared" si="3"/>
        <v>292.18899991828948</v>
      </c>
      <c r="R113">
        <f t="shared" si="4"/>
        <v>2.3907430429377447E-2</v>
      </c>
      <c r="S113">
        <f t="shared" si="5"/>
        <v>0.32275031079659555</v>
      </c>
    </row>
    <row r="114" spans="1:19" x14ac:dyDescent="0.2">
      <c r="A114">
        <v>62</v>
      </c>
      <c r="B114" t="s">
        <v>21</v>
      </c>
      <c r="C114">
        <v>2</v>
      </c>
      <c r="D114">
        <v>3</v>
      </c>
      <c r="E114">
        <v>1004</v>
      </c>
      <c r="F114" t="b">
        <v>1</v>
      </c>
      <c r="G114">
        <v>66.328000000000003</v>
      </c>
      <c r="H114">
        <v>23</v>
      </c>
      <c r="I114">
        <v>2</v>
      </c>
      <c r="J114">
        <v>0.3</v>
      </c>
      <c r="K114" t="s">
        <v>717</v>
      </c>
      <c r="L114">
        <v>0</v>
      </c>
      <c r="N114" t="s">
        <v>718</v>
      </c>
      <c r="O114" t="s">
        <v>719</v>
      </c>
      <c r="P114" t="s">
        <v>20</v>
      </c>
      <c r="Q114">
        <f t="shared" si="3"/>
        <v>274.49500013608485</v>
      </c>
      <c r="R114">
        <f t="shared" si="4"/>
        <v>3.0153178144976478E-2</v>
      </c>
      <c r="S114">
        <f t="shared" si="5"/>
        <v>0.34676154866722952</v>
      </c>
    </row>
    <row r="115" spans="1:19" x14ac:dyDescent="0.2">
      <c r="A115">
        <v>65</v>
      </c>
      <c r="B115" t="s">
        <v>21</v>
      </c>
      <c r="C115">
        <v>5</v>
      </c>
      <c r="D115">
        <v>3</v>
      </c>
      <c r="E115">
        <v>1004</v>
      </c>
      <c r="F115" t="b">
        <v>1</v>
      </c>
      <c r="G115">
        <v>80.944000000000003</v>
      </c>
      <c r="H115">
        <v>27</v>
      </c>
      <c r="I115">
        <v>2</v>
      </c>
      <c r="J115">
        <v>0.48</v>
      </c>
      <c r="K115" t="s">
        <v>726</v>
      </c>
      <c r="L115">
        <v>0</v>
      </c>
      <c r="N115" t="s">
        <v>727</v>
      </c>
      <c r="O115" t="s">
        <v>728</v>
      </c>
      <c r="P115" t="s">
        <v>20</v>
      </c>
      <c r="Q115">
        <f t="shared" si="3"/>
        <v>350.720000336878</v>
      </c>
      <c r="R115">
        <f t="shared" si="4"/>
        <v>2.4708440403241747E-2</v>
      </c>
      <c r="S115">
        <f t="shared" si="5"/>
        <v>0.33356394544376355</v>
      </c>
    </row>
    <row r="116" spans="1:19" hidden="1" x14ac:dyDescent="0.2">
      <c r="A116">
        <v>68</v>
      </c>
      <c r="B116" t="s">
        <v>21</v>
      </c>
      <c r="C116">
        <v>10</v>
      </c>
      <c r="D116">
        <v>3</v>
      </c>
      <c r="E116">
        <v>1004</v>
      </c>
      <c r="F116" t="b">
        <v>1</v>
      </c>
      <c r="G116">
        <v>77.388000000000005</v>
      </c>
      <c r="H116">
        <v>26</v>
      </c>
      <c r="I116">
        <v>2</v>
      </c>
      <c r="J116">
        <v>0.42</v>
      </c>
      <c r="K116" t="s">
        <v>735</v>
      </c>
      <c r="L116">
        <v>0</v>
      </c>
      <c r="N116" t="s">
        <v>736</v>
      </c>
      <c r="O116" t="s">
        <v>737</v>
      </c>
      <c r="P116" t="s">
        <v>20</v>
      </c>
      <c r="Q116">
        <f t="shared" si="3"/>
        <v>304.97199988458306</v>
      </c>
      <c r="R116">
        <f t="shared" si="4"/>
        <v>2.5843800072362637E-2</v>
      </c>
      <c r="S116">
        <f t="shared" si="5"/>
        <v>0.33596940094071431</v>
      </c>
    </row>
    <row r="117" spans="1:19" hidden="1" x14ac:dyDescent="0.2">
      <c r="A117">
        <v>71</v>
      </c>
      <c r="B117" t="s">
        <v>21</v>
      </c>
      <c r="C117">
        <v>15</v>
      </c>
      <c r="D117">
        <v>3</v>
      </c>
      <c r="E117">
        <v>1004</v>
      </c>
      <c r="F117" t="b">
        <v>1</v>
      </c>
      <c r="G117">
        <v>65.063999999999993</v>
      </c>
      <c r="H117">
        <v>22</v>
      </c>
      <c r="I117">
        <v>6</v>
      </c>
      <c r="J117">
        <v>2.64</v>
      </c>
      <c r="K117" t="s">
        <v>744</v>
      </c>
      <c r="L117">
        <v>0</v>
      </c>
      <c r="N117" t="s">
        <v>745</v>
      </c>
      <c r="O117" t="s">
        <v>746</v>
      </c>
      <c r="P117" t="s">
        <v>20</v>
      </c>
      <c r="Q117">
        <f t="shared" si="3"/>
        <v>261.84800011105835</v>
      </c>
      <c r="R117">
        <f t="shared" si="4"/>
        <v>9.2216894135005542E-2</v>
      </c>
      <c r="S117">
        <f t="shared" si="5"/>
        <v>0.33812861182835363</v>
      </c>
    </row>
    <row r="118" spans="1:19" hidden="1" x14ac:dyDescent="0.2">
      <c r="A118">
        <v>74</v>
      </c>
      <c r="B118" t="s">
        <v>21</v>
      </c>
      <c r="C118">
        <v>20</v>
      </c>
      <c r="D118">
        <v>3</v>
      </c>
      <c r="E118">
        <v>1004</v>
      </c>
      <c r="F118" t="b">
        <v>1</v>
      </c>
      <c r="G118">
        <v>66.915999999999997</v>
      </c>
      <c r="H118">
        <v>26</v>
      </c>
      <c r="I118">
        <v>5</v>
      </c>
      <c r="J118">
        <v>1.5</v>
      </c>
      <c r="K118" t="s">
        <v>753</v>
      </c>
      <c r="L118">
        <v>0</v>
      </c>
      <c r="N118" t="s">
        <v>754</v>
      </c>
      <c r="O118" t="s">
        <v>755</v>
      </c>
      <c r="P118" t="s">
        <v>20</v>
      </c>
      <c r="Q118">
        <f t="shared" si="3"/>
        <v>277.6790001662448</v>
      </c>
      <c r="R118">
        <f t="shared" si="4"/>
        <v>7.4720545161097496E-2</v>
      </c>
      <c r="S118">
        <f t="shared" si="5"/>
        <v>0.38854683483770697</v>
      </c>
    </row>
    <row r="119" spans="1:19" hidden="1" x14ac:dyDescent="0.2">
      <c r="A119">
        <v>77</v>
      </c>
      <c r="B119" t="s">
        <v>21</v>
      </c>
      <c r="C119">
        <v>50</v>
      </c>
      <c r="D119">
        <v>3</v>
      </c>
      <c r="E119">
        <v>1004</v>
      </c>
      <c r="F119" t="b">
        <v>1</v>
      </c>
      <c r="G119">
        <v>56.612000000000002</v>
      </c>
      <c r="H119">
        <v>26</v>
      </c>
      <c r="I119">
        <v>4</v>
      </c>
      <c r="J119">
        <v>1.2</v>
      </c>
      <c r="K119" t="s">
        <v>762</v>
      </c>
      <c r="L119">
        <v>0</v>
      </c>
      <c r="N119" t="s">
        <v>763</v>
      </c>
      <c r="O119" t="s">
        <v>764</v>
      </c>
      <c r="P119" t="s">
        <v>20</v>
      </c>
      <c r="Q119">
        <f t="shared" si="3"/>
        <v>279.66399996075779</v>
      </c>
      <c r="R119">
        <f t="shared" si="4"/>
        <v>7.0656397936833176E-2</v>
      </c>
      <c r="S119">
        <f t="shared" si="5"/>
        <v>0.45926658658941566</v>
      </c>
    </row>
    <row r="120" spans="1:19" hidden="1" x14ac:dyDescent="0.2">
      <c r="A120">
        <v>80</v>
      </c>
      <c r="B120" t="s">
        <v>21</v>
      </c>
      <c r="C120">
        <v>70</v>
      </c>
      <c r="D120">
        <v>3</v>
      </c>
      <c r="E120">
        <v>1004</v>
      </c>
      <c r="F120" t="b">
        <v>1</v>
      </c>
      <c r="G120">
        <v>92.164000000000001</v>
      </c>
      <c r="H120">
        <v>24</v>
      </c>
      <c r="I120">
        <v>10</v>
      </c>
      <c r="J120">
        <v>1.86</v>
      </c>
      <c r="K120" t="s">
        <v>771</v>
      </c>
      <c r="L120">
        <v>0</v>
      </c>
      <c r="N120" t="s">
        <v>772</v>
      </c>
      <c r="O120" t="s">
        <v>773</v>
      </c>
      <c r="P120" t="s">
        <v>20</v>
      </c>
      <c r="Q120">
        <f t="shared" si="3"/>
        <v>429.47599980980158</v>
      </c>
      <c r="R120">
        <f t="shared" si="4"/>
        <v>0.10850223514604401</v>
      </c>
      <c r="S120">
        <f t="shared" si="5"/>
        <v>0.2604053643505056</v>
      </c>
    </row>
    <row r="121" spans="1:19" x14ac:dyDescent="0.2">
      <c r="A121">
        <v>57</v>
      </c>
      <c r="B121" t="s">
        <v>25</v>
      </c>
      <c r="C121">
        <v>-1</v>
      </c>
      <c r="D121">
        <v>3</v>
      </c>
      <c r="E121">
        <v>1004</v>
      </c>
      <c r="F121" t="b">
        <v>1</v>
      </c>
      <c r="G121">
        <v>29.207999999999998</v>
      </c>
      <c r="H121">
        <v>36</v>
      </c>
      <c r="I121">
        <v>6</v>
      </c>
      <c r="J121">
        <v>3.9</v>
      </c>
      <c r="K121" t="s">
        <v>702</v>
      </c>
      <c r="L121">
        <v>0</v>
      </c>
      <c r="N121" t="s">
        <v>703</v>
      </c>
      <c r="O121" t="s">
        <v>704</v>
      </c>
      <c r="P121" t="s">
        <v>20</v>
      </c>
      <c r="Q121">
        <f t="shared" si="3"/>
        <v>140.89699967298657</v>
      </c>
      <c r="R121">
        <f t="shared" si="4"/>
        <v>0.20542317173377159</v>
      </c>
      <c r="S121">
        <f t="shared" si="5"/>
        <v>1.2325390304026296</v>
      </c>
    </row>
    <row r="122" spans="1:19" x14ac:dyDescent="0.2">
      <c r="A122">
        <v>60</v>
      </c>
      <c r="B122" t="s">
        <v>25</v>
      </c>
      <c r="C122">
        <v>0</v>
      </c>
      <c r="D122">
        <v>3</v>
      </c>
      <c r="E122">
        <v>1004</v>
      </c>
      <c r="F122" t="b">
        <v>1</v>
      </c>
      <c r="G122">
        <v>43.015999999999998</v>
      </c>
      <c r="H122">
        <v>29</v>
      </c>
      <c r="I122">
        <v>2</v>
      </c>
      <c r="J122">
        <v>1.02</v>
      </c>
      <c r="K122" t="s">
        <v>711</v>
      </c>
      <c r="L122">
        <v>0</v>
      </c>
      <c r="N122" t="s">
        <v>712</v>
      </c>
      <c r="O122" t="s">
        <v>713</v>
      </c>
      <c r="P122" t="s">
        <v>20</v>
      </c>
      <c r="Q122">
        <f t="shared" si="3"/>
        <v>245.58499990962446</v>
      </c>
      <c r="R122">
        <f t="shared" si="4"/>
        <v>4.6494327692021574E-2</v>
      </c>
      <c r="S122">
        <f t="shared" si="5"/>
        <v>0.67416775153431285</v>
      </c>
    </row>
    <row r="123" spans="1:19" x14ac:dyDescent="0.2">
      <c r="A123">
        <v>63</v>
      </c>
      <c r="B123" t="s">
        <v>25</v>
      </c>
      <c r="C123">
        <v>2</v>
      </c>
      <c r="D123">
        <v>3</v>
      </c>
      <c r="E123">
        <v>1004</v>
      </c>
      <c r="F123" t="b">
        <v>1</v>
      </c>
      <c r="G123">
        <v>52.064</v>
      </c>
      <c r="H123">
        <v>31</v>
      </c>
      <c r="I123">
        <v>2</v>
      </c>
      <c r="J123">
        <v>1.02</v>
      </c>
      <c r="K123" t="s">
        <v>720</v>
      </c>
      <c r="L123">
        <v>0</v>
      </c>
      <c r="N123" t="s">
        <v>721</v>
      </c>
      <c r="O123" t="s">
        <v>722</v>
      </c>
      <c r="P123" t="s">
        <v>20</v>
      </c>
      <c r="Q123">
        <f t="shared" si="3"/>
        <v>244.49999963399023</v>
      </c>
      <c r="R123">
        <f t="shared" si="4"/>
        <v>3.8414259373079289E-2</v>
      </c>
      <c r="S123">
        <f t="shared" si="5"/>
        <v>0.59542102028272892</v>
      </c>
    </row>
    <row r="124" spans="1:19" x14ac:dyDescent="0.2">
      <c r="A124">
        <v>66</v>
      </c>
      <c r="B124" t="s">
        <v>25</v>
      </c>
      <c r="C124">
        <v>5</v>
      </c>
      <c r="D124">
        <v>3</v>
      </c>
      <c r="E124">
        <v>1004</v>
      </c>
      <c r="F124" t="b">
        <v>1</v>
      </c>
      <c r="G124">
        <v>43.74</v>
      </c>
      <c r="H124">
        <v>30</v>
      </c>
      <c r="I124">
        <v>4</v>
      </c>
      <c r="J124">
        <v>0.78</v>
      </c>
      <c r="K124" t="s">
        <v>729</v>
      </c>
      <c r="L124">
        <v>0</v>
      </c>
      <c r="N124" t="s">
        <v>730</v>
      </c>
      <c r="O124" t="s">
        <v>731</v>
      </c>
      <c r="P124" t="s">
        <v>20</v>
      </c>
      <c r="Q124">
        <f t="shared" si="3"/>
        <v>279.14600023068488</v>
      </c>
      <c r="R124">
        <f t="shared" si="4"/>
        <v>9.1449474165523542E-2</v>
      </c>
      <c r="S124">
        <f t="shared" si="5"/>
        <v>0.68587105624142664</v>
      </c>
    </row>
    <row r="125" spans="1:19" hidden="1" x14ac:dyDescent="0.2">
      <c r="A125">
        <v>69</v>
      </c>
      <c r="B125" t="s">
        <v>25</v>
      </c>
      <c r="C125">
        <v>10</v>
      </c>
      <c r="D125">
        <v>3</v>
      </c>
      <c r="E125">
        <v>1004</v>
      </c>
      <c r="F125" t="b">
        <v>1</v>
      </c>
      <c r="G125">
        <v>48.031999999999996</v>
      </c>
      <c r="H125">
        <v>31</v>
      </c>
      <c r="I125">
        <v>4</v>
      </c>
      <c r="J125">
        <v>1.5</v>
      </c>
      <c r="K125" t="s">
        <v>738</v>
      </c>
      <c r="L125">
        <v>0</v>
      </c>
      <c r="N125" t="s">
        <v>739</v>
      </c>
      <c r="O125" t="s">
        <v>740</v>
      </c>
      <c r="P125" t="s">
        <v>20</v>
      </c>
      <c r="Q125">
        <f t="shared" si="3"/>
        <v>195.82800013013184</v>
      </c>
      <c r="R125">
        <f t="shared" si="4"/>
        <v>8.3277814790139917E-2</v>
      </c>
      <c r="S125">
        <f t="shared" si="5"/>
        <v>0.64540306462358432</v>
      </c>
    </row>
    <row r="126" spans="1:19" hidden="1" x14ac:dyDescent="0.2">
      <c r="A126">
        <v>72</v>
      </c>
      <c r="B126" t="s">
        <v>25</v>
      </c>
      <c r="C126">
        <v>15</v>
      </c>
      <c r="D126">
        <v>3</v>
      </c>
      <c r="E126">
        <v>1004</v>
      </c>
      <c r="F126" t="b">
        <v>1</v>
      </c>
      <c r="G126">
        <v>45.252000000000002</v>
      </c>
      <c r="H126">
        <v>34</v>
      </c>
      <c r="I126">
        <v>2</v>
      </c>
      <c r="J126">
        <v>0.84</v>
      </c>
      <c r="K126" t="s">
        <v>747</v>
      </c>
      <c r="L126">
        <v>0</v>
      </c>
      <c r="N126" t="s">
        <v>748</v>
      </c>
      <c r="O126" t="s">
        <v>749</v>
      </c>
      <c r="P126" t="s">
        <v>20</v>
      </c>
      <c r="Q126">
        <f t="shared" si="3"/>
        <v>251.65900010615587</v>
      </c>
      <c r="R126">
        <f t="shared" si="4"/>
        <v>4.4196941571643243E-2</v>
      </c>
      <c r="S126">
        <f t="shared" si="5"/>
        <v>0.75134800671793511</v>
      </c>
    </row>
    <row r="127" spans="1:19" hidden="1" x14ac:dyDescent="0.2">
      <c r="A127">
        <v>75</v>
      </c>
      <c r="B127" t="s">
        <v>25</v>
      </c>
      <c r="C127">
        <v>20</v>
      </c>
      <c r="D127">
        <v>3</v>
      </c>
      <c r="E127">
        <v>1004</v>
      </c>
      <c r="F127" t="b">
        <v>1</v>
      </c>
      <c r="G127">
        <v>41.131999999999998</v>
      </c>
      <c r="H127">
        <v>30</v>
      </c>
      <c r="I127">
        <v>2</v>
      </c>
      <c r="J127">
        <v>0.42</v>
      </c>
      <c r="K127" t="s">
        <v>756</v>
      </c>
      <c r="L127">
        <v>0</v>
      </c>
      <c r="N127" t="s">
        <v>757</v>
      </c>
      <c r="O127" t="s">
        <v>758</v>
      </c>
      <c r="P127" t="s">
        <v>20</v>
      </c>
      <c r="Q127">
        <f t="shared" si="3"/>
        <v>184.92600044701248</v>
      </c>
      <c r="R127">
        <f t="shared" si="4"/>
        <v>4.8623942429252165E-2</v>
      </c>
      <c r="S127">
        <f t="shared" si="5"/>
        <v>0.72935913643878247</v>
      </c>
    </row>
    <row r="128" spans="1:19" hidden="1" x14ac:dyDescent="0.2">
      <c r="A128">
        <v>78</v>
      </c>
      <c r="B128" t="s">
        <v>25</v>
      </c>
      <c r="C128">
        <v>50</v>
      </c>
      <c r="D128">
        <v>3</v>
      </c>
      <c r="E128">
        <v>1004</v>
      </c>
      <c r="F128" t="b">
        <v>1</v>
      </c>
      <c r="G128">
        <v>42.287999999999997</v>
      </c>
      <c r="H128">
        <v>30</v>
      </c>
      <c r="I128">
        <v>5</v>
      </c>
      <c r="J128">
        <v>1.5</v>
      </c>
      <c r="K128" t="s">
        <v>765</v>
      </c>
      <c r="L128">
        <v>0</v>
      </c>
      <c r="N128" t="s">
        <v>766</v>
      </c>
      <c r="O128" t="s">
        <v>767</v>
      </c>
      <c r="P128" t="s">
        <v>20</v>
      </c>
      <c r="Q128">
        <f t="shared" si="3"/>
        <v>192.53899978939444</v>
      </c>
      <c r="R128">
        <f t="shared" si="4"/>
        <v>0.11823685206205072</v>
      </c>
      <c r="S128">
        <f t="shared" si="5"/>
        <v>0.70942111237230421</v>
      </c>
    </row>
    <row r="129" spans="1:19" hidden="1" x14ac:dyDescent="0.2">
      <c r="A129">
        <v>81</v>
      </c>
      <c r="B129" t="s">
        <v>25</v>
      </c>
      <c r="C129">
        <v>70</v>
      </c>
      <c r="D129">
        <v>3</v>
      </c>
      <c r="E129">
        <v>1004</v>
      </c>
      <c r="F129" t="b">
        <v>1</v>
      </c>
      <c r="G129">
        <v>32.555999999999997</v>
      </c>
      <c r="H129">
        <v>31</v>
      </c>
      <c r="I129">
        <v>5</v>
      </c>
      <c r="J129">
        <v>0.42</v>
      </c>
      <c r="K129" t="s">
        <v>774</v>
      </c>
      <c r="L129">
        <v>0</v>
      </c>
      <c r="N129" t="s">
        <v>775</v>
      </c>
      <c r="O129" t="s">
        <v>776</v>
      </c>
      <c r="P129" t="s">
        <v>20</v>
      </c>
      <c r="Q129">
        <f t="shared" si="3"/>
        <v>150.29400035273284</v>
      </c>
      <c r="R129">
        <f t="shared" si="4"/>
        <v>0.1535815210713847</v>
      </c>
      <c r="S129">
        <f t="shared" si="5"/>
        <v>0.95220543064258512</v>
      </c>
    </row>
    <row r="130" spans="1:19" x14ac:dyDescent="0.2">
      <c r="A130">
        <v>55</v>
      </c>
      <c r="B130" t="s">
        <v>16</v>
      </c>
      <c r="C130">
        <v>-1</v>
      </c>
      <c r="D130">
        <v>3</v>
      </c>
      <c r="E130">
        <v>1004</v>
      </c>
      <c r="F130" t="b">
        <v>1</v>
      </c>
      <c r="G130">
        <v>54.584000000000003</v>
      </c>
      <c r="H130">
        <v>23</v>
      </c>
      <c r="I130">
        <v>7</v>
      </c>
      <c r="J130">
        <v>8.82</v>
      </c>
      <c r="K130" t="s">
        <v>696</v>
      </c>
      <c r="L130">
        <v>0</v>
      </c>
      <c r="N130" t="s">
        <v>697</v>
      </c>
      <c r="O130" t="s">
        <v>698</v>
      </c>
      <c r="P130" t="s">
        <v>20</v>
      </c>
      <c r="Q130">
        <f t="shared" ref="Q130:Q193" si="6">(VALUE(LEFT(SUBSTITUTE(O130,"T"," "),23)) - VALUE(LEFT(SUBSTITUTE(N130,"T"," "),23))) * 86400</f>
        <v>170.70599987637252</v>
      </c>
      <c r="R130">
        <f t="shared" ref="R130:R193" si="7">I130/G130</f>
        <v>0.12824270848600322</v>
      </c>
      <c r="S130">
        <f t="shared" ref="S130:S193" si="8">H130/G130</f>
        <v>0.4213688993111534</v>
      </c>
    </row>
    <row r="131" spans="1:19" x14ac:dyDescent="0.2">
      <c r="A131">
        <v>58</v>
      </c>
      <c r="B131" t="s">
        <v>16</v>
      </c>
      <c r="C131">
        <v>0</v>
      </c>
      <c r="D131">
        <v>3</v>
      </c>
      <c r="E131">
        <v>1004</v>
      </c>
      <c r="F131" t="b">
        <v>1</v>
      </c>
      <c r="G131">
        <v>66.072000000000003</v>
      </c>
      <c r="H131">
        <v>29</v>
      </c>
      <c r="I131">
        <v>1</v>
      </c>
      <c r="J131">
        <v>0.06</v>
      </c>
      <c r="K131" t="s">
        <v>705</v>
      </c>
      <c r="L131">
        <v>0</v>
      </c>
      <c r="N131" t="s">
        <v>706</v>
      </c>
      <c r="O131" t="s">
        <v>707</v>
      </c>
      <c r="P131" t="s">
        <v>20</v>
      </c>
      <c r="Q131">
        <f t="shared" si="6"/>
        <v>290.24199969135225</v>
      </c>
      <c r="R131">
        <f t="shared" si="7"/>
        <v>1.5135004237801186E-2</v>
      </c>
      <c r="S131">
        <f t="shared" si="8"/>
        <v>0.43891512289623441</v>
      </c>
    </row>
    <row r="132" spans="1:19" x14ac:dyDescent="0.2">
      <c r="A132">
        <v>61</v>
      </c>
      <c r="B132" t="s">
        <v>16</v>
      </c>
      <c r="C132">
        <v>2</v>
      </c>
      <c r="D132">
        <v>3</v>
      </c>
      <c r="E132">
        <v>1004</v>
      </c>
      <c r="F132" t="b">
        <v>1</v>
      </c>
      <c r="G132">
        <v>85.772000000000006</v>
      </c>
      <c r="H132">
        <v>25</v>
      </c>
      <c r="I132">
        <v>0</v>
      </c>
      <c r="J132">
        <v>0</v>
      </c>
      <c r="K132" t="s">
        <v>714</v>
      </c>
      <c r="L132">
        <v>0</v>
      </c>
      <c r="N132" t="s">
        <v>715</v>
      </c>
      <c r="O132" t="s">
        <v>716</v>
      </c>
      <c r="P132" t="s">
        <v>20</v>
      </c>
      <c r="Q132">
        <f t="shared" si="6"/>
        <v>375.04400024190545</v>
      </c>
      <c r="R132">
        <f t="shared" si="7"/>
        <v>0</v>
      </c>
      <c r="S132">
        <f t="shared" si="8"/>
        <v>0.29147040992398449</v>
      </c>
    </row>
    <row r="133" spans="1:19" x14ac:dyDescent="0.2">
      <c r="A133">
        <v>64</v>
      </c>
      <c r="B133" t="s">
        <v>16</v>
      </c>
      <c r="C133">
        <v>5</v>
      </c>
      <c r="D133">
        <v>3</v>
      </c>
      <c r="E133">
        <v>1004</v>
      </c>
      <c r="F133" t="b">
        <v>1</v>
      </c>
      <c r="G133">
        <v>57.96</v>
      </c>
      <c r="H133">
        <v>24</v>
      </c>
      <c r="I133">
        <v>1</v>
      </c>
      <c r="J133">
        <v>0.48</v>
      </c>
      <c r="K133" t="s">
        <v>723</v>
      </c>
      <c r="L133">
        <v>0</v>
      </c>
      <c r="N133" t="s">
        <v>724</v>
      </c>
      <c r="O133" t="s">
        <v>725</v>
      </c>
      <c r="P133" t="s">
        <v>20</v>
      </c>
      <c r="Q133">
        <f t="shared" si="6"/>
        <v>335.84899997804314</v>
      </c>
      <c r="R133">
        <f t="shared" si="7"/>
        <v>1.725327812284334E-2</v>
      </c>
      <c r="S133">
        <f t="shared" si="8"/>
        <v>0.41407867494824013</v>
      </c>
    </row>
    <row r="134" spans="1:19" hidden="1" x14ac:dyDescent="0.2">
      <c r="A134">
        <v>67</v>
      </c>
      <c r="B134" t="s">
        <v>16</v>
      </c>
      <c r="C134">
        <v>10</v>
      </c>
      <c r="D134">
        <v>3</v>
      </c>
      <c r="E134">
        <v>1004</v>
      </c>
      <c r="F134" t="b">
        <v>1</v>
      </c>
      <c r="G134">
        <v>61.351999999999997</v>
      </c>
      <c r="H134">
        <v>22</v>
      </c>
      <c r="I134">
        <v>8</v>
      </c>
      <c r="J134">
        <v>0.66</v>
      </c>
      <c r="K134" t="s">
        <v>732</v>
      </c>
      <c r="L134">
        <v>0</v>
      </c>
      <c r="N134" t="s">
        <v>733</v>
      </c>
      <c r="O134" t="s">
        <v>734</v>
      </c>
      <c r="P134" t="s">
        <v>20</v>
      </c>
      <c r="Q134">
        <f t="shared" si="6"/>
        <v>293.13999996520579</v>
      </c>
      <c r="R134">
        <f t="shared" si="7"/>
        <v>0.13039509714434738</v>
      </c>
      <c r="S134">
        <f t="shared" si="8"/>
        <v>0.35858651714695527</v>
      </c>
    </row>
    <row r="135" spans="1:19" hidden="1" x14ac:dyDescent="0.2">
      <c r="A135">
        <v>70</v>
      </c>
      <c r="B135" t="s">
        <v>16</v>
      </c>
      <c r="C135">
        <v>15</v>
      </c>
      <c r="D135">
        <v>3</v>
      </c>
      <c r="E135">
        <v>1004</v>
      </c>
      <c r="F135" t="b">
        <v>1</v>
      </c>
      <c r="G135">
        <v>64.724000000000004</v>
      </c>
      <c r="H135">
        <v>23</v>
      </c>
      <c r="I135">
        <v>5</v>
      </c>
      <c r="J135">
        <v>1.8</v>
      </c>
      <c r="K135" t="s">
        <v>741</v>
      </c>
      <c r="L135">
        <v>0</v>
      </c>
      <c r="N135" t="s">
        <v>742</v>
      </c>
      <c r="O135" t="s">
        <v>743</v>
      </c>
      <c r="P135" t="s">
        <v>20</v>
      </c>
      <c r="Q135">
        <f t="shared" si="6"/>
        <v>218.11800005380064</v>
      </c>
      <c r="R135">
        <f t="shared" si="7"/>
        <v>7.7251096965576901E-2</v>
      </c>
      <c r="S135">
        <f t="shared" si="8"/>
        <v>0.35535504604165374</v>
      </c>
    </row>
    <row r="136" spans="1:19" hidden="1" x14ac:dyDescent="0.2">
      <c r="A136">
        <v>73</v>
      </c>
      <c r="B136" t="s">
        <v>16</v>
      </c>
      <c r="C136">
        <v>20</v>
      </c>
      <c r="D136">
        <v>3</v>
      </c>
      <c r="E136">
        <v>1004</v>
      </c>
      <c r="F136" t="b">
        <v>1</v>
      </c>
      <c r="G136">
        <v>83.4</v>
      </c>
      <c r="H136">
        <v>26</v>
      </c>
      <c r="I136">
        <v>4</v>
      </c>
      <c r="J136">
        <v>0.36</v>
      </c>
      <c r="K136" t="s">
        <v>750</v>
      </c>
      <c r="L136">
        <v>0</v>
      </c>
      <c r="N136" t="s">
        <v>751</v>
      </c>
      <c r="O136" t="s">
        <v>752</v>
      </c>
      <c r="P136" t="s">
        <v>20</v>
      </c>
      <c r="Q136">
        <f t="shared" si="6"/>
        <v>355.90899980161339</v>
      </c>
      <c r="R136">
        <f t="shared" si="7"/>
        <v>4.7961630695443645E-2</v>
      </c>
      <c r="S136">
        <f t="shared" si="8"/>
        <v>0.3117505995203837</v>
      </c>
    </row>
    <row r="137" spans="1:19" hidden="1" x14ac:dyDescent="0.2">
      <c r="A137">
        <v>76</v>
      </c>
      <c r="B137" t="s">
        <v>16</v>
      </c>
      <c r="C137">
        <v>50</v>
      </c>
      <c r="D137">
        <v>3</v>
      </c>
      <c r="E137">
        <v>1004</v>
      </c>
      <c r="F137" t="b">
        <v>1</v>
      </c>
      <c r="G137">
        <v>102.32</v>
      </c>
      <c r="H137">
        <v>27</v>
      </c>
      <c r="I137">
        <v>14</v>
      </c>
      <c r="J137">
        <v>4.32</v>
      </c>
      <c r="K137" t="s">
        <v>759</v>
      </c>
      <c r="L137">
        <v>0</v>
      </c>
      <c r="N137" t="s">
        <v>760</v>
      </c>
      <c r="O137" t="s">
        <v>761</v>
      </c>
      <c r="P137" t="s">
        <v>20</v>
      </c>
      <c r="Q137">
        <f t="shared" si="6"/>
        <v>431.59000023733824</v>
      </c>
      <c r="R137">
        <f t="shared" si="7"/>
        <v>0.13682564503518374</v>
      </c>
      <c r="S137">
        <f t="shared" si="8"/>
        <v>0.2638780297107115</v>
      </c>
    </row>
    <row r="138" spans="1:19" hidden="1" x14ac:dyDescent="0.2">
      <c r="A138">
        <v>79</v>
      </c>
      <c r="B138" t="s">
        <v>16</v>
      </c>
      <c r="C138">
        <v>70</v>
      </c>
      <c r="D138">
        <v>3</v>
      </c>
      <c r="E138">
        <v>1004</v>
      </c>
      <c r="F138" t="b">
        <v>1</v>
      </c>
      <c r="G138">
        <v>63.728000000000002</v>
      </c>
      <c r="H138">
        <v>26</v>
      </c>
      <c r="I138">
        <v>6</v>
      </c>
      <c r="J138">
        <v>1.38</v>
      </c>
      <c r="K138" t="s">
        <v>768</v>
      </c>
      <c r="L138">
        <v>0</v>
      </c>
      <c r="N138" t="s">
        <v>769</v>
      </c>
      <c r="O138" t="s">
        <v>770</v>
      </c>
      <c r="P138" t="s">
        <v>20</v>
      </c>
      <c r="Q138">
        <f t="shared" si="6"/>
        <v>286.4240002585575</v>
      </c>
      <c r="R138">
        <f t="shared" si="7"/>
        <v>9.4150138086869187E-2</v>
      </c>
      <c r="S138">
        <f t="shared" si="8"/>
        <v>0.40798393170976649</v>
      </c>
    </row>
    <row r="139" spans="1:19" x14ac:dyDescent="0.2">
      <c r="A139">
        <v>83</v>
      </c>
      <c r="B139" t="s">
        <v>21</v>
      </c>
      <c r="C139">
        <v>-1</v>
      </c>
      <c r="D139">
        <v>4</v>
      </c>
      <c r="E139">
        <v>1005</v>
      </c>
      <c r="F139" t="b">
        <v>1</v>
      </c>
      <c r="G139">
        <v>54.432000000000002</v>
      </c>
      <c r="H139">
        <v>25</v>
      </c>
      <c r="I139">
        <v>5</v>
      </c>
      <c r="J139">
        <v>5.94</v>
      </c>
      <c r="K139" t="s">
        <v>780</v>
      </c>
      <c r="L139">
        <v>0</v>
      </c>
      <c r="N139" t="s">
        <v>781</v>
      </c>
      <c r="O139" t="s">
        <v>782</v>
      </c>
      <c r="P139" t="s">
        <v>20</v>
      </c>
      <c r="Q139">
        <f t="shared" si="6"/>
        <v>249.55900018103421</v>
      </c>
      <c r="R139">
        <f t="shared" si="7"/>
        <v>9.1857730746619626E-2</v>
      </c>
      <c r="S139">
        <f t="shared" si="8"/>
        <v>0.45928865373309818</v>
      </c>
    </row>
    <row r="140" spans="1:19" x14ac:dyDescent="0.2">
      <c r="A140">
        <v>86</v>
      </c>
      <c r="B140" t="s">
        <v>21</v>
      </c>
      <c r="C140">
        <v>0</v>
      </c>
      <c r="D140">
        <v>4</v>
      </c>
      <c r="E140">
        <v>1005</v>
      </c>
      <c r="F140" t="b">
        <v>1</v>
      </c>
      <c r="G140">
        <v>68.744</v>
      </c>
      <c r="H140">
        <v>25</v>
      </c>
      <c r="I140">
        <v>1</v>
      </c>
      <c r="J140">
        <v>0.24</v>
      </c>
      <c r="K140" t="s">
        <v>789</v>
      </c>
      <c r="L140">
        <v>0</v>
      </c>
      <c r="N140" t="s">
        <v>790</v>
      </c>
      <c r="O140" t="s">
        <v>791</v>
      </c>
      <c r="P140" t="s">
        <v>20</v>
      </c>
      <c r="Q140">
        <f t="shared" si="6"/>
        <v>325.01100052613765</v>
      </c>
      <c r="R140">
        <f t="shared" si="7"/>
        <v>1.4546724077737693E-2</v>
      </c>
      <c r="S140">
        <f t="shared" si="8"/>
        <v>0.36366810194344235</v>
      </c>
    </row>
    <row r="141" spans="1:19" x14ac:dyDescent="0.2">
      <c r="A141">
        <v>89</v>
      </c>
      <c r="B141" t="s">
        <v>21</v>
      </c>
      <c r="C141">
        <v>2</v>
      </c>
      <c r="D141">
        <v>4</v>
      </c>
      <c r="E141">
        <v>1005</v>
      </c>
      <c r="F141" t="b">
        <v>1</v>
      </c>
      <c r="G141">
        <v>99.78</v>
      </c>
      <c r="H141">
        <v>28</v>
      </c>
      <c r="I141">
        <v>1</v>
      </c>
      <c r="J141">
        <v>0.06</v>
      </c>
      <c r="K141" t="s">
        <v>798</v>
      </c>
      <c r="L141">
        <v>0</v>
      </c>
      <c r="N141" t="s">
        <v>799</v>
      </c>
      <c r="O141" t="s">
        <v>800</v>
      </c>
      <c r="P141" t="s">
        <v>20</v>
      </c>
      <c r="Q141">
        <f t="shared" si="6"/>
        <v>412.24000020883977</v>
      </c>
      <c r="R141">
        <f t="shared" si="7"/>
        <v>1.0022048506714773E-2</v>
      </c>
      <c r="S141">
        <f t="shared" si="8"/>
        <v>0.28061735818801364</v>
      </c>
    </row>
    <row r="142" spans="1:19" x14ac:dyDescent="0.2">
      <c r="A142">
        <v>92</v>
      </c>
      <c r="B142" t="s">
        <v>21</v>
      </c>
      <c r="C142">
        <v>5</v>
      </c>
      <c r="D142">
        <v>4</v>
      </c>
      <c r="E142">
        <v>1005</v>
      </c>
      <c r="F142" t="b">
        <v>1</v>
      </c>
      <c r="G142">
        <v>94.28</v>
      </c>
      <c r="H142">
        <v>27</v>
      </c>
      <c r="I142">
        <v>2</v>
      </c>
      <c r="J142">
        <v>0.18</v>
      </c>
      <c r="K142" t="s">
        <v>807</v>
      </c>
      <c r="L142">
        <v>0</v>
      </c>
      <c r="N142" t="s">
        <v>808</v>
      </c>
      <c r="O142" t="s">
        <v>809</v>
      </c>
      <c r="P142" t="s">
        <v>20</v>
      </c>
      <c r="Q142">
        <f t="shared" si="6"/>
        <v>400.67299960646778</v>
      </c>
      <c r="R142">
        <f t="shared" si="7"/>
        <v>2.1213406873143825E-2</v>
      </c>
      <c r="S142">
        <f t="shared" si="8"/>
        <v>0.28638099278744167</v>
      </c>
    </row>
    <row r="143" spans="1:19" hidden="1" x14ac:dyDescent="0.2">
      <c r="A143">
        <v>95</v>
      </c>
      <c r="B143" t="s">
        <v>21</v>
      </c>
      <c r="C143">
        <v>10</v>
      </c>
      <c r="D143">
        <v>4</v>
      </c>
      <c r="E143">
        <v>1005</v>
      </c>
      <c r="F143" t="b">
        <v>1</v>
      </c>
      <c r="G143">
        <v>97.524000000000001</v>
      </c>
      <c r="H143">
        <v>27</v>
      </c>
      <c r="I143">
        <v>10</v>
      </c>
      <c r="J143">
        <v>6.06</v>
      </c>
      <c r="K143" t="s">
        <v>816</v>
      </c>
      <c r="L143">
        <v>0</v>
      </c>
      <c r="N143" t="s">
        <v>817</v>
      </c>
      <c r="O143" t="s">
        <v>818</v>
      </c>
      <c r="P143" t="s">
        <v>20</v>
      </c>
      <c r="Q143">
        <f t="shared" si="6"/>
        <v>519.05399977695197</v>
      </c>
      <c r="R143">
        <f t="shared" si="7"/>
        <v>0.10253886222878471</v>
      </c>
      <c r="S143">
        <f t="shared" si="8"/>
        <v>0.27685492801771872</v>
      </c>
    </row>
    <row r="144" spans="1:19" hidden="1" x14ac:dyDescent="0.2">
      <c r="A144">
        <v>98</v>
      </c>
      <c r="B144" t="s">
        <v>21</v>
      </c>
      <c r="C144">
        <v>15</v>
      </c>
      <c r="D144">
        <v>4</v>
      </c>
      <c r="E144">
        <v>1005</v>
      </c>
      <c r="F144" t="b">
        <v>1</v>
      </c>
      <c r="G144">
        <v>64.260000000000005</v>
      </c>
      <c r="H144">
        <v>25</v>
      </c>
      <c r="I144">
        <v>7</v>
      </c>
      <c r="J144">
        <v>2.7</v>
      </c>
      <c r="K144" t="s">
        <v>825</v>
      </c>
      <c r="L144">
        <v>0</v>
      </c>
      <c r="N144" t="s">
        <v>826</v>
      </c>
      <c r="O144" t="s">
        <v>827</v>
      </c>
      <c r="P144" t="s">
        <v>20</v>
      </c>
      <c r="Q144">
        <f t="shared" si="6"/>
        <v>322.34999982174486</v>
      </c>
      <c r="R144">
        <f t="shared" si="7"/>
        <v>0.10893246187363834</v>
      </c>
      <c r="S144">
        <f t="shared" si="8"/>
        <v>0.38904450669156548</v>
      </c>
    </row>
    <row r="145" spans="1:19" hidden="1" x14ac:dyDescent="0.2">
      <c r="A145">
        <v>101</v>
      </c>
      <c r="B145" t="s">
        <v>21</v>
      </c>
      <c r="C145">
        <v>20</v>
      </c>
      <c r="D145">
        <v>4</v>
      </c>
      <c r="E145">
        <v>1005</v>
      </c>
      <c r="F145" t="b">
        <v>1</v>
      </c>
      <c r="G145">
        <v>91.591999999999999</v>
      </c>
      <c r="H145">
        <v>23</v>
      </c>
      <c r="I145">
        <v>10</v>
      </c>
      <c r="J145">
        <v>1.8</v>
      </c>
      <c r="K145" t="s">
        <v>834</v>
      </c>
      <c r="L145">
        <v>0</v>
      </c>
      <c r="N145" t="s">
        <v>835</v>
      </c>
      <c r="O145" t="s">
        <v>836</v>
      </c>
      <c r="P145" t="s">
        <v>20</v>
      </c>
      <c r="Q145">
        <f t="shared" si="6"/>
        <v>406.15900007542223</v>
      </c>
      <c r="R145">
        <f t="shared" si="7"/>
        <v>0.10917984103415146</v>
      </c>
      <c r="S145">
        <f t="shared" si="8"/>
        <v>0.25111363437854833</v>
      </c>
    </row>
    <row r="146" spans="1:19" hidden="1" x14ac:dyDescent="0.2">
      <c r="A146">
        <v>104</v>
      </c>
      <c r="B146" t="s">
        <v>21</v>
      </c>
      <c r="C146">
        <v>50</v>
      </c>
      <c r="D146">
        <v>4</v>
      </c>
      <c r="E146">
        <v>1005</v>
      </c>
      <c r="F146" t="b">
        <v>1</v>
      </c>
      <c r="G146">
        <v>65.256</v>
      </c>
      <c r="H146">
        <v>27</v>
      </c>
      <c r="I146">
        <v>5</v>
      </c>
      <c r="J146">
        <v>1.44</v>
      </c>
      <c r="K146" t="s">
        <v>843</v>
      </c>
      <c r="L146">
        <v>0</v>
      </c>
      <c r="N146" t="s">
        <v>844</v>
      </c>
      <c r="O146" t="s">
        <v>845</v>
      </c>
      <c r="P146" t="s">
        <v>20</v>
      </c>
      <c r="Q146">
        <f t="shared" si="6"/>
        <v>367.81999999657273</v>
      </c>
      <c r="R146">
        <f t="shared" si="7"/>
        <v>7.6621306853009691E-2</v>
      </c>
      <c r="S146">
        <f t="shared" si="8"/>
        <v>0.41375505700625231</v>
      </c>
    </row>
    <row r="147" spans="1:19" hidden="1" x14ac:dyDescent="0.2">
      <c r="A147">
        <v>107</v>
      </c>
      <c r="B147" t="s">
        <v>21</v>
      </c>
      <c r="C147">
        <v>70</v>
      </c>
      <c r="D147">
        <v>4</v>
      </c>
      <c r="E147">
        <v>1005</v>
      </c>
      <c r="F147" t="b">
        <v>1</v>
      </c>
      <c r="G147">
        <v>72.656000000000006</v>
      </c>
      <c r="H147">
        <v>27</v>
      </c>
      <c r="I147">
        <v>8</v>
      </c>
      <c r="J147">
        <v>1.86</v>
      </c>
      <c r="K147" t="s">
        <v>852</v>
      </c>
      <c r="L147">
        <v>0</v>
      </c>
      <c r="N147" t="s">
        <v>853</v>
      </c>
      <c r="O147" t="s">
        <v>854</v>
      </c>
      <c r="P147" t="s">
        <v>20</v>
      </c>
      <c r="Q147">
        <f t="shared" si="6"/>
        <v>404.72399981226772</v>
      </c>
      <c r="R147">
        <f t="shared" si="7"/>
        <v>0.11010790574763267</v>
      </c>
      <c r="S147">
        <f t="shared" si="8"/>
        <v>0.37161418189826029</v>
      </c>
    </row>
    <row r="148" spans="1:19" x14ac:dyDescent="0.2">
      <c r="A148">
        <v>84</v>
      </c>
      <c r="B148" t="s">
        <v>25</v>
      </c>
      <c r="C148">
        <v>-1</v>
      </c>
      <c r="D148">
        <v>4</v>
      </c>
      <c r="E148">
        <v>1005</v>
      </c>
      <c r="F148" t="b">
        <v>1</v>
      </c>
      <c r="G148">
        <v>39.783999999999999</v>
      </c>
      <c r="H148">
        <v>32</v>
      </c>
      <c r="I148">
        <v>5</v>
      </c>
      <c r="J148">
        <v>3.54</v>
      </c>
      <c r="K148" t="s">
        <v>783</v>
      </c>
      <c r="L148">
        <v>0</v>
      </c>
      <c r="N148" t="s">
        <v>784</v>
      </c>
      <c r="O148" t="s">
        <v>785</v>
      </c>
      <c r="P148" t="s">
        <v>20</v>
      </c>
      <c r="Q148">
        <f t="shared" si="6"/>
        <v>142.97699995804578</v>
      </c>
      <c r="R148">
        <f t="shared" si="7"/>
        <v>0.12567866478986528</v>
      </c>
      <c r="S148">
        <f t="shared" si="8"/>
        <v>0.80434345465513779</v>
      </c>
    </row>
    <row r="149" spans="1:19" x14ac:dyDescent="0.2">
      <c r="A149">
        <v>87</v>
      </c>
      <c r="B149" t="s">
        <v>25</v>
      </c>
      <c r="C149">
        <v>0</v>
      </c>
      <c r="D149">
        <v>4</v>
      </c>
      <c r="E149">
        <v>1005</v>
      </c>
      <c r="F149" t="b">
        <v>1</v>
      </c>
      <c r="G149">
        <v>49.015999999999998</v>
      </c>
      <c r="H149">
        <v>25</v>
      </c>
      <c r="I149">
        <v>1</v>
      </c>
      <c r="J149">
        <v>0.12</v>
      </c>
      <c r="K149" t="s">
        <v>792</v>
      </c>
      <c r="L149">
        <v>0</v>
      </c>
      <c r="N149" t="s">
        <v>793</v>
      </c>
      <c r="O149" t="s">
        <v>794</v>
      </c>
      <c r="P149" t="s">
        <v>20</v>
      </c>
      <c r="Q149">
        <f t="shared" si="6"/>
        <v>179.95999942068011</v>
      </c>
      <c r="R149">
        <f t="shared" si="7"/>
        <v>2.0401501550514119E-2</v>
      </c>
      <c r="S149">
        <f t="shared" si="8"/>
        <v>0.51003753876285296</v>
      </c>
    </row>
    <row r="150" spans="1:19" x14ac:dyDescent="0.2">
      <c r="A150">
        <v>90</v>
      </c>
      <c r="B150" t="s">
        <v>25</v>
      </c>
      <c r="C150">
        <v>2</v>
      </c>
      <c r="D150">
        <v>4</v>
      </c>
      <c r="E150">
        <v>1005</v>
      </c>
      <c r="F150" t="b">
        <v>1</v>
      </c>
      <c r="G150">
        <v>48.216000000000001</v>
      </c>
      <c r="H150">
        <v>24</v>
      </c>
      <c r="I150">
        <v>2</v>
      </c>
      <c r="J150">
        <v>0.42</v>
      </c>
      <c r="K150" t="s">
        <v>801</v>
      </c>
      <c r="L150">
        <v>0</v>
      </c>
      <c r="N150" t="s">
        <v>802</v>
      </c>
      <c r="O150" t="s">
        <v>803</v>
      </c>
      <c r="P150" t="s">
        <v>20</v>
      </c>
      <c r="Q150">
        <f t="shared" si="6"/>
        <v>193.59100009314716</v>
      </c>
      <c r="R150">
        <f t="shared" si="7"/>
        <v>4.1480006636801063E-2</v>
      </c>
      <c r="S150">
        <f t="shared" si="8"/>
        <v>0.49776007964161273</v>
      </c>
    </row>
    <row r="151" spans="1:19" x14ac:dyDescent="0.2">
      <c r="A151">
        <v>93</v>
      </c>
      <c r="B151" t="s">
        <v>25</v>
      </c>
      <c r="C151">
        <v>5</v>
      </c>
      <c r="D151">
        <v>4</v>
      </c>
      <c r="E151">
        <v>1005</v>
      </c>
      <c r="F151" t="b">
        <v>1</v>
      </c>
      <c r="G151">
        <v>45.975999999999999</v>
      </c>
      <c r="H151">
        <v>27</v>
      </c>
      <c r="I151">
        <v>1</v>
      </c>
      <c r="J151">
        <v>0.72</v>
      </c>
      <c r="K151" t="s">
        <v>810</v>
      </c>
      <c r="L151">
        <v>0</v>
      </c>
      <c r="N151" t="s">
        <v>811</v>
      </c>
      <c r="O151" t="s">
        <v>812</v>
      </c>
      <c r="P151" t="s">
        <v>20</v>
      </c>
      <c r="Q151">
        <f t="shared" si="6"/>
        <v>199.42300049588084</v>
      </c>
      <c r="R151">
        <f t="shared" si="7"/>
        <v>2.1750478510527232E-2</v>
      </c>
      <c r="S151">
        <f t="shared" si="8"/>
        <v>0.58726291978423528</v>
      </c>
    </row>
    <row r="152" spans="1:19" hidden="1" x14ac:dyDescent="0.2">
      <c r="A152">
        <v>96</v>
      </c>
      <c r="B152" t="s">
        <v>25</v>
      </c>
      <c r="C152">
        <v>10</v>
      </c>
      <c r="D152">
        <v>4</v>
      </c>
      <c r="E152">
        <v>1005</v>
      </c>
      <c r="F152" t="b">
        <v>1</v>
      </c>
      <c r="G152">
        <v>47.728000000000002</v>
      </c>
      <c r="H152">
        <v>28</v>
      </c>
      <c r="I152">
        <v>4</v>
      </c>
      <c r="J152">
        <v>0.6</v>
      </c>
      <c r="K152" t="s">
        <v>819</v>
      </c>
      <c r="L152">
        <v>0</v>
      </c>
      <c r="N152" t="s">
        <v>820</v>
      </c>
      <c r="O152" t="s">
        <v>821</v>
      </c>
      <c r="P152" t="s">
        <v>20</v>
      </c>
      <c r="Q152">
        <f t="shared" si="6"/>
        <v>220.18699971958995</v>
      </c>
      <c r="R152">
        <f t="shared" si="7"/>
        <v>8.3808246731478381E-2</v>
      </c>
      <c r="S152">
        <f t="shared" si="8"/>
        <v>0.58665772712034858</v>
      </c>
    </row>
    <row r="153" spans="1:19" hidden="1" x14ac:dyDescent="0.2">
      <c r="A153">
        <v>99</v>
      </c>
      <c r="B153" t="s">
        <v>25</v>
      </c>
      <c r="C153">
        <v>15</v>
      </c>
      <c r="D153">
        <v>4</v>
      </c>
      <c r="E153">
        <v>1005</v>
      </c>
      <c r="F153" t="b">
        <v>1</v>
      </c>
      <c r="G153">
        <v>46.6</v>
      </c>
      <c r="H153">
        <v>23</v>
      </c>
      <c r="I153">
        <v>2</v>
      </c>
      <c r="J153">
        <v>0.6</v>
      </c>
      <c r="K153" t="s">
        <v>828</v>
      </c>
      <c r="L153">
        <v>0</v>
      </c>
      <c r="N153" t="s">
        <v>829</v>
      </c>
      <c r="O153" t="s">
        <v>830</v>
      </c>
      <c r="P153" t="s">
        <v>20</v>
      </c>
      <c r="Q153">
        <f t="shared" si="6"/>
        <v>165.91799966990948</v>
      </c>
      <c r="R153">
        <f t="shared" si="7"/>
        <v>4.2918454935622317E-2</v>
      </c>
      <c r="S153">
        <f t="shared" si="8"/>
        <v>0.49356223175965663</v>
      </c>
    </row>
    <row r="154" spans="1:19" hidden="1" x14ac:dyDescent="0.2">
      <c r="A154">
        <v>102</v>
      </c>
      <c r="B154" t="s">
        <v>25</v>
      </c>
      <c r="C154">
        <v>20</v>
      </c>
      <c r="D154">
        <v>4</v>
      </c>
      <c r="E154">
        <v>1005</v>
      </c>
      <c r="F154" t="b">
        <v>1</v>
      </c>
      <c r="G154">
        <v>40.468000000000004</v>
      </c>
      <c r="H154">
        <v>25</v>
      </c>
      <c r="I154">
        <v>2</v>
      </c>
      <c r="J154">
        <v>0.24</v>
      </c>
      <c r="K154" t="s">
        <v>837</v>
      </c>
      <c r="L154">
        <v>0</v>
      </c>
      <c r="N154" t="s">
        <v>838</v>
      </c>
      <c r="O154" t="s">
        <v>839</v>
      </c>
      <c r="P154" t="s">
        <v>20</v>
      </c>
      <c r="Q154">
        <f t="shared" si="6"/>
        <v>235.14600000344217</v>
      </c>
      <c r="R154">
        <f t="shared" si="7"/>
        <v>4.9421765345458134E-2</v>
      </c>
      <c r="S154">
        <f t="shared" si="8"/>
        <v>0.61777206681822672</v>
      </c>
    </row>
    <row r="155" spans="1:19" hidden="1" x14ac:dyDescent="0.2">
      <c r="A155">
        <v>105</v>
      </c>
      <c r="B155" t="s">
        <v>25</v>
      </c>
      <c r="C155">
        <v>50</v>
      </c>
      <c r="D155">
        <v>4</v>
      </c>
      <c r="E155">
        <v>1005</v>
      </c>
      <c r="F155" t="b">
        <v>1</v>
      </c>
      <c r="G155">
        <v>56.008000000000003</v>
      </c>
      <c r="H155">
        <v>28</v>
      </c>
      <c r="I155">
        <v>1</v>
      </c>
      <c r="J155">
        <v>0.12</v>
      </c>
      <c r="K155" t="s">
        <v>846</v>
      </c>
      <c r="L155">
        <v>0</v>
      </c>
      <c r="N155" t="s">
        <v>847</v>
      </c>
      <c r="O155" t="s">
        <v>848</v>
      </c>
      <c r="P155" t="s">
        <v>20</v>
      </c>
      <c r="Q155">
        <f t="shared" si="6"/>
        <v>221.06399971526116</v>
      </c>
      <c r="R155">
        <f t="shared" si="7"/>
        <v>1.7854592201114124E-2</v>
      </c>
      <c r="S155">
        <f t="shared" si="8"/>
        <v>0.49992858163119552</v>
      </c>
    </row>
    <row r="156" spans="1:19" hidden="1" x14ac:dyDescent="0.2">
      <c r="A156">
        <v>108</v>
      </c>
      <c r="B156" t="s">
        <v>25</v>
      </c>
      <c r="C156">
        <v>70</v>
      </c>
      <c r="D156">
        <v>4</v>
      </c>
      <c r="E156">
        <v>1005</v>
      </c>
      <c r="F156" t="b">
        <v>1</v>
      </c>
      <c r="G156">
        <v>51.116</v>
      </c>
      <c r="H156">
        <v>31</v>
      </c>
      <c r="I156">
        <v>7</v>
      </c>
      <c r="J156">
        <v>0.66</v>
      </c>
      <c r="K156" t="s">
        <v>855</v>
      </c>
      <c r="L156">
        <v>0</v>
      </c>
      <c r="N156" t="s">
        <v>856</v>
      </c>
      <c r="O156" t="s">
        <v>857</v>
      </c>
      <c r="P156" t="s">
        <v>20</v>
      </c>
      <c r="Q156">
        <f t="shared" si="6"/>
        <v>280.08900017011911</v>
      </c>
      <c r="R156">
        <f t="shared" si="7"/>
        <v>0.13694342280303623</v>
      </c>
      <c r="S156">
        <f t="shared" si="8"/>
        <v>0.60646372955630334</v>
      </c>
    </row>
    <row r="157" spans="1:19" x14ac:dyDescent="0.2">
      <c r="A157">
        <v>82</v>
      </c>
      <c r="B157" t="s">
        <v>16</v>
      </c>
      <c r="C157">
        <v>-1</v>
      </c>
      <c r="D157">
        <v>4</v>
      </c>
      <c r="E157">
        <v>1005</v>
      </c>
      <c r="F157" t="b">
        <v>1</v>
      </c>
      <c r="G157">
        <v>68.08</v>
      </c>
      <c r="H157">
        <v>25</v>
      </c>
      <c r="I157">
        <v>9</v>
      </c>
      <c r="J157">
        <v>7.26</v>
      </c>
      <c r="K157" t="s">
        <v>777</v>
      </c>
      <c r="L157">
        <v>0</v>
      </c>
      <c r="N157" t="s">
        <v>778</v>
      </c>
      <c r="O157" t="s">
        <v>779</v>
      </c>
      <c r="P157" t="s">
        <v>20</v>
      </c>
      <c r="Q157">
        <f t="shared" si="6"/>
        <v>284.72999981604517</v>
      </c>
      <c r="R157">
        <f t="shared" si="7"/>
        <v>0.13219741480611047</v>
      </c>
      <c r="S157">
        <f t="shared" si="8"/>
        <v>0.36721504112808462</v>
      </c>
    </row>
    <row r="158" spans="1:19" x14ac:dyDescent="0.2">
      <c r="A158">
        <v>85</v>
      </c>
      <c r="B158" t="s">
        <v>16</v>
      </c>
      <c r="C158">
        <v>0</v>
      </c>
      <c r="D158">
        <v>4</v>
      </c>
      <c r="E158">
        <v>1005</v>
      </c>
      <c r="F158" t="b">
        <v>1</v>
      </c>
      <c r="G158">
        <v>56.624000000000002</v>
      </c>
      <c r="H158">
        <v>24</v>
      </c>
      <c r="I158">
        <v>2</v>
      </c>
      <c r="J158">
        <v>0.84</v>
      </c>
      <c r="K158" t="s">
        <v>786</v>
      </c>
      <c r="L158">
        <v>0</v>
      </c>
      <c r="N158" t="s">
        <v>787</v>
      </c>
      <c r="O158" t="s">
        <v>788</v>
      </c>
      <c r="P158" t="s">
        <v>20</v>
      </c>
      <c r="Q158">
        <f t="shared" si="6"/>
        <v>266.63299980573356</v>
      </c>
      <c r="R158">
        <f t="shared" si="7"/>
        <v>3.5320712065555239E-2</v>
      </c>
      <c r="S158">
        <f t="shared" si="8"/>
        <v>0.4238485447866629</v>
      </c>
    </row>
    <row r="159" spans="1:19" x14ac:dyDescent="0.2">
      <c r="A159">
        <v>88</v>
      </c>
      <c r="B159" t="s">
        <v>16</v>
      </c>
      <c r="C159">
        <v>2</v>
      </c>
      <c r="D159">
        <v>4</v>
      </c>
      <c r="E159">
        <v>1005</v>
      </c>
      <c r="F159" t="b">
        <v>1</v>
      </c>
      <c r="G159">
        <v>53.332000000000001</v>
      </c>
      <c r="H159">
        <v>27</v>
      </c>
      <c r="I159">
        <v>1</v>
      </c>
      <c r="J159">
        <v>0.36</v>
      </c>
      <c r="K159" t="s">
        <v>795</v>
      </c>
      <c r="L159">
        <v>0</v>
      </c>
      <c r="N159" t="s">
        <v>796</v>
      </c>
      <c r="O159" t="s">
        <v>797</v>
      </c>
      <c r="P159" t="s">
        <v>20</v>
      </c>
      <c r="Q159">
        <f t="shared" si="6"/>
        <v>223.52100019343197</v>
      </c>
      <c r="R159">
        <f t="shared" si="7"/>
        <v>1.8750468761719041E-2</v>
      </c>
      <c r="S159">
        <f t="shared" si="8"/>
        <v>0.50626265656641412</v>
      </c>
    </row>
    <row r="160" spans="1:19" x14ac:dyDescent="0.2">
      <c r="A160">
        <v>91</v>
      </c>
      <c r="B160" t="s">
        <v>16</v>
      </c>
      <c r="C160">
        <v>5</v>
      </c>
      <c r="D160">
        <v>4</v>
      </c>
      <c r="E160">
        <v>1005</v>
      </c>
      <c r="F160" t="b">
        <v>1</v>
      </c>
      <c r="G160">
        <v>60.5</v>
      </c>
      <c r="H160">
        <v>23</v>
      </c>
      <c r="I160">
        <v>2</v>
      </c>
      <c r="J160">
        <v>0.18</v>
      </c>
      <c r="K160" t="s">
        <v>804</v>
      </c>
      <c r="L160">
        <v>0</v>
      </c>
      <c r="N160" t="s">
        <v>805</v>
      </c>
      <c r="O160" t="s">
        <v>806</v>
      </c>
      <c r="P160" t="s">
        <v>20</v>
      </c>
      <c r="Q160">
        <f t="shared" si="6"/>
        <v>272.77100023347884</v>
      </c>
      <c r="R160">
        <f t="shared" si="7"/>
        <v>3.3057851239669422E-2</v>
      </c>
      <c r="S160">
        <f t="shared" si="8"/>
        <v>0.38016528925619836</v>
      </c>
    </row>
    <row r="161" spans="1:19" hidden="1" x14ac:dyDescent="0.2">
      <c r="A161">
        <v>94</v>
      </c>
      <c r="B161" t="s">
        <v>16</v>
      </c>
      <c r="C161">
        <v>10</v>
      </c>
      <c r="D161">
        <v>4</v>
      </c>
      <c r="E161">
        <v>1005</v>
      </c>
      <c r="F161" t="b">
        <v>1</v>
      </c>
      <c r="G161">
        <v>85.263999999999996</v>
      </c>
      <c r="H161">
        <v>25</v>
      </c>
      <c r="I161">
        <v>5</v>
      </c>
      <c r="J161">
        <v>1.02</v>
      </c>
      <c r="K161" t="s">
        <v>813</v>
      </c>
      <c r="L161">
        <v>0</v>
      </c>
      <c r="N161" t="s">
        <v>814</v>
      </c>
      <c r="O161" t="s">
        <v>815</v>
      </c>
      <c r="P161" t="s">
        <v>20</v>
      </c>
      <c r="Q161">
        <f t="shared" si="6"/>
        <v>298.36400037165731</v>
      </c>
      <c r="R161">
        <f t="shared" si="7"/>
        <v>5.8641396134359168E-2</v>
      </c>
      <c r="S161">
        <f t="shared" si="8"/>
        <v>0.29320698067179585</v>
      </c>
    </row>
    <row r="162" spans="1:19" hidden="1" x14ac:dyDescent="0.2">
      <c r="A162">
        <v>97</v>
      </c>
      <c r="B162" t="s">
        <v>16</v>
      </c>
      <c r="C162">
        <v>15</v>
      </c>
      <c r="D162">
        <v>4</v>
      </c>
      <c r="E162">
        <v>1005</v>
      </c>
      <c r="F162" t="b">
        <v>1</v>
      </c>
      <c r="G162">
        <v>84.744</v>
      </c>
      <c r="H162">
        <v>24</v>
      </c>
      <c r="I162">
        <v>12</v>
      </c>
      <c r="J162">
        <v>2.34</v>
      </c>
      <c r="K162" t="s">
        <v>822</v>
      </c>
      <c r="L162">
        <v>0</v>
      </c>
      <c r="N162" t="s">
        <v>823</v>
      </c>
      <c r="O162" t="s">
        <v>824</v>
      </c>
      <c r="P162" t="s">
        <v>20</v>
      </c>
      <c r="Q162">
        <f t="shared" si="6"/>
        <v>327.8929999563843</v>
      </c>
      <c r="R162">
        <f t="shared" si="7"/>
        <v>0.14160294534126311</v>
      </c>
      <c r="S162">
        <f t="shared" si="8"/>
        <v>0.28320589068252622</v>
      </c>
    </row>
    <row r="163" spans="1:19" hidden="1" x14ac:dyDescent="0.2">
      <c r="A163">
        <v>100</v>
      </c>
      <c r="B163" t="s">
        <v>16</v>
      </c>
      <c r="C163">
        <v>20</v>
      </c>
      <c r="D163">
        <v>4</v>
      </c>
      <c r="E163">
        <v>1005</v>
      </c>
      <c r="F163" t="b">
        <v>1</v>
      </c>
      <c r="G163">
        <v>77.412000000000006</v>
      </c>
      <c r="H163">
        <v>25</v>
      </c>
      <c r="I163">
        <v>1</v>
      </c>
      <c r="J163">
        <v>0.24</v>
      </c>
      <c r="K163" t="s">
        <v>831</v>
      </c>
      <c r="L163">
        <v>0</v>
      </c>
      <c r="N163" t="s">
        <v>832</v>
      </c>
      <c r="O163" t="s">
        <v>833</v>
      </c>
      <c r="P163" t="s">
        <v>20</v>
      </c>
      <c r="Q163">
        <f t="shared" si="6"/>
        <v>297.85299994982779</v>
      </c>
      <c r="R163">
        <f t="shared" si="7"/>
        <v>1.2917893866583992E-2</v>
      </c>
      <c r="S163">
        <f t="shared" si="8"/>
        <v>0.32294734666459979</v>
      </c>
    </row>
    <row r="164" spans="1:19" hidden="1" x14ac:dyDescent="0.2">
      <c r="A164">
        <v>103</v>
      </c>
      <c r="B164" t="s">
        <v>16</v>
      </c>
      <c r="C164">
        <v>50</v>
      </c>
      <c r="D164">
        <v>4</v>
      </c>
      <c r="E164">
        <v>1005</v>
      </c>
      <c r="F164" t="b">
        <v>1</v>
      </c>
      <c r="G164">
        <v>58.32</v>
      </c>
      <c r="H164">
        <v>25</v>
      </c>
      <c r="I164">
        <v>1</v>
      </c>
      <c r="J164">
        <v>0.06</v>
      </c>
      <c r="K164" t="s">
        <v>840</v>
      </c>
      <c r="L164">
        <v>0</v>
      </c>
      <c r="N164" t="s">
        <v>841</v>
      </c>
      <c r="O164" t="s">
        <v>842</v>
      </c>
      <c r="P164" t="s">
        <v>20</v>
      </c>
      <c r="Q164">
        <f t="shared" si="6"/>
        <v>264.40900010056794</v>
      </c>
      <c r="R164">
        <f t="shared" si="7"/>
        <v>1.7146776406035666E-2</v>
      </c>
      <c r="S164">
        <f t="shared" si="8"/>
        <v>0.42866941015089161</v>
      </c>
    </row>
    <row r="165" spans="1:19" hidden="1" x14ac:dyDescent="0.2">
      <c r="A165">
        <v>106</v>
      </c>
      <c r="B165" t="s">
        <v>16</v>
      </c>
      <c r="C165">
        <v>70</v>
      </c>
      <c r="D165">
        <v>4</v>
      </c>
      <c r="E165">
        <v>1005</v>
      </c>
      <c r="F165" t="b">
        <v>1</v>
      </c>
      <c r="G165">
        <v>79.384</v>
      </c>
      <c r="H165">
        <v>27</v>
      </c>
      <c r="I165">
        <v>4</v>
      </c>
      <c r="J165">
        <v>1.1399999999999999</v>
      </c>
      <c r="K165" t="s">
        <v>849</v>
      </c>
      <c r="L165">
        <v>0</v>
      </c>
      <c r="N165" t="s">
        <v>850</v>
      </c>
      <c r="O165" t="s">
        <v>851</v>
      </c>
      <c r="P165" t="s">
        <v>20</v>
      </c>
      <c r="Q165">
        <f t="shared" si="6"/>
        <v>342.43699985090643</v>
      </c>
      <c r="R165">
        <f t="shared" si="7"/>
        <v>5.0387987503779097E-2</v>
      </c>
      <c r="S165">
        <f t="shared" si="8"/>
        <v>0.34011891565050889</v>
      </c>
    </row>
    <row r="166" spans="1:19" x14ac:dyDescent="0.2">
      <c r="A166">
        <v>110</v>
      </c>
      <c r="B166" t="s">
        <v>21</v>
      </c>
      <c r="C166">
        <v>-1</v>
      </c>
      <c r="D166">
        <v>5</v>
      </c>
      <c r="E166">
        <v>1006</v>
      </c>
      <c r="F166" t="b">
        <v>1</v>
      </c>
      <c r="G166">
        <v>59.311999999999998</v>
      </c>
      <c r="H166">
        <v>28</v>
      </c>
      <c r="I166">
        <v>5</v>
      </c>
      <c r="J166">
        <v>4.62</v>
      </c>
      <c r="K166" t="s">
        <v>861</v>
      </c>
      <c r="L166">
        <v>0</v>
      </c>
      <c r="N166" t="s">
        <v>862</v>
      </c>
      <c r="O166" t="s">
        <v>863</v>
      </c>
      <c r="P166" t="s">
        <v>20</v>
      </c>
      <c r="Q166">
        <f t="shared" si="6"/>
        <v>314.86900036688894</v>
      </c>
      <c r="R166">
        <f t="shared" si="7"/>
        <v>8.4299973024008643E-2</v>
      </c>
      <c r="S166">
        <f t="shared" si="8"/>
        <v>0.47207984893444838</v>
      </c>
    </row>
    <row r="167" spans="1:19" x14ac:dyDescent="0.2">
      <c r="A167">
        <v>113</v>
      </c>
      <c r="B167" t="s">
        <v>21</v>
      </c>
      <c r="C167">
        <v>0</v>
      </c>
      <c r="D167">
        <v>5</v>
      </c>
      <c r="E167">
        <v>1006</v>
      </c>
      <c r="F167" t="b">
        <v>1</v>
      </c>
      <c r="G167">
        <v>47.764000000000003</v>
      </c>
      <c r="H167">
        <v>25</v>
      </c>
      <c r="I167">
        <v>3</v>
      </c>
      <c r="J167">
        <v>0.54</v>
      </c>
      <c r="K167" t="s">
        <v>870</v>
      </c>
      <c r="L167">
        <v>0</v>
      </c>
      <c r="N167" t="s">
        <v>871</v>
      </c>
      <c r="O167" t="s">
        <v>872</v>
      </c>
      <c r="P167" t="s">
        <v>20</v>
      </c>
      <c r="Q167">
        <f t="shared" si="6"/>
        <v>256.35299999266863</v>
      </c>
      <c r="R167">
        <f t="shared" si="7"/>
        <v>6.2808809982413533E-2</v>
      </c>
      <c r="S167">
        <f t="shared" si="8"/>
        <v>0.52340674985344604</v>
      </c>
    </row>
    <row r="168" spans="1:19" x14ac:dyDescent="0.2">
      <c r="A168">
        <v>116</v>
      </c>
      <c r="B168" t="s">
        <v>21</v>
      </c>
      <c r="C168">
        <v>2</v>
      </c>
      <c r="D168">
        <v>5</v>
      </c>
      <c r="E168">
        <v>1006</v>
      </c>
      <c r="F168" t="b">
        <v>1</v>
      </c>
      <c r="G168">
        <v>58.188000000000002</v>
      </c>
      <c r="H168">
        <v>25</v>
      </c>
      <c r="I168">
        <v>2</v>
      </c>
      <c r="J168">
        <v>1.68</v>
      </c>
      <c r="K168" t="s">
        <v>879</v>
      </c>
      <c r="L168">
        <v>0</v>
      </c>
      <c r="N168" t="s">
        <v>880</v>
      </c>
      <c r="O168" t="s">
        <v>881</v>
      </c>
      <c r="P168" t="s">
        <v>20</v>
      </c>
      <c r="Q168">
        <f t="shared" si="6"/>
        <v>286.6449996130541</v>
      </c>
      <c r="R168">
        <f t="shared" si="7"/>
        <v>3.4371348044270292E-2</v>
      </c>
      <c r="S168">
        <f t="shared" si="8"/>
        <v>0.42964185055337867</v>
      </c>
    </row>
    <row r="169" spans="1:19" x14ac:dyDescent="0.2">
      <c r="A169">
        <v>119</v>
      </c>
      <c r="B169" t="s">
        <v>21</v>
      </c>
      <c r="C169">
        <v>5</v>
      </c>
      <c r="D169">
        <v>5</v>
      </c>
      <c r="E169">
        <v>1006</v>
      </c>
      <c r="F169" t="b">
        <v>1</v>
      </c>
      <c r="G169">
        <v>47.344000000000001</v>
      </c>
      <c r="H169">
        <v>24</v>
      </c>
      <c r="I169">
        <v>1</v>
      </c>
      <c r="J169">
        <v>2.2799999999999998</v>
      </c>
      <c r="K169" t="s">
        <v>888</v>
      </c>
      <c r="L169">
        <v>0</v>
      </c>
      <c r="N169" t="s">
        <v>889</v>
      </c>
      <c r="O169" t="s">
        <v>890</v>
      </c>
      <c r="P169" t="s">
        <v>20</v>
      </c>
      <c r="Q169">
        <f t="shared" si="6"/>
        <v>308.7709998479113</v>
      </c>
      <c r="R169">
        <f t="shared" si="7"/>
        <v>2.1122000675904022E-2</v>
      </c>
      <c r="S169">
        <f t="shared" si="8"/>
        <v>0.50692801622169648</v>
      </c>
    </row>
    <row r="170" spans="1:19" hidden="1" x14ac:dyDescent="0.2">
      <c r="A170">
        <v>122</v>
      </c>
      <c r="B170" t="s">
        <v>21</v>
      </c>
      <c r="C170">
        <v>10</v>
      </c>
      <c r="D170">
        <v>5</v>
      </c>
      <c r="E170">
        <v>1006</v>
      </c>
      <c r="F170" t="b">
        <v>1</v>
      </c>
      <c r="G170">
        <v>60.444000000000003</v>
      </c>
      <c r="H170">
        <v>24</v>
      </c>
      <c r="I170">
        <v>2</v>
      </c>
      <c r="J170">
        <v>0.54</v>
      </c>
      <c r="K170" t="s">
        <v>897</v>
      </c>
      <c r="L170">
        <v>0</v>
      </c>
      <c r="N170" t="s">
        <v>898</v>
      </c>
      <c r="O170" t="s">
        <v>899</v>
      </c>
      <c r="P170" t="s">
        <v>20</v>
      </c>
      <c r="Q170">
        <f t="shared" si="6"/>
        <v>296.92299971356988</v>
      </c>
      <c r="R170">
        <f t="shared" si="7"/>
        <v>3.3088478591754351E-2</v>
      </c>
      <c r="S170">
        <f t="shared" si="8"/>
        <v>0.39706174310105219</v>
      </c>
    </row>
    <row r="171" spans="1:19" hidden="1" x14ac:dyDescent="0.2">
      <c r="A171">
        <v>125</v>
      </c>
      <c r="B171" t="s">
        <v>21</v>
      </c>
      <c r="C171">
        <v>15</v>
      </c>
      <c r="D171">
        <v>5</v>
      </c>
      <c r="E171">
        <v>1006</v>
      </c>
      <c r="F171" t="b">
        <v>1</v>
      </c>
      <c r="G171">
        <v>59.36</v>
      </c>
      <c r="H171">
        <v>24</v>
      </c>
      <c r="I171">
        <v>3</v>
      </c>
      <c r="J171">
        <v>0.48</v>
      </c>
      <c r="K171" t="s">
        <v>906</v>
      </c>
      <c r="L171">
        <v>0</v>
      </c>
      <c r="N171" t="s">
        <v>907</v>
      </c>
      <c r="O171" t="s">
        <v>908</v>
      </c>
      <c r="P171" t="s">
        <v>20</v>
      </c>
      <c r="Q171">
        <f t="shared" si="6"/>
        <v>289.16299981065094</v>
      </c>
      <c r="R171">
        <f t="shared" si="7"/>
        <v>5.0539083557951482E-2</v>
      </c>
      <c r="S171">
        <f t="shared" si="8"/>
        <v>0.40431266846361186</v>
      </c>
    </row>
    <row r="172" spans="1:19" hidden="1" x14ac:dyDescent="0.2">
      <c r="A172">
        <v>128</v>
      </c>
      <c r="B172" t="s">
        <v>21</v>
      </c>
      <c r="C172">
        <v>20</v>
      </c>
      <c r="D172">
        <v>5</v>
      </c>
      <c r="E172">
        <v>1006</v>
      </c>
      <c r="F172" t="b">
        <v>1</v>
      </c>
      <c r="G172">
        <v>43.856000000000002</v>
      </c>
      <c r="H172">
        <v>24</v>
      </c>
      <c r="I172">
        <v>1</v>
      </c>
      <c r="J172">
        <v>0.12</v>
      </c>
      <c r="K172" t="s">
        <v>915</v>
      </c>
      <c r="L172">
        <v>0</v>
      </c>
      <c r="N172" t="s">
        <v>916</v>
      </c>
      <c r="O172" t="s">
        <v>917</v>
      </c>
      <c r="P172" t="s">
        <v>20</v>
      </c>
      <c r="Q172">
        <f t="shared" si="6"/>
        <v>277.37800036557019</v>
      </c>
      <c r="R172">
        <f t="shared" si="7"/>
        <v>2.2801897117840204E-2</v>
      </c>
      <c r="S172">
        <f t="shared" si="8"/>
        <v>0.54724553082816485</v>
      </c>
    </row>
    <row r="173" spans="1:19" hidden="1" x14ac:dyDescent="0.2">
      <c r="A173">
        <v>131</v>
      </c>
      <c r="B173" t="s">
        <v>21</v>
      </c>
      <c r="C173">
        <v>50</v>
      </c>
      <c r="D173">
        <v>5</v>
      </c>
      <c r="E173">
        <v>1006</v>
      </c>
      <c r="F173" t="b">
        <v>1</v>
      </c>
      <c r="G173">
        <v>98.031999999999996</v>
      </c>
      <c r="H173">
        <v>27</v>
      </c>
      <c r="I173">
        <v>7</v>
      </c>
      <c r="J173">
        <v>2.64</v>
      </c>
      <c r="K173" t="s">
        <v>924</v>
      </c>
      <c r="L173">
        <v>0</v>
      </c>
      <c r="N173" t="s">
        <v>925</v>
      </c>
      <c r="O173" t="s">
        <v>926</v>
      </c>
      <c r="P173" t="s">
        <v>20</v>
      </c>
      <c r="Q173">
        <f t="shared" si="6"/>
        <v>510.77300026081502</v>
      </c>
      <c r="R173">
        <f t="shared" si="7"/>
        <v>7.1405255426799416E-2</v>
      </c>
      <c r="S173">
        <f t="shared" si="8"/>
        <v>0.2754202709319406</v>
      </c>
    </row>
    <row r="174" spans="1:19" hidden="1" x14ac:dyDescent="0.2">
      <c r="A174">
        <v>134</v>
      </c>
      <c r="B174" t="s">
        <v>21</v>
      </c>
      <c r="C174">
        <v>70</v>
      </c>
      <c r="D174">
        <v>5</v>
      </c>
      <c r="E174">
        <v>1006</v>
      </c>
      <c r="F174" t="b">
        <v>1</v>
      </c>
      <c r="G174">
        <v>73.447999999999993</v>
      </c>
      <c r="H174">
        <v>28</v>
      </c>
      <c r="I174">
        <v>7</v>
      </c>
      <c r="J174">
        <v>1.92</v>
      </c>
      <c r="K174" t="s">
        <v>933</v>
      </c>
      <c r="L174">
        <v>0</v>
      </c>
      <c r="N174" t="s">
        <v>934</v>
      </c>
      <c r="O174" t="s">
        <v>935</v>
      </c>
      <c r="P174" t="s">
        <v>20</v>
      </c>
      <c r="Q174">
        <f t="shared" si="6"/>
        <v>333.80700051784515</v>
      </c>
      <c r="R174">
        <f t="shared" si="7"/>
        <v>9.5305522274262075E-2</v>
      </c>
      <c r="S174">
        <f t="shared" si="8"/>
        <v>0.3812220890970483</v>
      </c>
    </row>
    <row r="175" spans="1:19" x14ac:dyDescent="0.2">
      <c r="A175">
        <v>111</v>
      </c>
      <c r="B175" t="s">
        <v>25</v>
      </c>
      <c r="C175">
        <v>-1</v>
      </c>
      <c r="D175">
        <v>5</v>
      </c>
      <c r="E175">
        <v>1006</v>
      </c>
      <c r="F175" t="b">
        <v>1</v>
      </c>
      <c r="G175">
        <v>34.64</v>
      </c>
      <c r="H175">
        <v>28</v>
      </c>
      <c r="I175">
        <v>8</v>
      </c>
      <c r="J175">
        <v>5.52</v>
      </c>
      <c r="K175" t="s">
        <v>864</v>
      </c>
      <c r="L175">
        <v>0</v>
      </c>
      <c r="N175" t="s">
        <v>865</v>
      </c>
      <c r="O175" t="s">
        <v>866</v>
      </c>
      <c r="P175" t="s">
        <v>20</v>
      </c>
      <c r="Q175">
        <f t="shared" si="6"/>
        <v>136.20900018140674</v>
      </c>
      <c r="R175">
        <f t="shared" si="7"/>
        <v>0.23094688221709006</v>
      </c>
      <c r="S175">
        <f t="shared" si="8"/>
        <v>0.80831408775981528</v>
      </c>
    </row>
    <row r="176" spans="1:19" x14ac:dyDescent="0.2">
      <c r="A176">
        <v>114</v>
      </c>
      <c r="B176" t="s">
        <v>25</v>
      </c>
      <c r="C176">
        <v>0</v>
      </c>
      <c r="D176">
        <v>5</v>
      </c>
      <c r="E176">
        <v>1006</v>
      </c>
      <c r="F176" t="b">
        <v>1</v>
      </c>
      <c r="G176">
        <v>50.32</v>
      </c>
      <c r="H176">
        <v>30</v>
      </c>
      <c r="I176">
        <v>1</v>
      </c>
      <c r="J176">
        <v>0.36</v>
      </c>
      <c r="K176" t="s">
        <v>873</v>
      </c>
      <c r="L176">
        <v>0</v>
      </c>
      <c r="N176" t="s">
        <v>874</v>
      </c>
      <c r="O176" t="s">
        <v>875</v>
      </c>
      <c r="P176" t="s">
        <v>20</v>
      </c>
      <c r="Q176">
        <f t="shared" si="6"/>
        <v>205.59399963822216</v>
      </c>
      <c r="R176">
        <f t="shared" si="7"/>
        <v>1.987281399046105E-2</v>
      </c>
      <c r="S176">
        <f t="shared" si="8"/>
        <v>0.59618441971383151</v>
      </c>
    </row>
    <row r="177" spans="1:19" x14ac:dyDescent="0.2">
      <c r="A177">
        <v>117</v>
      </c>
      <c r="B177" t="s">
        <v>25</v>
      </c>
      <c r="C177">
        <v>2</v>
      </c>
      <c r="D177">
        <v>5</v>
      </c>
      <c r="E177">
        <v>1006</v>
      </c>
      <c r="F177" t="b">
        <v>1</v>
      </c>
      <c r="G177">
        <v>55.856000000000002</v>
      </c>
      <c r="H177">
        <v>27</v>
      </c>
      <c r="I177">
        <v>5</v>
      </c>
      <c r="J177">
        <v>1.86</v>
      </c>
      <c r="K177" t="s">
        <v>882</v>
      </c>
      <c r="L177">
        <v>0</v>
      </c>
      <c r="N177" t="s">
        <v>883</v>
      </c>
      <c r="O177" t="s">
        <v>884</v>
      </c>
      <c r="P177" t="s">
        <v>20</v>
      </c>
      <c r="Q177">
        <f t="shared" si="6"/>
        <v>304.3430000776425</v>
      </c>
      <c r="R177">
        <f t="shared" si="7"/>
        <v>8.9515898023488971E-2</v>
      </c>
      <c r="S177">
        <f t="shared" si="8"/>
        <v>0.48338584932684042</v>
      </c>
    </row>
    <row r="178" spans="1:19" x14ac:dyDescent="0.2">
      <c r="A178">
        <v>120</v>
      </c>
      <c r="B178" t="s">
        <v>25</v>
      </c>
      <c r="C178">
        <v>5</v>
      </c>
      <c r="D178">
        <v>5</v>
      </c>
      <c r="E178">
        <v>1006</v>
      </c>
      <c r="F178" t="b">
        <v>1</v>
      </c>
      <c r="G178">
        <v>51.42</v>
      </c>
      <c r="H178">
        <v>28</v>
      </c>
      <c r="I178">
        <v>2</v>
      </c>
      <c r="J178">
        <v>0.42</v>
      </c>
      <c r="K178" t="s">
        <v>891</v>
      </c>
      <c r="L178">
        <v>0</v>
      </c>
      <c r="N178" t="s">
        <v>892</v>
      </c>
      <c r="O178" t="s">
        <v>893</v>
      </c>
      <c r="P178" t="s">
        <v>20</v>
      </c>
      <c r="Q178">
        <f t="shared" si="6"/>
        <v>184.10800045821816</v>
      </c>
      <c r="R178">
        <f t="shared" si="7"/>
        <v>3.8895371450797356E-2</v>
      </c>
      <c r="S178">
        <f t="shared" si="8"/>
        <v>0.54453520031116298</v>
      </c>
    </row>
    <row r="179" spans="1:19" hidden="1" x14ac:dyDescent="0.2">
      <c r="A179">
        <v>123</v>
      </c>
      <c r="B179" t="s">
        <v>25</v>
      </c>
      <c r="C179">
        <v>10</v>
      </c>
      <c r="D179">
        <v>5</v>
      </c>
      <c r="E179">
        <v>1006</v>
      </c>
      <c r="F179" t="b">
        <v>1</v>
      </c>
      <c r="G179">
        <v>51.043999999999997</v>
      </c>
      <c r="H179">
        <v>26</v>
      </c>
      <c r="I179">
        <v>4</v>
      </c>
      <c r="J179">
        <v>1.92</v>
      </c>
      <c r="K179" t="s">
        <v>900</v>
      </c>
      <c r="L179">
        <v>0</v>
      </c>
      <c r="N179" t="s">
        <v>901</v>
      </c>
      <c r="O179" t="s">
        <v>902</v>
      </c>
      <c r="P179" t="s">
        <v>20</v>
      </c>
      <c r="Q179">
        <f t="shared" si="6"/>
        <v>230.7430000975728</v>
      </c>
      <c r="R179">
        <f t="shared" si="7"/>
        <v>7.8363764595251156E-2</v>
      </c>
      <c r="S179">
        <f t="shared" si="8"/>
        <v>0.50936446986913253</v>
      </c>
    </row>
    <row r="180" spans="1:19" hidden="1" x14ac:dyDescent="0.2">
      <c r="A180">
        <v>126</v>
      </c>
      <c r="B180" t="s">
        <v>25</v>
      </c>
      <c r="C180">
        <v>15</v>
      </c>
      <c r="D180">
        <v>5</v>
      </c>
      <c r="E180">
        <v>1006</v>
      </c>
      <c r="F180" t="b">
        <v>1</v>
      </c>
      <c r="G180">
        <v>37.299999999999997</v>
      </c>
      <c r="H180">
        <v>31</v>
      </c>
      <c r="I180">
        <v>4</v>
      </c>
      <c r="J180">
        <v>0.42</v>
      </c>
      <c r="K180" t="s">
        <v>909</v>
      </c>
      <c r="L180">
        <v>0</v>
      </c>
      <c r="N180" t="s">
        <v>910</v>
      </c>
      <c r="O180" t="s">
        <v>911</v>
      </c>
      <c r="P180" t="s">
        <v>20</v>
      </c>
      <c r="Q180">
        <f t="shared" si="6"/>
        <v>221.11899966839701</v>
      </c>
      <c r="R180">
        <f t="shared" si="7"/>
        <v>0.10723860589812333</v>
      </c>
      <c r="S180">
        <f t="shared" si="8"/>
        <v>0.83109919571045587</v>
      </c>
    </row>
    <row r="181" spans="1:19" hidden="1" x14ac:dyDescent="0.2">
      <c r="A181">
        <v>129</v>
      </c>
      <c r="B181" t="s">
        <v>25</v>
      </c>
      <c r="C181">
        <v>20</v>
      </c>
      <c r="D181">
        <v>5</v>
      </c>
      <c r="E181">
        <v>1006</v>
      </c>
      <c r="F181" t="b">
        <v>1</v>
      </c>
      <c r="G181">
        <v>41.555999999999997</v>
      </c>
      <c r="H181">
        <v>28</v>
      </c>
      <c r="I181">
        <v>1</v>
      </c>
      <c r="J181">
        <v>0.12</v>
      </c>
      <c r="K181" t="s">
        <v>918</v>
      </c>
      <c r="L181">
        <v>0</v>
      </c>
      <c r="N181" t="s">
        <v>919</v>
      </c>
      <c r="O181" t="s">
        <v>920</v>
      </c>
      <c r="P181" t="s">
        <v>20</v>
      </c>
      <c r="Q181">
        <f t="shared" si="6"/>
        <v>142.31300046667457</v>
      </c>
      <c r="R181">
        <f t="shared" si="7"/>
        <v>2.4063913754933105E-2</v>
      </c>
      <c r="S181">
        <f t="shared" si="8"/>
        <v>0.67378958513812692</v>
      </c>
    </row>
    <row r="182" spans="1:19" hidden="1" x14ac:dyDescent="0.2">
      <c r="A182">
        <v>132</v>
      </c>
      <c r="B182" t="s">
        <v>25</v>
      </c>
      <c r="C182">
        <v>50</v>
      </c>
      <c r="D182">
        <v>5</v>
      </c>
      <c r="E182">
        <v>1006</v>
      </c>
      <c r="F182" t="b">
        <v>1</v>
      </c>
      <c r="G182">
        <v>43.932000000000002</v>
      </c>
      <c r="H182">
        <v>26</v>
      </c>
      <c r="I182">
        <v>6</v>
      </c>
      <c r="J182">
        <v>1.2</v>
      </c>
      <c r="K182" t="s">
        <v>927</v>
      </c>
      <c r="L182">
        <v>0</v>
      </c>
      <c r="N182" t="s">
        <v>928</v>
      </c>
      <c r="O182" t="s">
        <v>929</v>
      </c>
      <c r="P182" t="s">
        <v>20</v>
      </c>
      <c r="Q182">
        <f t="shared" si="6"/>
        <v>179.12000007927418</v>
      </c>
      <c r="R182">
        <f t="shared" si="7"/>
        <v>0.13657470636438132</v>
      </c>
      <c r="S182">
        <f t="shared" si="8"/>
        <v>0.59182372757898571</v>
      </c>
    </row>
    <row r="183" spans="1:19" hidden="1" x14ac:dyDescent="0.2">
      <c r="A183">
        <v>135</v>
      </c>
      <c r="B183" t="s">
        <v>25</v>
      </c>
      <c r="C183">
        <v>70</v>
      </c>
      <c r="D183">
        <v>5</v>
      </c>
      <c r="E183">
        <v>1006</v>
      </c>
      <c r="F183" t="b">
        <v>1</v>
      </c>
      <c r="G183">
        <v>45.44</v>
      </c>
      <c r="H183">
        <v>27</v>
      </c>
      <c r="I183">
        <v>7</v>
      </c>
      <c r="J183">
        <v>1.62</v>
      </c>
      <c r="K183" t="s">
        <v>936</v>
      </c>
      <c r="L183">
        <v>0</v>
      </c>
      <c r="N183" t="s">
        <v>937</v>
      </c>
      <c r="O183" t="s">
        <v>938</v>
      </c>
      <c r="P183" t="s">
        <v>20</v>
      </c>
      <c r="Q183">
        <f t="shared" si="6"/>
        <v>177.03200031537563</v>
      </c>
      <c r="R183">
        <f t="shared" si="7"/>
        <v>0.1540492957746479</v>
      </c>
      <c r="S183">
        <f t="shared" si="8"/>
        <v>0.59419014084507049</v>
      </c>
    </row>
    <row r="184" spans="1:19" x14ac:dyDescent="0.2">
      <c r="A184">
        <v>109</v>
      </c>
      <c r="B184" t="s">
        <v>16</v>
      </c>
      <c r="C184">
        <v>-1</v>
      </c>
      <c r="D184">
        <v>5</v>
      </c>
      <c r="E184">
        <v>1006</v>
      </c>
      <c r="F184" t="b">
        <v>1</v>
      </c>
      <c r="G184">
        <v>67.164000000000001</v>
      </c>
      <c r="H184">
        <v>29</v>
      </c>
      <c r="I184">
        <v>7</v>
      </c>
      <c r="J184">
        <v>9.66</v>
      </c>
      <c r="K184" t="s">
        <v>858</v>
      </c>
      <c r="L184">
        <v>0</v>
      </c>
      <c r="N184" t="s">
        <v>859</v>
      </c>
      <c r="O184" t="s">
        <v>860</v>
      </c>
      <c r="P184" t="s">
        <v>20</v>
      </c>
      <c r="Q184">
        <f t="shared" si="6"/>
        <v>338.44400011003017</v>
      </c>
      <c r="R184">
        <f t="shared" si="7"/>
        <v>0.10422250014888929</v>
      </c>
      <c r="S184">
        <f t="shared" si="8"/>
        <v>0.43177892918825561</v>
      </c>
    </row>
    <row r="185" spans="1:19" x14ac:dyDescent="0.2">
      <c r="A185">
        <v>112</v>
      </c>
      <c r="B185" t="s">
        <v>16</v>
      </c>
      <c r="C185">
        <v>0</v>
      </c>
      <c r="D185">
        <v>5</v>
      </c>
      <c r="E185">
        <v>1006</v>
      </c>
      <c r="F185" t="b">
        <v>1</v>
      </c>
      <c r="G185">
        <v>74.975999999999999</v>
      </c>
      <c r="H185">
        <v>23</v>
      </c>
      <c r="I185">
        <v>1</v>
      </c>
      <c r="J185">
        <v>0.12</v>
      </c>
      <c r="K185" t="s">
        <v>867</v>
      </c>
      <c r="L185">
        <v>0</v>
      </c>
      <c r="N185" t="s">
        <v>868</v>
      </c>
      <c r="O185" t="s">
        <v>869</v>
      </c>
      <c r="P185" t="s">
        <v>20</v>
      </c>
      <c r="Q185">
        <f t="shared" si="6"/>
        <v>340.87600009515882</v>
      </c>
      <c r="R185">
        <f t="shared" si="7"/>
        <v>1.333760136577038E-2</v>
      </c>
      <c r="S185">
        <f t="shared" si="8"/>
        <v>0.30676483141271876</v>
      </c>
    </row>
    <row r="186" spans="1:19" x14ac:dyDescent="0.2">
      <c r="A186">
        <v>115</v>
      </c>
      <c r="B186" t="s">
        <v>16</v>
      </c>
      <c r="C186">
        <v>2</v>
      </c>
      <c r="D186">
        <v>5</v>
      </c>
      <c r="E186">
        <v>1006</v>
      </c>
      <c r="F186" t="b">
        <v>1</v>
      </c>
      <c r="G186">
        <v>109.952</v>
      </c>
      <c r="H186">
        <v>25</v>
      </c>
      <c r="I186">
        <v>3</v>
      </c>
      <c r="J186">
        <v>1.8</v>
      </c>
      <c r="K186" t="s">
        <v>876</v>
      </c>
      <c r="L186">
        <v>0</v>
      </c>
      <c r="N186" t="s">
        <v>877</v>
      </c>
      <c r="O186" t="s">
        <v>878</v>
      </c>
      <c r="P186" t="s">
        <v>20</v>
      </c>
      <c r="Q186">
        <f t="shared" si="6"/>
        <v>446.2650004774332</v>
      </c>
      <c r="R186">
        <f t="shared" si="7"/>
        <v>2.7284633294528522E-2</v>
      </c>
      <c r="S186">
        <f t="shared" si="8"/>
        <v>0.22737194412107101</v>
      </c>
    </row>
    <row r="187" spans="1:19" x14ac:dyDescent="0.2">
      <c r="A187">
        <v>118</v>
      </c>
      <c r="B187" t="s">
        <v>16</v>
      </c>
      <c r="C187">
        <v>5</v>
      </c>
      <c r="D187">
        <v>5</v>
      </c>
      <c r="E187">
        <v>1006</v>
      </c>
      <c r="F187" t="b">
        <v>1</v>
      </c>
      <c r="G187">
        <v>68.563999999999993</v>
      </c>
      <c r="H187">
        <v>27</v>
      </c>
      <c r="I187">
        <v>3</v>
      </c>
      <c r="J187">
        <v>0.36</v>
      </c>
      <c r="K187" t="s">
        <v>885</v>
      </c>
      <c r="L187">
        <v>0</v>
      </c>
      <c r="N187" t="s">
        <v>886</v>
      </c>
      <c r="O187" t="s">
        <v>887</v>
      </c>
      <c r="P187" t="s">
        <v>20</v>
      </c>
      <c r="Q187">
        <f t="shared" si="6"/>
        <v>300.40700000245124</v>
      </c>
      <c r="R187">
        <f t="shared" si="7"/>
        <v>4.3754740096843832E-2</v>
      </c>
      <c r="S187">
        <f t="shared" si="8"/>
        <v>0.39379266087159448</v>
      </c>
    </row>
    <row r="188" spans="1:19" hidden="1" x14ac:dyDescent="0.2">
      <c r="A188">
        <v>121</v>
      </c>
      <c r="B188" t="s">
        <v>16</v>
      </c>
      <c r="C188">
        <v>10</v>
      </c>
      <c r="D188">
        <v>5</v>
      </c>
      <c r="E188">
        <v>1006</v>
      </c>
      <c r="F188" t="b">
        <v>1</v>
      </c>
      <c r="G188">
        <v>89.864000000000004</v>
      </c>
      <c r="H188">
        <v>28</v>
      </c>
      <c r="I188">
        <v>7</v>
      </c>
      <c r="J188">
        <v>1.08</v>
      </c>
      <c r="K188" t="s">
        <v>894</v>
      </c>
      <c r="L188">
        <v>0</v>
      </c>
      <c r="N188" t="s">
        <v>895</v>
      </c>
      <c r="O188" t="s">
        <v>896</v>
      </c>
      <c r="P188" t="s">
        <v>20</v>
      </c>
      <c r="Q188">
        <f t="shared" si="6"/>
        <v>382.0979997748509</v>
      </c>
      <c r="R188">
        <f t="shared" si="7"/>
        <v>7.7895486512952902E-2</v>
      </c>
      <c r="S188">
        <f t="shared" si="8"/>
        <v>0.31158194605181161</v>
      </c>
    </row>
    <row r="189" spans="1:19" hidden="1" x14ac:dyDescent="0.2">
      <c r="A189">
        <v>124</v>
      </c>
      <c r="B189" t="s">
        <v>16</v>
      </c>
      <c r="C189">
        <v>15</v>
      </c>
      <c r="D189">
        <v>5</v>
      </c>
      <c r="E189">
        <v>1006</v>
      </c>
      <c r="F189" t="b">
        <v>1</v>
      </c>
      <c r="G189">
        <v>92.763999999999996</v>
      </c>
      <c r="H189">
        <v>28</v>
      </c>
      <c r="I189">
        <v>16</v>
      </c>
      <c r="J189">
        <v>3.54</v>
      </c>
      <c r="K189" t="s">
        <v>903</v>
      </c>
      <c r="L189">
        <v>0</v>
      </c>
      <c r="N189" t="s">
        <v>904</v>
      </c>
      <c r="O189" t="s">
        <v>905</v>
      </c>
      <c r="P189" t="s">
        <v>20</v>
      </c>
      <c r="Q189">
        <f t="shared" si="6"/>
        <v>450.05399999208748</v>
      </c>
      <c r="R189">
        <f t="shared" si="7"/>
        <v>0.17248070372127119</v>
      </c>
      <c r="S189">
        <f t="shared" si="8"/>
        <v>0.30184123151222458</v>
      </c>
    </row>
    <row r="190" spans="1:19" hidden="1" x14ac:dyDescent="0.2">
      <c r="A190">
        <v>127</v>
      </c>
      <c r="B190" t="s">
        <v>16</v>
      </c>
      <c r="C190">
        <v>20</v>
      </c>
      <c r="D190">
        <v>5</v>
      </c>
      <c r="E190">
        <v>1006</v>
      </c>
      <c r="F190" t="b">
        <v>1</v>
      </c>
      <c r="G190">
        <v>103.94799999999999</v>
      </c>
      <c r="H190">
        <v>30</v>
      </c>
      <c r="I190">
        <v>17</v>
      </c>
      <c r="J190">
        <v>1.98</v>
      </c>
      <c r="K190" t="s">
        <v>912</v>
      </c>
      <c r="L190">
        <v>0</v>
      </c>
      <c r="N190" t="s">
        <v>913</v>
      </c>
      <c r="O190" t="s">
        <v>914</v>
      </c>
      <c r="P190" t="s">
        <v>20</v>
      </c>
      <c r="Q190">
        <f t="shared" si="6"/>
        <v>400.02500033006072</v>
      </c>
      <c r="R190">
        <f t="shared" si="7"/>
        <v>0.16354331011659676</v>
      </c>
      <c r="S190">
        <f t="shared" si="8"/>
        <v>0.28860584138222961</v>
      </c>
    </row>
    <row r="191" spans="1:19" hidden="1" x14ac:dyDescent="0.2">
      <c r="A191">
        <v>130</v>
      </c>
      <c r="B191" t="s">
        <v>16</v>
      </c>
      <c r="C191">
        <v>50</v>
      </c>
      <c r="D191">
        <v>5</v>
      </c>
      <c r="E191">
        <v>1006</v>
      </c>
      <c r="F191" t="b">
        <v>1</v>
      </c>
      <c r="G191">
        <v>82.835999999999999</v>
      </c>
      <c r="H191">
        <v>29</v>
      </c>
      <c r="I191">
        <v>12</v>
      </c>
      <c r="J191">
        <v>2.04</v>
      </c>
      <c r="K191" t="s">
        <v>921</v>
      </c>
      <c r="L191">
        <v>0</v>
      </c>
      <c r="N191" t="s">
        <v>922</v>
      </c>
      <c r="O191" t="s">
        <v>923</v>
      </c>
      <c r="P191" t="s">
        <v>20</v>
      </c>
      <c r="Q191">
        <f t="shared" si="6"/>
        <v>358.30399976111948</v>
      </c>
      <c r="R191">
        <f t="shared" si="7"/>
        <v>0.14486455164421266</v>
      </c>
      <c r="S191">
        <f t="shared" si="8"/>
        <v>0.35008933314018059</v>
      </c>
    </row>
    <row r="192" spans="1:19" hidden="1" x14ac:dyDescent="0.2">
      <c r="A192">
        <v>133</v>
      </c>
      <c r="B192" t="s">
        <v>16</v>
      </c>
      <c r="C192">
        <v>70</v>
      </c>
      <c r="D192">
        <v>5</v>
      </c>
      <c r="E192">
        <v>1006</v>
      </c>
      <c r="F192" t="b">
        <v>1</v>
      </c>
      <c r="G192">
        <v>91.072000000000003</v>
      </c>
      <c r="H192">
        <v>27</v>
      </c>
      <c r="I192">
        <v>10</v>
      </c>
      <c r="J192">
        <v>3.12</v>
      </c>
      <c r="K192" t="s">
        <v>930</v>
      </c>
      <c r="L192">
        <v>0</v>
      </c>
      <c r="N192" t="s">
        <v>931</v>
      </c>
      <c r="O192" t="s">
        <v>932</v>
      </c>
      <c r="P192" t="s">
        <v>20</v>
      </c>
      <c r="Q192">
        <f t="shared" si="6"/>
        <v>358.41500046662986</v>
      </c>
      <c r="R192">
        <f t="shared" si="7"/>
        <v>0.10980323260716796</v>
      </c>
      <c r="S192">
        <f t="shared" si="8"/>
        <v>0.29646872803935348</v>
      </c>
    </row>
    <row r="193" spans="1:19" x14ac:dyDescent="0.2">
      <c r="A193">
        <v>137</v>
      </c>
      <c r="B193" t="s">
        <v>21</v>
      </c>
      <c r="C193">
        <v>-1</v>
      </c>
      <c r="D193">
        <v>6</v>
      </c>
      <c r="E193">
        <v>1007</v>
      </c>
      <c r="F193" t="b">
        <v>1</v>
      </c>
      <c r="G193">
        <v>49.795999999999999</v>
      </c>
      <c r="H193">
        <v>27</v>
      </c>
      <c r="I193">
        <v>1</v>
      </c>
      <c r="J193">
        <v>0.48</v>
      </c>
      <c r="K193" t="s">
        <v>942</v>
      </c>
      <c r="L193">
        <v>0</v>
      </c>
      <c r="N193" t="s">
        <v>943</v>
      </c>
      <c r="O193" t="s">
        <v>944</v>
      </c>
      <c r="P193" t="s">
        <v>20</v>
      </c>
      <c r="Q193">
        <f t="shared" si="6"/>
        <v>188.78800047095865</v>
      </c>
      <c r="R193">
        <f t="shared" si="7"/>
        <v>2.0081934291910998E-2</v>
      </c>
      <c r="S193">
        <f t="shared" si="8"/>
        <v>0.5422122258815969</v>
      </c>
    </row>
    <row r="194" spans="1:19" x14ac:dyDescent="0.2">
      <c r="A194">
        <v>140</v>
      </c>
      <c r="B194" t="s">
        <v>21</v>
      </c>
      <c r="C194">
        <v>0</v>
      </c>
      <c r="D194">
        <v>6</v>
      </c>
      <c r="E194">
        <v>1007</v>
      </c>
      <c r="F194" t="b">
        <v>1</v>
      </c>
      <c r="G194">
        <v>74.103999999999999</v>
      </c>
      <c r="H194">
        <v>25</v>
      </c>
      <c r="I194">
        <v>6</v>
      </c>
      <c r="J194">
        <v>1.98</v>
      </c>
      <c r="K194" t="s">
        <v>949</v>
      </c>
      <c r="L194">
        <v>0</v>
      </c>
      <c r="N194" t="s">
        <v>950</v>
      </c>
      <c r="O194" t="s">
        <v>951</v>
      </c>
      <c r="P194" t="s">
        <v>20</v>
      </c>
      <c r="Q194">
        <f t="shared" ref="Q194:Q257" si="9">(VALUE(LEFT(SUBSTITUTE(O194,"T"," "),23)) - VALUE(LEFT(SUBSTITUTE(N194,"T"," "),23))) * 86400</f>
        <v>342.83300014212728</v>
      </c>
      <c r="R194">
        <f t="shared" ref="R194:R257" si="10">I194/G194</f>
        <v>8.0967289215157071E-2</v>
      </c>
      <c r="S194">
        <f t="shared" ref="S194:S257" si="11">H194/G194</f>
        <v>0.3373637050631545</v>
      </c>
    </row>
    <row r="195" spans="1:19" x14ac:dyDescent="0.2">
      <c r="A195">
        <v>8</v>
      </c>
      <c r="B195" t="s">
        <v>21</v>
      </c>
      <c r="C195">
        <v>2</v>
      </c>
      <c r="D195">
        <v>1</v>
      </c>
      <c r="E195">
        <v>1007</v>
      </c>
      <c r="F195" t="b">
        <v>1</v>
      </c>
      <c r="G195">
        <v>55.46</v>
      </c>
      <c r="H195">
        <v>25</v>
      </c>
      <c r="I195">
        <v>3</v>
      </c>
      <c r="J195">
        <v>0.72</v>
      </c>
      <c r="K195" t="s">
        <v>956</v>
      </c>
      <c r="L195">
        <v>0</v>
      </c>
      <c r="N195" t="s">
        <v>1807</v>
      </c>
      <c r="O195" t="s">
        <v>1808</v>
      </c>
      <c r="P195" t="s">
        <v>20</v>
      </c>
      <c r="Q195">
        <f t="shared" si="9"/>
        <v>260.67099985666573</v>
      </c>
      <c r="R195">
        <f t="shared" si="10"/>
        <v>5.4093040028849619E-2</v>
      </c>
      <c r="S195">
        <f t="shared" si="11"/>
        <v>0.45077533357374683</v>
      </c>
    </row>
    <row r="196" spans="1:19" x14ac:dyDescent="0.2">
      <c r="A196">
        <v>11</v>
      </c>
      <c r="B196" t="s">
        <v>21</v>
      </c>
      <c r="C196">
        <v>5</v>
      </c>
      <c r="D196">
        <v>1</v>
      </c>
      <c r="E196">
        <v>1007</v>
      </c>
      <c r="F196" t="b">
        <v>1</v>
      </c>
      <c r="G196">
        <v>43.923999999999999</v>
      </c>
      <c r="H196">
        <v>25</v>
      </c>
      <c r="I196">
        <v>2</v>
      </c>
      <c r="J196">
        <v>0.54</v>
      </c>
      <c r="K196" t="s">
        <v>961</v>
      </c>
      <c r="L196">
        <v>0</v>
      </c>
      <c r="N196" t="s">
        <v>1811</v>
      </c>
      <c r="O196" t="s">
        <v>1812</v>
      </c>
      <c r="P196" t="s">
        <v>20</v>
      </c>
      <c r="Q196">
        <f t="shared" si="9"/>
        <v>171.52199952397496</v>
      </c>
      <c r="R196">
        <f t="shared" si="10"/>
        <v>4.5533193698205993E-2</v>
      </c>
      <c r="S196">
        <f t="shared" si="11"/>
        <v>0.56916492122757489</v>
      </c>
    </row>
    <row r="197" spans="1:19" hidden="1" x14ac:dyDescent="0.2">
      <c r="A197">
        <v>14</v>
      </c>
      <c r="B197" t="s">
        <v>21</v>
      </c>
      <c r="C197">
        <v>10</v>
      </c>
      <c r="D197">
        <v>1</v>
      </c>
      <c r="E197">
        <v>1007</v>
      </c>
      <c r="F197" t="b">
        <v>1</v>
      </c>
      <c r="G197">
        <v>65.775999999999996</v>
      </c>
      <c r="H197">
        <v>24</v>
      </c>
      <c r="I197">
        <v>3</v>
      </c>
      <c r="J197">
        <v>0.6</v>
      </c>
      <c r="K197" t="s">
        <v>964</v>
      </c>
      <c r="L197">
        <v>0</v>
      </c>
      <c r="N197" t="s">
        <v>1817</v>
      </c>
      <c r="O197" t="s">
        <v>1818</v>
      </c>
      <c r="P197" t="s">
        <v>20</v>
      </c>
      <c r="Q197">
        <f t="shared" si="9"/>
        <v>321.59700023476034</v>
      </c>
      <c r="R197">
        <f t="shared" si="10"/>
        <v>4.5609340792994404E-2</v>
      </c>
      <c r="S197">
        <f t="shared" si="11"/>
        <v>0.36487472634395524</v>
      </c>
    </row>
    <row r="198" spans="1:19" hidden="1" x14ac:dyDescent="0.2">
      <c r="A198">
        <v>17</v>
      </c>
      <c r="B198" t="s">
        <v>21</v>
      </c>
      <c r="C198">
        <v>15</v>
      </c>
      <c r="D198">
        <v>1</v>
      </c>
      <c r="E198">
        <v>1007</v>
      </c>
      <c r="F198" t="b">
        <v>1</v>
      </c>
      <c r="G198">
        <v>55.112000000000002</v>
      </c>
      <c r="H198">
        <v>25</v>
      </c>
      <c r="I198">
        <v>4</v>
      </c>
      <c r="J198">
        <v>0.9</v>
      </c>
      <c r="K198" t="s">
        <v>969</v>
      </c>
      <c r="L198">
        <v>0</v>
      </c>
      <c r="N198" t="s">
        <v>1821</v>
      </c>
      <c r="O198" t="s">
        <v>1822</v>
      </c>
      <c r="P198" t="s">
        <v>20</v>
      </c>
      <c r="Q198">
        <f t="shared" si="9"/>
        <v>182.0090000750497</v>
      </c>
      <c r="R198">
        <f t="shared" si="10"/>
        <v>7.2579474524604434E-2</v>
      </c>
      <c r="S198">
        <f t="shared" si="11"/>
        <v>0.45362171577877775</v>
      </c>
    </row>
    <row r="199" spans="1:19" hidden="1" x14ac:dyDescent="0.2">
      <c r="A199">
        <v>20</v>
      </c>
      <c r="B199" t="s">
        <v>21</v>
      </c>
      <c r="C199">
        <v>20</v>
      </c>
      <c r="D199">
        <v>1</v>
      </c>
      <c r="E199">
        <v>1007</v>
      </c>
      <c r="F199" t="b">
        <v>1</v>
      </c>
      <c r="G199">
        <v>53.264000000000003</v>
      </c>
      <c r="H199">
        <v>25</v>
      </c>
      <c r="I199">
        <v>2</v>
      </c>
      <c r="J199">
        <v>0.48</v>
      </c>
      <c r="K199" t="s">
        <v>972</v>
      </c>
      <c r="L199">
        <v>0</v>
      </c>
      <c r="N199" t="s">
        <v>1827</v>
      </c>
      <c r="O199" t="s">
        <v>1828</v>
      </c>
      <c r="P199" t="s">
        <v>20</v>
      </c>
      <c r="Q199">
        <f t="shared" si="9"/>
        <v>135.38800030946732</v>
      </c>
      <c r="R199">
        <f t="shared" si="10"/>
        <v>3.7548813457494744E-2</v>
      </c>
      <c r="S199">
        <f t="shared" si="11"/>
        <v>0.46936016821868426</v>
      </c>
    </row>
    <row r="200" spans="1:19" hidden="1" x14ac:dyDescent="0.2">
      <c r="A200">
        <v>23</v>
      </c>
      <c r="B200" t="s">
        <v>21</v>
      </c>
      <c r="C200">
        <v>50</v>
      </c>
      <c r="D200">
        <v>1</v>
      </c>
      <c r="E200">
        <v>1007</v>
      </c>
      <c r="F200" t="b">
        <v>1</v>
      </c>
      <c r="G200">
        <v>60.543999999999997</v>
      </c>
      <c r="H200">
        <v>24</v>
      </c>
      <c r="I200">
        <v>8</v>
      </c>
      <c r="J200">
        <v>2.2200000000000002</v>
      </c>
      <c r="K200" t="s">
        <v>1831</v>
      </c>
      <c r="L200">
        <v>0</v>
      </c>
      <c r="N200" t="s">
        <v>1832</v>
      </c>
      <c r="O200" t="s">
        <v>1833</v>
      </c>
      <c r="P200" t="s">
        <v>20</v>
      </c>
      <c r="Q200">
        <f t="shared" si="9"/>
        <v>198.99399960413575</v>
      </c>
      <c r="R200">
        <f t="shared" si="10"/>
        <v>0.1321353065539112</v>
      </c>
      <c r="S200">
        <f t="shared" si="11"/>
        <v>0.39640591966173361</v>
      </c>
    </row>
    <row r="201" spans="1:19" hidden="1" x14ac:dyDescent="0.2">
      <c r="A201">
        <v>26</v>
      </c>
      <c r="B201" t="s">
        <v>21</v>
      </c>
      <c r="C201">
        <v>70</v>
      </c>
      <c r="D201">
        <v>1</v>
      </c>
      <c r="E201">
        <v>1007</v>
      </c>
      <c r="F201" t="b">
        <v>1</v>
      </c>
      <c r="G201">
        <v>62.28</v>
      </c>
      <c r="H201">
        <v>24</v>
      </c>
      <c r="I201">
        <v>10</v>
      </c>
      <c r="J201">
        <v>4.62</v>
      </c>
      <c r="K201" t="s">
        <v>1840</v>
      </c>
      <c r="L201">
        <v>0</v>
      </c>
      <c r="N201" t="s">
        <v>1841</v>
      </c>
      <c r="O201" t="s">
        <v>1842</v>
      </c>
      <c r="P201" t="s">
        <v>20</v>
      </c>
      <c r="Q201">
        <f t="shared" si="9"/>
        <v>139.1239995835349</v>
      </c>
      <c r="R201">
        <f t="shared" si="10"/>
        <v>0.16056518946692358</v>
      </c>
      <c r="S201">
        <f t="shared" si="11"/>
        <v>0.38535645472061658</v>
      </c>
    </row>
    <row r="202" spans="1:19" x14ac:dyDescent="0.2">
      <c r="A202">
        <v>3</v>
      </c>
      <c r="B202" t="s">
        <v>25</v>
      </c>
      <c r="C202">
        <v>-1</v>
      </c>
      <c r="D202">
        <v>1</v>
      </c>
      <c r="E202">
        <v>1007</v>
      </c>
      <c r="F202" t="b">
        <v>1</v>
      </c>
      <c r="G202">
        <v>37.42</v>
      </c>
      <c r="H202">
        <v>33</v>
      </c>
      <c r="I202">
        <v>5</v>
      </c>
      <c r="J202">
        <v>6.24</v>
      </c>
      <c r="K202" t="s">
        <v>945</v>
      </c>
      <c r="L202">
        <v>0</v>
      </c>
      <c r="N202" t="s">
        <v>1803</v>
      </c>
      <c r="O202" t="s">
        <v>1804</v>
      </c>
      <c r="P202" t="s">
        <v>20</v>
      </c>
      <c r="Q202">
        <f t="shared" si="9"/>
        <v>140.94099963549525</v>
      </c>
      <c r="R202">
        <f t="shared" si="10"/>
        <v>0.13361838588989844</v>
      </c>
      <c r="S202">
        <f t="shared" si="11"/>
        <v>0.88188134687332975</v>
      </c>
    </row>
    <row r="203" spans="1:19" x14ac:dyDescent="0.2">
      <c r="A203">
        <v>141</v>
      </c>
      <c r="B203" t="s">
        <v>25</v>
      </c>
      <c r="C203">
        <v>0</v>
      </c>
      <c r="D203">
        <v>6</v>
      </c>
      <c r="E203">
        <v>1007</v>
      </c>
      <c r="F203" t="b">
        <v>1</v>
      </c>
      <c r="G203">
        <v>43.031999999999996</v>
      </c>
      <c r="H203">
        <v>26</v>
      </c>
      <c r="I203">
        <v>0</v>
      </c>
      <c r="J203">
        <v>0</v>
      </c>
      <c r="K203" t="s">
        <v>952</v>
      </c>
      <c r="L203">
        <v>0</v>
      </c>
      <c r="N203" t="s">
        <v>953</v>
      </c>
      <c r="O203" t="s">
        <v>954</v>
      </c>
      <c r="P203" t="s">
        <v>20</v>
      </c>
      <c r="Q203">
        <f t="shared" si="9"/>
        <v>172.70400000270456</v>
      </c>
      <c r="R203">
        <f t="shared" si="10"/>
        <v>0</v>
      </c>
      <c r="S203">
        <f t="shared" si="11"/>
        <v>0.60420152444692332</v>
      </c>
    </row>
    <row r="204" spans="1:19" x14ac:dyDescent="0.2">
      <c r="A204">
        <v>144</v>
      </c>
      <c r="B204" t="s">
        <v>25</v>
      </c>
      <c r="C204">
        <v>2</v>
      </c>
      <c r="D204">
        <v>6</v>
      </c>
      <c r="E204">
        <v>1007</v>
      </c>
      <c r="F204" t="b">
        <v>1</v>
      </c>
      <c r="G204">
        <v>50.78</v>
      </c>
      <c r="H204">
        <v>27</v>
      </c>
      <c r="I204">
        <v>1</v>
      </c>
      <c r="J204">
        <v>0.18</v>
      </c>
      <c r="K204" t="s">
        <v>957</v>
      </c>
      <c r="L204">
        <v>0</v>
      </c>
      <c r="N204" t="s">
        <v>958</v>
      </c>
      <c r="O204" t="s">
        <v>959</v>
      </c>
      <c r="P204" t="s">
        <v>20</v>
      </c>
      <c r="Q204">
        <f t="shared" si="9"/>
        <v>240.07700008805841</v>
      </c>
      <c r="R204">
        <f t="shared" si="10"/>
        <v>1.9692792437967704E-2</v>
      </c>
      <c r="S204">
        <f t="shared" si="11"/>
        <v>0.53170539582512799</v>
      </c>
    </row>
    <row r="205" spans="1:19" x14ac:dyDescent="0.2">
      <c r="A205">
        <v>12</v>
      </c>
      <c r="B205" t="s">
        <v>25</v>
      </c>
      <c r="C205">
        <v>5</v>
      </c>
      <c r="D205">
        <v>1</v>
      </c>
      <c r="E205">
        <v>1007</v>
      </c>
      <c r="F205" t="b">
        <v>1</v>
      </c>
      <c r="G205">
        <v>49.064</v>
      </c>
      <c r="H205">
        <v>25</v>
      </c>
      <c r="I205">
        <v>3</v>
      </c>
      <c r="J205">
        <v>1.38</v>
      </c>
      <c r="K205" t="s">
        <v>962</v>
      </c>
      <c r="L205">
        <v>0</v>
      </c>
      <c r="N205" t="s">
        <v>1813</v>
      </c>
      <c r="O205" t="s">
        <v>1814</v>
      </c>
      <c r="P205" t="s">
        <v>20</v>
      </c>
      <c r="Q205">
        <f t="shared" si="9"/>
        <v>219.87099987454712</v>
      </c>
      <c r="R205">
        <f t="shared" si="10"/>
        <v>6.1144627425403553E-2</v>
      </c>
      <c r="S205">
        <f t="shared" si="11"/>
        <v>0.50953856187836299</v>
      </c>
    </row>
    <row r="206" spans="1:19" hidden="1" x14ac:dyDescent="0.2">
      <c r="A206">
        <v>150</v>
      </c>
      <c r="B206" t="s">
        <v>25</v>
      </c>
      <c r="C206">
        <v>10</v>
      </c>
      <c r="D206">
        <v>6</v>
      </c>
      <c r="E206">
        <v>1007</v>
      </c>
      <c r="F206" t="b">
        <v>1</v>
      </c>
      <c r="G206">
        <v>53.015999999999998</v>
      </c>
      <c r="H206">
        <v>22</v>
      </c>
      <c r="I206">
        <v>5</v>
      </c>
      <c r="J206">
        <v>1.92</v>
      </c>
      <c r="K206" t="s">
        <v>965</v>
      </c>
      <c r="L206">
        <v>0</v>
      </c>
      <c r="N206" t="s">
        <v>966</v>
      </c>
      <c r="O206" t="s">
        <v>967</v>
      </c>
      <c r="P206" t="s">
        <v>20</v>
      </c>
      <c r="Q206">
        <f t="shared" si="9"/>
        <v>192.63300010934472</v>
      </c>
      <c r="R206">
        <f t="shared" si="10"/>
        <v>9.4311151350535694E-2</v>
      </c>
      <c r="S206">
        <f t="shared" si="11"/>
        <v>0.41496906594235705</v>
      </c>
    </row>
    <row r="207" spans="1:19" hidden="1" x14ac:dyDescent="0.2">
      <c r="A207">
        <v>18</v>
      </c>
      <c r="B207" t="s">
        <v>25</v>
      </c>
      <c r="C207">
        <v>15</v>
      </c>
      <c r="D207">
        <v>1</v>
      </c>
      <c r="E207">
        <v>1007</v>
      </c>
      <c r="F207" t="b">
        <v>1</v>
      </c>
      <c r="G207">
        <v>43.671999999999997</v>
      </c>
      <c r="H207">
        <v>28</v>
      </c>
      <c r="I207">
        <v>5</v>
      </c>
      <c r="J207">
        <v>2.16</v>
      </c>
      <c r="K207" t="s">
        <v>970</v>
      </c>
      <c r="L207">
        <v>0</v>
      </c>
      <c r="N207" t="s">
        <v>1823</v>
      </c>
      <c r="O207" t="s">
        <v>1824</v>
      </c>
      <c r="P207" t="s">
        <v>20</v>
      </c>
      <c r="Q207">
        <f t="shared" si="9"/>
        <v>96.943999920040369</v>
      </c>
      <c r="R207">
        <f t="shared" si="10"/>
        <v>0.11448983330280271</v>
      </c>
      <c r="S207">
        <f t="shared" si="11"/>
        <v>0.64114306649569519</v>
      </c>
    </row>
    <row r="208" spans="1:19" hidden="1" x14ac:dyDescent="0.2">
      <c r="A208">
        <v>156</v>
      </c>
      <c r="B208" t="s">
        <v>25</v>
      </c>
      <c r="C208">
        <v>20</v>
      </c>
      <c r="D208">
        <v>6</v>
      </c>
      <c r="E208">
        <v>1007</v>
      </c>
      <c r="F208" t="b">
        <v>1</v>
      </c>
      <c r="G208">
        <v>58.6</v>
      </c>
      <c r="H208">
        <v>28</v>
      </c>
      <c r="I208">
        <v>7</v>
      </c>
      <c r="J208">
        <v>2.2200000000000002</v>
      </c>
      <c r="K208" t="s">
        <v>973</v>
      </c>
      <c r="L208">
        <v>0</v>
      </c>
      <c r="N208" t="s">
        <v>974</v>
      </c>
      <c r="O208" t="s">
        <v>975</v>
      </c>
      <c r="P208" t="s">
        <v>20</v>
      </c>
      <c r="Q208">
        <f t="shared" si="9"/>
        <v>307.73799964226782</v>
      </c>
      <c r="R208">
        <f t="shared" si="10"/>
        <v>0.11945392491467577</v>
      </c>
      <c r="S208">
        <f t="shared" si="11"/>
        <v>0.47781569965870307</v>
      </c>
    </row>
    <row r="209" spans="1:19" hidden="1" x14ac:dyDescent="0.2">
      <c r="A209">
        <v>24</v>
      </c>
      <c r="B209" t="s">
        <v>25</v>
      </c>
      <c r="C209">
        <v>50</v>
      </c>
      <c r="D209">
        <v>1</v>
      </c>
      <c r="E209">
        <v>1007</v>
      </c>
      <c r="F209" t="b">
        <v>1</v>
      </c>
      <c r="G209">
        <v>57.92</v>
      </c>
      <c r="H209">
        <v>33</v>
      </c>
      <c r="I209">
        <v>11</v>
      </c>
      <c r="J209">
        <v>4.9800000000000004</v>
      </c>
      <c r="K209" t="s">
        <v>1834</v>
      </c>
      <c r="L209">
        <v>0</v>
      </c>
      <c r="N209" t="s">
        <v>1835</v>
      </c>
      <c r="O209" t="s">
        <v>1836</v>
      </c>
      <c r="P209" t="s">
        <v>20</v>
      </c>
      <c r="Q209">
        <f t="shared" si="9"/>
        <v>129.20699946116656</v>
      </c>
      <c r="R209">
        <f t="shared" si="10"/>
        <v>0.18991712707182321</v>
      </c>
      <c r="S209">
        <f t="shared" si="11"/>
        <v>0.56975138121546964</v>
      </c>
    </row>
    <row r="210" spans="1:19" hidden="1" x14ac:dyDescent="0.2">
      <c r="A210">
        <v>27</v>
      </c>
      <c r="B210" t="s">
        <v>25</v>
      </c>
      <c r="C210">
        <v>70</v>
      </c>
      <c r="D210">
        <v>1</v>
      </c>
      <c r="E210">
        <v>1007</v>
      </c>
      <c r="F210" t="b">
        <v>1</v>
      </c>
      <c r="G210">
        <v>37.996000000000002</v>
      </c>
      <c r="H210">
        <v>29</v>
      </c>
      <c r="I210">
        <v>12</v>
      </c>
      <c r="J210">
        <v>1.92</v>
      </c>
      <c r="K210" t="s">
        <v>1843</v>
      </c>
      <c r="L210">
        <v>0</v>
      </c>
      <c r="N210" t="s">
        <v>1844</v>
      </c>
      <c r="O210" t="s">
        <v>1845</v>
      </c>
      <c r="P210" t="s">
        <v>20</v>
      </c>
      <c r="Q210">
        <f t="shared" si="9"/>
        <v>81.912999926134944</v>
      </c>
      <c r="R210">
        <f t="shared" si="10"/>
        <v>0.31582271818086111</v>
      </c>
      <c r="S210">
        <f t="shared" si="11"/>
        <v>0.76323823560374771</v>
      </c>
    </row>
    <row r="211" spans="1:19" x14ac:dyDescent="0.2">
      <c r="A211">
        <v>136</v>
      </c>
      <c r="B211" t="s">
        <v>16</v>
      </c>
      <c r="C211">
        <v>-1</v>
      </c>
      <c r="D211">
        <v>6</v>
      </c>
      <c r="E211">
        <v>1007</v>
      </c>
      <c r="F211" t="b">
        <v>1</v>
      </c>
      <c r="G211">
        <v>83.02</v>
      </c>
      <c r="H211">
        <v>24</v>
      </c>
      <c r="I211">
        <v>13</v>
      </c>
      <c r="J211">
        <v>14.28</v>
      </c>
      <c r="K211" t="s">
        <v>939</v>
      </c>
      <c r="L211">
        <v>0</v>
      </c>
      <c r="N211" t="s">
        <v>940</v>
      </c>
      <c r="O211" t="s">
        <v>941</v>
      </c>
      <c r="P211" t="s">
        <v>20</v>
      </c>
      <c r="Q211">
        <f t="shared" si="9"/>
        <v>269.38400014769286</v>
      </c>
      <c r="R211">
        <f t="shared" si="10"/>
        <v>0.15658877378944833</v>
      </c>
      <c r="S211">
        <f t="shared" si="11"/>
        <v>0.28908696699590464</v>
      </c>
    </row>
    <row r="212" spans="1:19" x14ac:dyDescent="0.2">
      <c r="A212">
        <v>139</v>
      </c>
      <c r="B212" t="s">
        <v>16</v>
      </c>
      <c r="C212">
        <v>0</v>
      </c>
      <c r="D212">
        <v>6</v>
      </c>
      <c r="E212">
        <v>1007</v>
      </c>
      <c r="F212" t="b">
        <v>1</v>
      </c>
      <c r="G212">
        <v>98.248000000000005</v>
      </c>
      <c r="H212">
        <v>23</v>
      </c>
      <c r="I212">
        <v>4</v>
      </c>
      <c r="J212">
        <v>0.72</v>
      </c>
      <c r="K212" t="s">
        <v>946</v>
      </c>
      <c r="L212">
        <v>0</v>
      </c>
      <c r="N212" t="s">
        <v>947</v>
      </c>
      <c r="O212" t="s">
        <v>948</v>
      </c>
      <c r="P212" t="s">
        <v>20</v>
      </c>
      <c r="Q212">
        <f t="shared" si="9"/>
        <v>389.75599987898022</v>
      </c>
      <c r="R212">
        <f t="shared" si="10"/>
        <v>4.0713296962788047E-2</v>
      </c>
      <c r="S212">
        <f t="shared" si="11"/>
        <v>0.23410145753603126</v>
      </c>
    </row>
    <row r="213" spans="1:19" x14ac:dyDescent="0.2">
      <c r="A213">
        <v>7</v>
      </c>
      <c r="B213" t="s">
        <v>16</v>
      </c>
      <c r="C213">
        <v>2</v>
      </c>
      <c r="D213">
        <v>1</v>
      </c>
      <c r="E213">
        <v>1007</v>
      </c>
      <c r="F213" t="b">
        <v>1</v>
      </c>
      <c r="G213">
        <v>127.20399999999999</v>
      </c>
      <c r="H213">
        <v>22</v>
      </c>
      <c r="I213">
        <v>6</v>
      </c>
      <c r="J213">
        <v>2.52</v>
      </c>
      <c r="K213" t="s">
        <v>955</v>
      </c>
      <c r="L213">
        <v>0</v>
      </c>
      <c r="N213" t="s">
        <v>1805</v>
      </c>
      <c r="O213" t="s">
        <v>1806</v>
      </c>
      <c r="P213" t="s">
        <v>20</v>
      </c>
      <c r="Q213">
        <f t="shared" si="9"/>
        <v>508.69000009261072</v>
      </c>
      <c r="R213">
        <f t="shared" si="10"/>
        <v>4.7168328039998743E-2</v>
      </c>
      <c r="S213">
        <f t="shared" si="11"/>
        <v>0.17295053614666206</v>
      </c>
    </row>
    <row r="214" spans="1:19" x14ac:dyDescent="0.2">
      <c r="A214">
        <v>10</v>
      </c>
      <c r="B214" t="s">
        <v>16</v>
      </c>
      <c r="C214">
        <v>5</v>
      </c>
      <c r="D214">
        <v>1</v>
      </c>
      <c r="E214">
        <v>1007</v>
      </c>
      <c r="F214" t="b">
        <v>1</v>
      </c>
      <c r="G214">
        <v>67.215999999999994</v>
      </c>
      <c r="H214">
        <v>19</v>
      </c>
      <c r="I214">
        <v>3</v>
      </c>
      <c r="J214">
        <v>0.72</v>
      </c>
      <c r="K214" t="s">
        <v>960</v>
      </c>
      <c r="L214">
        <v>0</v>
      </c>
      <c r="N214" t="s">
        <v>1809</v>
      </c>
      <c r="O214" t="s">
        <v>1810</v>
      </c>
      <c r="P214" t="s">
        <v>20</v>
      </c>
      <c r="Q214">
        <f t="shared" si="9"/>
        <v>272.40500003099442</v>
      </c>
      <c r="R214">
        <f t="shared" si="10"/>
        <v>4.4632230421328259E-2</v>
      </c>
      <c r="S214">
        <f t="shared" si="11"/>
        <v>0.28267079266841233</v>
      </c>
    </row>
    <row r="215" spans="1:19" hidden="1" x14ac:dyDescent="0.2">
      <c r="A215">
        <v>13</v>
      </c>
      <c r="B215" t="s">
        <v>16</v>
      </c>
      <c r="C215">
        <v>10</v>
      </c>
      <c r="D215">
        <v>1</v>
      </c>
      <c r="E215">
        <v>1007</v>
      </c>
      <c r="F215" t="b">
        <v>1</v>
      </c>
      <c r="G215">
        <v>91.956000000000003</v>
      </c>
      <c r="H215">
        <v>22</v>
      </c>
      <c r="I215">
        <v>8</v>
      </c>
      <c r="J215">
        <v>2.4</v>
      </c>
      <c r="K215" t="s">
        <v>963</v>
      </c>
      <c r="L215">
        <v>0</v>
      </c>
      <c r="N215" t="s">
        <v>1815</v>
      </c>
      <c r="O215" t="s">
        <v>1816</v>
      </c>
      <c r="P215" t="s">
        <v>20</v>
      </c>
      <c r="Q215">
        <f t="shared" si="9"/>
        <v>353.55099986772984</v>
      </c>
      <c r="R215">
        <f t="shared" si="10"/>
        <v>8.699812954021488E-2</v>
      </c>
      <c r="S215">
        <f t="shared" si="11"/>
        <v>0.23924485623559091</v>
      </c>
    </row>
    <row r="216" spans="1:19" hidden="1" x14ac:dyDescent="0.2">
      <c r="A216">
        <v>16</v>
      </c>
      <c r="B216" t="s">
        <v>16</v>
      </c>
      <c r="C216">
        <v>15</v>
      </c>
      <c r="D216">
        <v>1</v>
      </c>
      <c r="E216">
        <v>1007</v>
      </c>
      <c r="F216" t="b">
        <v>1</v>
      </c>
      <c r="G216">
        <v>83.792000000000002</v>
      </c>
      <c r="H216">
        <v>20</v>
      </c>
      <c r="I216">
        <v>8</v>
      </c>
      <c r="J216">
        <v>1.5</v>
      </c>
      <c r="K216" t="s">
        <v>968</v>
      </c>
      <c r="L216">
        <v>0</v>
      </c>
      <c r="N216" t="s">
        <v>1819</v>
      </c>
      <c r="O216" t="s">
        <v>1820</v>
      </c>
      <c r="P216" t="s">
        <v>20</v>
      </c>
      <c r="Q216">
        <f t="shared" si="9"/>
        <v>172.83800023142248</v>
      </c>
      <c r="R216">
        <f t="shared" si="10"/>
        <v>9.5474508306282221E-2</v>
      </c>
      <c r="S216">
        <f t="shared" si="11"/>
        <v>0.23868627076570556</v>
      </c>
    </row>
    <row r="217" spans="1:19" hidden="1" x14ac:dyDescent="0.2">
      <c r="A217">
        <v>19</v>
      </c>
      <c r="B217" t="s">
        <v>16</v>
      </c>
      <c r="C217">
        <v>20</v>
      </c>
      <c r="D217">
        <v>1</v>
      </c>
      <c r="E217">
        <v>1007</v>
      </c>
      <c r="F217" t="b">
        <v>1</v>
      </c>
      <c r="G217">
        <v>85.671999999999997</v>
      </c>
      <c r="H217">
        <v>22</v>
      </c>
      <c r="I217">
        <v>8</v>
      </c>
      <c r="J217">
        <v>1.86</v>
      </c>
      <c r="K217" t="s">
        <v>971</v>
      </c>
      <c r="L217">
        <v>0</v>
      </c>
      <c r="N217" t="s">
        <v>1825</v>
      </c>
      <c r="O217" t="s">
        <v>1826</v>
      </c>
      <c r="P217" t="s">
        <v>20</v>
      </c>
      <c r="Q217">
        <f t="shared" si="9"/>
        <v>149.53999996650964</v>
      </c>
      <c r="R217">
        <f t="shared" si="10"/>
        <v>9.3379400504248769E-2</v>
      </c>
      <c r="S217">
        <f t="shared" si="11"/>
        <v>0.25679335138668413</v>
      </c>
    </row>
    <row r="218" spans="1:19" hidden="1" x14ac:dyDescent="0.2">
      <c r="A218">
        <v>22</v>
      </c>
      <c r="B218" t="s">
        <v>16</v>
      </c>
      <c r="C218">
        <v>50</v>
      </c>
      <c r="D218">
        <v>1</v>
      </c>
      <c r="E218">
        <v>1007</v>
      </c>
      <c r="F218" t="b">
        <v>1</v>
      </c>
      <c r="G218">
        <v>84.14</v>
      </c>
      <c r="H218">
        <v>22</v>
      </c>
      <c r="I218">
        <v>6</v>
      </c>
      <c r="J218">
        <v>2.4</v>
      </c>
      <c r="K218" t="s">
        <v>976</v>
      </c>
      <c r="L218">
        <v>0</v>
      </c>
      <c r="N218" t="s">
        <v>1829</v>
      </c>
      <c r="O218" t="s">
        <v>1830</v>
      </c>
      <c r="P218" t="s">
        <v>20</v>
      </c>
      <c r="Q218">
        <f t="shared" si="9"/>
        <v>187.78000012971461</v>
      </c>
      <c r="R218">
        <f t="shared" si="10"/>
        <v>7.1309721892084621E-2</v>
      </c>
      <c r="S218">
        <f t="shared" si="11"/>
        <v>0.26146898027097693</v>
      </c>
    </row>
    <row r="219" spans="1:19" hidden="1" x14ac:dyDescent="0.2">
      <c r="A219">
        <v>25</v>
      </c>
      <c r="B219" t="s">
        <v>16</v>
      </c>
      <c r="C219">
        <v>70</v>
      </c>
      <c r="D219">
        <v>1</v>
      </c>
      <c r="E219">
        <v>1007</v>
      </c>
      <c r="F219" t="b">
        <v>1</v>
      </c>
      <c r="G219">
        <v>77.292000000000002</v>
      </c>
      <c r="H219">
        <v>25</v>
      </c>
      <c r="I219">
        <v>6</v>
      </c>
      <c r="J219">
        <v>1.1399999999999999</v>
      </c>
      <c r="K219" t="s">
        <v>1837</v>
      </c>
      <c r="L219">
        <v>0</v>
      </c>
      <c r="N219" t="s">
        <v>1838</v>
      </c>
      <c r="O219" t="s">
        <v>1839</v>
      </c>
      <c r="P219" t="s">
        <v>20</v>
      </c>
      <c r="Q219">
        <f t="shared" si="9"/>
        <v>238.03900005295873</v>
      </c>
      <c r="R219">
        <f t="shared" si="10"/>
        <v>7.76276975624903E-2</v>
      </c>
      <c r="S219">
        <f t="shared" si="11"/>
        <v>0.32344873984370959</v>
      </c>
    </row>
    <row r="220" spans="1:19" x14ac:dyDescent="0.2">
      <c r="A220">
        <v>29</v>
      </c>
      <c r="B220" t="s">
        <v>21</v>
      </c>
      <c r="C220">
        <v>-1</v>
      </c>
      <c r="D220">
        <v>2</v>
      </c>
      <c r="E220">
        <v>1008</v>
      </c>
      <c r="F220" t="b">
        <v>1</v>
      </c>
      <c r="G220">
        <v>78.043999999999997</v>
      </c>
      <c r="H220">
        <v>24</v>
      </c>
      <c r="I220">
        <v>9</v>
      </c>
      <c r="J220">
        <v>9.36</v>
      </c>
      <c r="K220" t="s">
        <v>1849</v>
      </c>
      <c r="L220">
        <v>0</v>
      </c>
      <c r="N220" t="s">
        <v>1850</v>
      </c>
      <c r="O220" t="s">
        <v>1851</v>
      </c>
      <c r="P220" t="s">
        <v>20</v>
      </c>
      <c r="Q220">
        <f t="shared" si="9"/>
        <v>247.0270001096651</v>
      </c>
      <c r="R220">
        <f t="shared" si="10"/>
        <v>0.11531956332325355</v>
      </c>
      <c r="S220">
        <f t="shared" si="11"/>
        <v>0.30751883552867615</v>
      </c>
    </row>
    <row r="221" spans="1:19" x14ac:dyDescent="0.2">
      <c r="A221">
        <v>32</v>
      </c>
      <c r="B221" t="s">
        <v>21</v>
      </c>
      <c r="C221">
        <v>0</v>
      </c>
      <c r="D221">
        <v>2</v>
      </c>
      <c r="E221">
        <v>1008</v>
      </c>
      <c r="F221" t="b">
        <v>1</v>
      </c>
      <c r="G221">
        <v>67.908000000000001</v>
      </c>
      <c r="H221">
        <v>21</v>
      </c>
      <c r="I221">
        <v>0</v>
      </c>
      <c r="J221">
        <v>0</v>
      </c>
      <c r="K221" t="s">
        <v>1858</v>
      </c>
      <c r="L221">
        <v>0</v>
      </c>
      <c r="N221" t="s">
        <v>1859</v>
      </c>
      <c r="O221" t="s">
        <v>1860</v>
      </c>
      <c r="P221" t="s">
        <v>20</v>
      </c>
      <c r="Q221">
        <f t="shared" si="9"/>
        <v>191.60100007429719</v>
      </c>
      <c r="R221">
        <f t="shared" si="10"/>
        <v>0</v>
      </c>
      <c r="S221">
        <f t="shared" si="11"/>
        <v>0.30924191553277963</v>
      </c>
    </row>
    <row r="222" spans="1:19" x14ac:dyDescent="0.2">
      <c r="A222">
        <v>35</v>
      </c>
      <c r="B222" t="s">
        <v>21</v>
      </c>
      <c r="C222">
        <v>2</v>
      </c>
      <c r="D222">
        <v>2</v>
      </c>
      <c r="E222">
        <v>1008</v>
      </c>
      <c r="F222" t="b">
        <v>1</v>
      </c>
      <c r="G222">
        <v>117.048</v>
      </c>
      <c r="H222">
        <v>24</v>
      </c>
      <c r="I222">
        <v>6</v>
      </c>
      <c r="J222">
        <v>1.26</v>
      </c>
      <c r="K222" t="s">
        <v>1867</v>
      </c>
      <c r="L222">
        <v>0</v>
      </c>
      <c r="N222" t="s">
        <v>1868</v>
      </c>
      <c r="O222" t="s">
        <v>1869</v>
      </c>
      <c r="P222" t="s">
        <v>20</v>
      </c>
      <c r="Q222">
        <f t="shared" si="9"/>
        <v>260.01899989787489</v>
      </c>
      <c r="R222">
        <f t="shared" si="10"/>
        <v>5.1261021119540701E-2</v>
      </c>
      <c r="S222">
        <f t="shared" si="11"/>
        <v>0.2050440844781628</v>
      </c>
    </row>
    <row r="223" spans="1:19" x14ac:dyDescent="0.2">
      <c r="A223">
        <v>38</v>
      </c>
      <c r="B223" t="s">
        <v>21</v>
      </c>
      <c r="C223">
        <v>5</v>
      </c>
      <c r="D223">
        <v>2</v>
      </c>
      <c r="E223">
        <v>1008</v>
      </c>
      <c r="F223" t="b">
        <v>1</v>
      </c>
      <c r="G223">
        <v>64.5</v>
      </c>
      <c r="H223">
        <v>24</v>
      </c>
      <c r="I223">
        <v>3</v>
      </c>
      <c r="J223">
        <v>0.24</v>
      </c>
      <c r="K223" t="s">
        <v>1876</v>
      </c>
      <c r="L223">
        <v>0</v>
      </c>
      <c r="N223" t="s">
        <v>1877</v>
      </c>
      <c r="O223" t="s">
        <v>1878</v>
      </c>
      <c r="P223" t="s">
        <v>20</v>
      </c>
      <c r="Q223">
        <f t="shared" si="9"/>
        <v>167.73400017991662</v>
      </c>
      <c r="R223">
        <f t="shared" si="10"/>
        <v>4.6511627906976744E-2</v>
      </c>
      <c r="S223">
        <f t="shared" si="11"/>
        <v>0.37209302325581395</v>
      </c>
    </row>
    <row r="224" spans="1:19" hidden="1" x14ac:dyDescent="0.2">
      <c r="A224">
        <v>41</v>
      </c>
      <c r="B224" t="s">
        <v>21</v>
      </c>
      <c r="C224">
        <v>10</v>
      </c>
      <c r="D224">
        <v>2</v>
      </c>
      <c r="E224">
        <v>1008</v>
      </c>
      <c r="F224" t="b">
        <v>1</v>
      </c>
      <c r="G224">
        <v>59.192</v>
      </c>
      <c r="H224">
        <v>23</v>
      </c>
      <c r="I224">
        <v>9</v>
      </c>
      <c r="J224">
        <v>2.16</v>
      </c>
      <c r="K224" t="s">
        <v>1885</v>
      </c>
      <c r="L224">
        <v>0</v>
      </c>
      <c r="N224" t="s">
        <v>1886</v>
      </c>
      <c r="O224" t="s">
        <v>1887</v>
      </c>
      <c r="P224" t="s">
        <v>20</v>
      </c>
      <c r="Q224">
        <f t="shared" si="9"/>
        <v>163.69100008159876</v>
      </c>
      <c r="R224">
        <f t="shared" si="10"/>
        <v>0.15204757399648602</v>
      </c>
      <c r="S224">
        <f t="shared" si="11"/>
        <v>0.38856602243546423</v>
      </c>
    </row>
    <row r="225" spans="1:19" hidden="1" x14ac:dyDescent="0.2">
      <c r="A225">
        <v>44</v>
      </c>
      <c r="B225" t="s">
        <v>21</v>
      </c>
      <c r="C225">
        <v>15</v>
      </c>
      <c r="D225">
        <v>2</v>
      </c>
      <c r="E225">
        <v>1008</v>
      </c>
      <c r="F225" t="b">
        <v>1</v>
      </c>
      <c r="G225">
        <v>97.207999999999998</v>
      </c>
      <c r="H225">
        <v>22</v>
      </c>
      <c r="I225">
        <v>10</v>
      </c>
      <c r="J225">
        <v>2.1</v>
      </c>
      <c r="K225" t="s">
        <v>1894</v>
      </c>
      <c r="L225">
        <v>0</v>
      </c>
      <c r="N225" t="s">
        <v>1895</v>
      </c>
      <c r="O225" t="s">
        <v>1896</v>
      </c>
      <c r="P225" t="s">
        <v>20</v>
      </c>
      <c r="Q225">
        <f t="shared" si="9"/>
        <v>297.74800026789308</v>
      </c>
      <c r="R225">
        <f t="shared" si="10"/>
        <v>0.10287219158916962</v>
      </c>
      <c r="S225">
        <f t="shared" si="11"/>
        <v>0.22631882149617316</v>
      </c>
    </row>
    <row r="226" spans="1:19" hidden="1" x14ac:dyDescent="0.2">
      <c r="A226">
        <v>47</v>
      </c>
      <c r="B226" t="s">
        <v>21</v>
      </c>
      <c r="C226">
        <v>20</v>
      </c>
      <c r="D226">
        <v>2</v>
      </c>
      <c r="E226">
        <v>1008</v>
      </c>
      <c r="F226" t="b">
        <v>1</v>
      </c>
      <c r="G226">
        <v>102.42</v>
      </c>
      <c r="H226">
        <v>25</v>
      </c>
      <c r="I226">
        <v>9</v>
      </c>
      <c r="J226">
        <v>3.6</v>
      </c>
      <c r="K226" t="s">
        <v>1903</v>
      </c>
      <c r="L226">
        <v>0</v>
      </c>
      <c r="N226" t="s">
        <v>1904</v>
      </c>
      <c r="O226" t="s">
        <v>1905</v>
      </c>
      <c r="P226" t="s">
        <v>20</v>
      </c>
      <c r="Q226">
        <f t="shared" si="9"/>
        <v>321.44799996167421</v>
      </c>
      <c r="R226">
        <f t="shared" si="10"/>
        <v>8.7873462214411252E-2</v>
      </c>
      <c r="S226">
        <f t="shared" si="11"/>
        <v>0.24409295059558681</v>
      </c>
    </row>
    <row r="227" spans="1:19" hidden="1" x14ac:dyDescent="0.2">
      <c r="A227">
        <v>50</v>
      </c>
      <c r="B227" t="s">
        <v>21</v>
      </c>
      <c r="C227">
        <v>50</v>
      </c>
      <c r="D227">
        <v>2</v>
      </c>
      <c r="E227">
        <v>1008</v>
      </c>
      <c r="F227" t="b">
        <v>1</v>
      </c>
      <c r="G227">
        <v>80.296000000000006</v>
      </c>
      <c r="H227">
        <v>22</v>
      </c>
      <c r="I227">
        <v>15</v>
      </c>
      <c r="J227">
        <v>2.34</v>
      </c>
      <c r="K227" t="s">
        <v>1912</v>
      </c>
      <c r="L227">
        <v>0</v>
      </c>
      <c r="N227" t="s">
        <v>1913</v>
      </c>
      <c r="O227" t="s">
        <v>1914</v>
      </c>
      <c r="P227" t="s">
        <v>20</v>
      </c>
      <c r="Q227">
        <f t="shared" si="9"/>
        <v>205.77100028749555</v>
      </c>
      <c r="R227">
        <f t="shared" si="10"/>
        <v>0.18680880741257347</v>
      </c>
      <c r="S227">
        <f t="shared" si="11"/>
        <v>0.27398625087177442</v>
      </c>
    </row>
    <row r="228" spans="1:19" hidden="1" x14ac:dyDescent="0.2">
      <c r="A228">
        <v>53</v>
      </c>
      <c r="B228" t="s">
        <v>21</v>
      </c>
      <c r="C228">
        <v>70</v>
      </c>
      <c r="D228">
        <v>2</v>
      </c>
      <c r="E228">
        <v>1008</v>
      </c>
      <c r="F228" t="b">
        <v>1</v>
      </c>
      <c r="G228">
        <v>67.436000000000007</v>
      </c>
      <c r="H228">
        <v>27</v>
      </c>
      <c r="I228">
        <v>4</v>
      </c>
      <c r="J228">
        <v>0.48</v>
      </c>
      <c r="K228" t="s">
        <v>1921</v>
      </c>
      <c r="L228">
        <v>0</v>
      </c>
      <c r="N228" t="s">
        <v>1922</v>
      </c>
      <c r="O228" t="s">
        <v>1923</v>
      </c>
      <c r="P228" t="s">
        <v>20</v>
      </c>
      <c r="Q228">
        <f t="shared" si="9"/>
        <v>181.98700009379536</v>
      </c>
      <c r="R228">
        <f t="shared" si="10"/>
        <v>5.931549913992526E-2</v>
      </c>
      <c r="S228">
        <f t="shared" si="11"/>
        <v>0.4003796191944955</v>
      </c>
    </row>
    <row r="229" spans="1:19" x14ac:dyDescent="0.2">
      <c r="A229">
        <v>30</v>
      </c>
      <c r="B229" t="s">
        <v>25</v>
      </c>
      <c r="C229">
        <v>-1</v>
      </c>
      <c r="D229">
        <v>2</v>
      </c>
      <c r="E229">
        <v>1008</v>
      </c>
      <c r="F229" t="b">
        <v>1</v>
      </c>
      <c r="G229">
        <v>40.948</v>
      </c>
      <c r="H229">
        <v>25</v>
      </c>
      <c r="I229">
        <v>3</v>
      </c>
      <c r="J229">
        <v>1.56</v>
      </c>
      <c r="K229" t="s">
        <v>1852</v>
      </c>
      <c r="L229">
        <v>0</v>
      </c>
      <c r="N229" t="s">
        <v>1853</v>
      </c>
      <c r="O229" t="s">
        <v>1854</v>
      </c>
      <c r="P229" t="s">
        <v>20</v>
      </c>
      <c r="Q229">
        <f t="shared" si="9"/>
        <v>161.75000024959445</v>
      </c>
      <c r="R229">
        <f t="shared" si="10"/>
        <v>7.3263651460388782E-2</v>
      </c>
      <c r="S229">
        <f t="shared" si="11"/>
        <v>0.61053042883657316</v>
      </c>
    </row>
    <row r="230" spans="1:19" x14ac:dyDescent="0.2">
      <c r="A230">
        <v>33</v>
      </c>
      <c r="B230" t="s">
        <v>25</v>
      </c>
      <c r="C230">
        <v>0</v>
      </c>
      <c r="D230">
        <v>2</v>
      </c>
      <c r="E230">
        <v>1008</v>
      </c>
      <c r="F230" t="b">
        <v>1</v>
      </c>
      <c r="G230">
        <v>60.027999999999999</v>
      </c>
      <c r="H230">
        <v>28</v>
      </c>
      <c r="I230">
        <v>1</v>
      </c>
      <c r="J230">
        <v>0.06</v>
      </c>
      <c r="K230" t="s">
        <v>1861</v>
      </c>
      <c r="L230">
        <v>0</v>
      </c>
      <c r="N230" t="s">
        <v>1862</v>
      </c>
      <c r="O230" t="s">
        <v>1863</v>
      </c>
      <c r="P230" t="s">
        <v>20</v>
      </c>
      <c r="Q230">
        <f t="shared" si="9"/>
        <v>145.58599996380508</v>
      </c>
      <c r="R230">
        <f t="shared" si="10"/>
        <v>1.6658892516825483E-2</v>
      </c>
      <c r="S230">
        <f t="shared" si="11"/>
        <v>0.46644899047111349</v>
      </c>
    </row>
    <row r="231" spans="1:19" x14ac:dyDescent="0.2">
      <c r="A231">
        <v>36</v>
      </c>
      <c r="B231" t="s">
        <v>25</v>
      </c>
      <c r="C231">
        <v>2</v>
      </c>
      <c r="D231">
        <v>2</v>
      </c>
      <c r="E231">
        <v>1008</v>
      </c>
      <c r="F231" t="b">
        <v>1</v>
      </c>
      <c r="G231">
        <v>43.851999999999997</v>
      </c>
      <c r="H231">
        <v>30</v>
      </c>
      <c r="I231">
        <v>3</v>
      </c>
      <c r="J231">
        <v>1.02</v>
      </c>
      <c r="K231" t="s">
        <v>1870</v>
      </c>
      <c r="L231">
        <v>0</v>
      </c>
      <c r="N231" t="s">
        <v>1871</v>
      </c>
      <c r="O231" t="s">
        <v>1872</v>
      </c>
      <c r="P231" t="s">
        <v>20</v>
      </c>
      <c r="Q231">
        <f t="shared" si="9"/>
        <v>85.538999922573566</v>
      </c>
      <c r="R231">
        <f t="shared" si="10"/>
        <v>6.8411931040773519E-2</v>
      </c>
      <c r="S231">
        <f t="shared" si="11"/>
        <v>0.68411931040773521</v>
      </c>
    </row>
    <row r="232" spans="1:19" x14ac:dyDescent="0.2">
      <c r="A232">
        <v>39</v>
      </c>
      <c r="B232" t="s">
        <v>25</v>
      </c>
      <c r="C232">
        <v>5</v>
      </c>
      <c r="D232">
        <v>2</v>
      </c>
      <c r="E232">
        <v>1008</v>
      </c>
      <c r="F232" t="b">
        <v>1</v>
      </c>
      <c r="G232">
        <v>59.28</v>
      </c>
      <c r="H232">
        <v>29</v>
      </c>
      <c r="I232">
        <v>3</v>
      </c>
      <c r="J232">
        <v>1.8</v>
      </c>
      <c r="K232" t="s">
        <v>1879</v>
      </c>
      <c r="L232">
        <v>0</v>
      </c>
      <c r="N232" t="s">
        <v>1880</v>
      </c>
      <c r="O232" t="s">
        <v>1881</v>
      </c>
      <c r="P232" t="s">
        <v>20</v>
      </c>
      <c r="Q232">
        <f t="shared" si="9"/>
        <v>149.62499937973917</v>
      </c>
      <c r="R232">
        <f t="shared" si="10"/>
        <v>5.0607287449392711E-2</v>
      </c>
      <c r="S232">
        <f t="shared" si="11"/>
        <v>0.4892037786774629</v>
      </c>
    </row>
    <row r="233" spans="1:19" hidden="1" x14ac:dyDescent="0.2">
      <c r="A233">
        <v>42</v>
      </c>
      <c r="B233" t="s">
        <v>25</v>
      </c>
      <c r="C233">
        <v>10</v>
      </c>
      <c r="D233">
        <v>2</v>
      </c>
      <c r="E233">
        <v>1008</v>
      </c>
      <c r="F233" t="b">
        <v>1</v>
      </c>
      <c r="G233">
        <v>48.404000000000003</v>
      </c>
      <c r="H233">
        <v>29</v>
      </c>
      <c r="I233">
        <v>7</v>
      </c>
      <c r="J233">
        <v>1.38</v>
      </c>
      <c r="K233" t="s">
        <v>1888</v>
      </c>
      <c r="L233">
        <v>0</v>
      </c>
      <c r="N233" t="s">
        <v>1889</v>
      </c>
      <c r="O233" t="s">
        <v>1890</v>
      </c>
      <c r="P233" t="s">
        <v>20</v>
      </c>
      <c r="Q233">
        <f t="shared" si="9"/>
        <v>166.09199980739504</v>
      </c>
      <c r="R233">
        <f t="shared" si="10"/>
        <v>0.14461614742583256</v>
      </c>
      <c r="S233">
        <f t="shared" si="11"/>
        <v>0.59912403933559211</v>
      </c>
    </row>
    <row r="234" spans="1:19" hidden="1" x14ac:dyDescent="0.2">
      <c r="A234">
        <v>45</v>
      </c>
      <c r="B234" t="s">
        <v>25</v>
      </c>
      <c r="C234">
        <v>15</v>
      </c>
      <c r="D234">
        <v>2</v>
      </c>
      <c r="E234">
        <v>1008</v>
      </c>
      <c r="F234" t="b">
        <v>1</v>
      </c>
      <c r="G234">
        <v>49.851999999999997</v>
      </c>
      <c r="H234">
        <v>27</v>
      </c>
      <c r="I234">
        <v>9</v>
      </c>
      <c r="J234">
        <v>2.46</v>
      </c>
      <c r="K234" t="s">
        <v>1897</v>
      </c>
      <c r="L234">
        <v>0</v>
      </c>
      <c r="N234" t="s">
        <v>1898</v>
      </c>
      <c r="O234" t="s">
        <v>1899</v>
      </c>
      <c r="P234" t="s">
        <v>20</v>
      </c>
      <c r="Q234">
        <f t="shared" si="9"/>
        <v>246.98700020089746</v>
      </c>
      <c r="R234">
        <f t="shared" si="10"/>
        <v>0.18053438177003933</v>
      </c>
      <c r="S234">
        <f t="shared" si="11"/>
        <v>0.54160314531011799</v>
      </c>
    </row>
    <row r="235" spans="1:19" hidden="1" x14ac:dyDescent="0.2">
      <c r="A235">
        <v>48</v>
      </c>
      <c r="B235" t="s">
        <v>25</v>
      </c>
      <c r="C235">
        <v>20</v>
      </c>
      <c r="D235">
        <v>2</v>
      </c>
      <c r="E235">
        <v>1008</v>
      </c>
      <c r="F235" t="b">
        <v>1</v>
      </c>
      <c r="G235">
        <v>37.392000000000003</v>
      </c>
      <c r="H235">
        <v>29</v>
      </c>
      <c r="I235">
        <v>4</v>
      </c>
      <c r="J235">
        <v>1.44</v>
      </c>
      <c r="K235" t="s">
        <v>1906</v>
      </c>
      <c r="L235">
        <v>0</v>
      </c>
      <c r="N235" t="s">
        <v>1907</v>
      </c>
      <c r="O235" t="s">
        <v>1908</v>
      </c>
      <c r="P235" t="s">
        <v>20</v>
      </c>
      <c r="Q235">
        <f t="shared" si="9"/>
        <v>142.69199974369258</v>
      </c>
      <c r="R235">
        <f t="shared" si="10"/>
        <v>0.10697475395806588</v>
      </c>
      <c r="S235">
        <f t="shared" si="11"/>
        <v>0.77556696619597765</v>
      </c>
    </row>
    <row r="236" spans="1:19" hidden="1" x14ac:dyDescent="0.2">
      <c r="A236">
        <v>51</v>
      </c>
      <c r="B236" t="s">
        <v>25</v>
      </c>
      <c r="C236">
        <v>50</v>
      </c>
      <c r="D236">
        <v>2</v>
      </c>
      <c r="E236">
        <v>1008</v>
      </c>
      <c r="F236" t="b">
        <v>1</v>
      </c>
      <c r="G236">
        <v>47.84</v>
      </c>
      <c r="H236">
        <v>25</v>
      </c>
      <c r="I236">
        <v>12</v>
      </c>
      <c r="J236">
        <v>2.2799999999999998</v>
      </c>
      <c r="K236" t="s">
        <v>1915</v>
      </c>
      <c r="L236">
        <v>0</v>
      </c>
      <c r="N236" t="s">
        <v>1916</v>
      </c>
      <c r="O236" t="s">
        <v>1917</v>
      </c>
      <c r="P236" t="s">
        <v>20</v>
      </c>
      <c r="Q236">
        <f t="shared" si="9"/>
        <v>101.5710003208369</v>
      </c>
      <c r="R236">
        <f t="shared" si="10"/>
        <v>0.25083612040133779</v>
      </c>
      <c r="S236">
        <f t="shared" si="11"/>
        <v>0.52257525083612033</v>
      </c>
    </row>
    <row r="237" spans="1:19" hidden="1" x14ac:dyDescent="0.2">
      <c r="A237">
        <v>54</v>
      </c>
      <c r="B237" t="s">
        <v>25</v>
      </c>
      <c r="C237">
        <v>70</v>
      </c>
      <c r="D237">
        <v>2</v>
      </c>
      <c r="E237">
        <v>1008</v>
      </c>
      <c r="F237" t="b">
        <v>1</v>
      </c>
      <c r="G237">
        <v>51.235999999999997</v>
      </c>
      <c r="H237">
        <v>28</v>
      </c>
      <c r="I237">
        <v>4</v>
      </c>
      <c r="J237">
        <v>3.48</v>
      </c>
      <c r="K237" t="s">
        <v>1924</v>
      </c>
      <c r="L237">
        <v>0</v>
      </c>
      <c r="N237" t="s">
        <v>1925</v>
      </c>
      <c r="O237" t="s">
        <v>1926</v>
      </c>
      <c r="P237" t="s">
        <v>20</v>
      </c>
      <c r="Q237">
        <f t="shared" si="9"/>
        <v>128.71599993668497</v>
      </c>
      <c r="R237">
        <f t="shared" si="10"/>
        <v>7.8070106956046534E-2</v>
      </c>
      <c r="S237">
        <f t="shared" si="11"/>
        <v>0.54649074869232572</v>
      </c>
    </row>
    <row r="238" spans="1:19" x14ac:dyDescent="0.2">
      <c r="A238">
        <v>28</v>
      </c>
      <c r="B238" t="s">
        <v>16</v>
      </c>
      <c r="C238">
        <v>-1</v>
      </c>
      <c r="D238">
        <v>2</v>
      </c>
      <c r="E238">
        <v>1008</v>
      </c>
      <c r="F238" t="b">
        <v>1</v>
      </c>
      <c r="G238">
        <v>69.963999999999999</v>
      </c>
      <c r="H238">
        <v>23</v>
      </c>
      <c r="I238">
        <v>9</v>
      </c>
      <c r="J238">
        <v>12.12</v>
      </c>
      <c r="K238" t="s">
        <v>1846</v>
      </c>
      <c r="L238">
        <v>0</v>
      </c>
      <c r="N238" t="s">
        <v>1847</v>
      </c>
      <c r="O238" t="s">
        <v>1848</v>
      </c>
      <c r="P238" t="s">
        <v>20</v>
      </c>
      <c r="Q238">
        <f t="shared" si="9"/>
        <v>139.53100049402565</v>
      </c>
      <c r="R238">
        <f t="shared" si="10"/>
        <v>0.12863758504373679</v>
      </c>
      <c r="S238">
        <f t="shared" si="11"/>
        <v>0.32874049511177178</v>
      </c>
    </row>
    <row r="239" spans="1:19" x14ac:dyDescent="0.2">
      <c r="A239">
        <v>31</v>
      </c>
      <c r="B239" t="s">
        <v>16</v>
      </c>
      <c r="C239">
        <v>0</v>
      </c>
      <c r="D239">
        <v>2</v>
      </c>
      <c r="E239">
        <v>1008</v>
      </c>
      <c r="F239" t="b">
        <v>1</v>
      </c>
      <c r="G239">
        <v>109.78</v>
      </c>
      <c r="H239">
        <v>23</v>
      </c>
      <c r="I239">
        <v>2</v>
      </c>
      <c r="J239">
        <v>0.84</v>
      </c>
      <c r="K239" t="s">
        <v>1855</v>
      </c>
      <c r="L239">
        <v>0</v>
      </c>
      <c r="N239" t="s">
        <v>1856</v>
      </c>
      <c r="O239" t="s">
        <v>1857</v>
      </c>
      <c r="P239" t="s">
        <v>20</v>
      </c>
      <c r="Q239">
        <f t="shared" si="9"/>
        <v>289.82299987692386</v>
      </c>
      <c r="R239">
        <f t="shared" si="10"/>
        <v>1.8218254691200583E-2</v>
      </c>
      <c r="S239">
        <f t="shared" si="11"/>
        <v>0.20950992894880671</v>
      </c>
    </row>
    <row r="240" spans="1:19" x14ac:dyDescent="0.2">
      <c r="A240">
        <v>34</v>
      </c>
      <c r="B240" t="s">
        <v>16</v>
      </c>
      <c r="C240">
        <v>2</v>
      </c>
      <c r="D240">
        <v>2</v>
      </c>
      <c r="E240">
        <v>1008</v>
      </c>
      <c r="F240" t="b">
        <v>1</v>
      </c>
      <c r="G240">
        <v>127.996</v>
      </c>
      <c r="H240">
        <v>22</v>
      </c>
      <c r="I240">
        <v>5</v>
      </c>
      <c r="J240">
        <v>1.74</v>
      </c>
      <c r="K240" t="s">
        <v>1864</v>
      </c>
      <c r="L240">
        <v>0</v>
      </c>
      <c r="N240" t="s">
        <v>1865</v>
      </c>
      <c r="O240" t="s">
        <v>1866</v>
      </c>
      <c r="P240" t="s">
        <v>20</v>
      </c>
      <c r="Q240">
        <f t="shared" si="9"/>
        <v>260.72699998039752</v>
      </c>
      <c r="R240">
        <f t="shared" si="10"/>
        <v>3.9063720741273164E-2</v>
      </c>
      <c r="S240">
        <f t="shared" si="11"/>
        <v>0.17188037126160194</v>
      </c>
    </row>
    <row r="241" spans="1:19" x14ac:dyDescent="0.2">
      <c r="A241">
        <v>37</v>
      </c>
      <c r="B241" t="s">
        <v>16</v>
      </c>
      <c r="C241">
        <v>5</v>
      </c>
      <c r="D241">
        <v>2</v>
      </c>
      <c r="E241">
        <v>1008</v>
      </c>
      <c r="F241" t="b">
        <v>1</v>
      </c>
      <c r="G241">
        <v>100.21599999999999</v>
      </c>
      <c r="H241">
        <v>19</v>
      </c>
      <c r="I241">
        <v>6</v>
      </c>
      <c r="J241">
        <v>3.12</v>
      </c>
      <c r="K241" t="s">
        <v>1873</v>
      </c>
      <c r="L241">
        <v>0</v>
      </c>
      <c r="N241" t="s">
        <v>1874</v>
      </c>
      <c r="O241" t="s">
        <v>1875</v>
      </c>
      <c r="P241" t="s">
        <v>20</v>
      </c>
      <c r="Q241">
        <f t="shared" si="9"/>
        <v>260.83300046157092</v>
      </c>
      <c r="R241">
        <f t="shared" si="10"/>
        <v>5.9870679332641501E-2</v>
      </c>
      <c r="S241">
        <f t="shared" si="11"/>
        <v>0.18959048455336475</v>
      </c>
    </row>
    <row r="242" spans="1:19" hidden="1" x14ac:dyDescent="0.2">
      <c r="A242">
        <v>40</v>
      </c>
      <c r="B242" t="s">
        <v>16</v>
      </c>
      <c r="C242">
        <v>10</v>
      </c>
      <c r="D242">
        <v>2</v>
      </c>
      <c r="E242">
        <v>1008</v>
      </c>
      <c r="F242" t="b">
        <v>1</v>
      </c>
      <c r="G242">
        <v>118.22</v>
      </c>
      <c r="H242">
        <v>27</v>
      </c>
      <c r="I242">
        <v>14</v>
      </c>
      <c r="J242">
        <v>3.06</v>
      </c>
      <c r="K242" t="s">
        <v>1882</v>
      </c>
      <c r="L242">
        <v>0</v>
      </c>
      <c r="N242" t="s">
        <v>1883</v>
      </c>
      <c r="O242" t="s">
        <v>1884</v>
      </c>
      <c r="P242" t="s">
        <v>20</v>
      </c>
      <c r="Q242">
        <f t="shared" si="9"/>
        <v>285.59599982108921</v>
      </c>
      <c r="R242">
        <f t="shared" si="10"/>
        <v>0.11842327863305702</v>
      </c>
      <c r="S242">
        <f t="shared" si="11"/>
        <v>0.22838775164946709</v>
      </c>
    </row>
    <row r="243" spans="1:19" hidden="1" x14ac:dyDescent="0.2">
      <c r="A243">
        <v>43</v>
      </c>
      <c r="B243" t="s">
        <v>16</v>
      </c>
      <c r="C243">
        <v>15</v>
      </c>
      <c r="D243">
        <v>2</v>
      </c>
      <c r="E243">
        <v>1008</v>
      </c>
      <c r="F243" t="b">
        <v>1</v>
      </c>
      <c r="G243">
        <v>86.963999999999999</v>
      </c>
      <c r="H243">
        <v>22</v>
      </c>
      <c r="I243">
        <v>7</v>
      </c>
      <c r="J243">
        <v>2.64</v>
      </c>
      <c r="K243" t="s">
        <v>1891</v>
      </c>
      <c r="L243">
        <v>0</v>
      </c>
      <c r="N243" t="s">
        <v>1892</v>
      </c>
      <c r="O243" t="s">
        <v>1893</v>
      </c>
      <c r="P243" t="s">
        <v>20</v>
      </c>
      <c r="Q243">
        <f t="shared" si="9"/>
        <v>174.49399984907359</v>
      </c>
      <c r="R243">
        <f t="shared" si="10"/>
        <v>8.0493077595326798E-2</v>
      </c>
      <c r="S243">
        <f t="shared" si="11"/>
        <v>0.25297824387102708</v>
      </c>
    </row>
    <row r="244" spans="1:19" hidden="1" x14ac:dyDescent="0.2">
      <c r="A244">
        <v>46</v>
      </c>
      <c r="B244" t="s">
        <v>16</v>
      </c>
      <c r="C244">
        <v>20</v>
      </c>
      <c r="D244">
        <v>2</v>
      </c>
      <c r="E244">
        <v>1008</v>
      </c>
      <c r="F244" t="b">
        <v>1</v>
      </c>
      <c r="G244">
        <v>65.296000000000006</v>
      </c>
      <c r="H244">
        <v>25</v>
      </c>
      <c r="I244">
        <v>4</v>
      </c>
      <c r="J244">
        <v>0.42</v>
      </c>
      <c r="K244" t="s">
        <v>1900</v>
      </c>
      <c r="L244">
        <v>0</v>
      </c>
      <c r="N244" t="s">
        <v>1901</v>
      </c>
      <c r="O244" t="s">
        <v>1902</v>
      </c>
      <c r="P244" t="s">
        <v>20</v>
      </c>
      <c r="Q244">
        <f t="shared" si="9"/>
        <v>207.50399983953685</v>
      </c>
      <c r="R244">
        <f t="shared" si="10"/>
        <v>6.1259495221759365E-2</v>
      </c>
      <c r="S244">
        <f t="shared" si="11"/>
        <v>0.38287184513599604</v>
      </c>
    </row>
    <row r="245" spans="1:19" hidden="1" x14ac:dyDescent="0.2">
      <c r="A245">
        <v>49</v>
      </c>
      <c r="B245" t="s">
        <v>16</v>
      </c>
      <c r="C245">
        <v>50</v>
      </c>
      <c r="D245">
        <v>2</v>
      </c>
      <c r="E245">
        <v>1008</v>
      </c>
      <c r="F245" t="b">
        <v>1</v>
      </c>
      <c r="G245">
        <v>90.647999999999996</v>
      </c>
      <c r="H245">
        <v>25</v>
      </c>
      <c r="I245">
        <v>15</v>
      </c>
      <c r="J245">
        <v>2.82</v>
      </c>
      <c r="K245" t="s">
        <v>1909</v>
      </c>
      <c r="L245">
        <v>0</v>
      </c>
      <c r="N245" t="s">
        <v>1910</v>
      </c>
      <c r="O245" t="s">
        <v>1911</v>
      </c>
      <c r="P245" t="s">
        <v>20</v>
      </c>
      <c r="Q245">
        <f t="shared" si="9"/>
        <v>163.95000026095659</v>
      </c>
      <c r="R245">
        <f t="shared" si="10"/>
        <v>0.16547524490336246</v>
      </c>
      <c r="S245">
        <f t="shared" si="11"/>
        <v>0.27579207483893742</v>
      </c>
    </row>
    <row r="246" spans="1:19" hidden="1" x14ac:dyDescent="0.2">
      <c r="A246">
        <v>52</v>
      </c>
      <c r="B246" t="s">
        <v>16</v>
      </c>
      <c r="C246">
        <v>70</v>
      </c>
      <c r="D246">
        <v>2</v>
      </c>
      <c r="E246">
        <v>1008</v>
      </c>
      <c r="F246" t="b">
        <v>1</v>
      </c>
      <c r="G246">
        <v>90.195999999999998</v>
      </c>
      <c r="H246">
        <v>23</v>
      </c>
      <c r="I246">
        <v>25</v>
      </c>
      <c r="J246">
        <v>4.38</v>
      </c>
      <c r="K246" t="s">
        <v>1918</v>
      </c>
      <c r="L246">
        <v>0</v>
      </c>
      <c r="N246" t="s">
        <v>1919</v>
      </c>
      <c r="O246" t="s">
        <v>1920</v>
      </c>
      <c r="P246" t="s">
        <v>20</v>
      </c>
      <c r="Q246">
        <f t="shared" si="9"/>
        <v>271.2789996759966</v>
      </c>
      <c r="R246">
        <f t="shared" si="10"/>
        <v>0.27717415406448181</v>
      </c>
      <c r="S246">
        <f t="shared" si="11"/>
        <v>0.25500022173932324</v>
      </c>
    </row>
    <row r="247" spans="1:19" x14ac:dyDescent="0.2">
      <c r="A247">
        <v>56</v>
      </c>
      <c r="B247" t="s">
        <v>21</v>
      </c>
      <c r="C247">
        <v>-1</v>
      </c>
      <c r="D247">
        <v>3</v>
      </c>
      <c r="E247">
        <v>1009</v>
      </c>
      <c r="F247" t="b">
        <v>1</v>
      </c>
      <c r="G247">
        <v>48.34</v>
      </c>
      <c r="H247">
        <v>26</v>
      </c>
      <c r="I247">
        <v>7</v>
      </c>
      <c r="J247">
        <v>5.4</v>
      </c>
      <c r="K247" t="s">
        <v>1930</v>
      </c>
      <c r="L247">
        <v>0</v>
      </c>
      <c r="N247" t="s">
        <v>1931</v>
      </c>
      <c r="O247" t="s">
        <v>1932</v>
      </c>
      <c r="P247" t="s">
        <v>20</v>
      </c>
      <c r="Q247">
        <f t="shared" si="9"/>
        <v>120.20800004247576</v>
      </c>
      <c r="R247">
        <f t="shared" si="10"/>
        <v>0.14480761274306991</v>
      </c>
      <c r="S247">
        <f t="shared" si="11"/>
        <v>0.53785684733140249</v>
      </c>
    </row>
    <row r="248" spans="1:19" x14ac:dyDescent="0.2">
      <c r="A248">
        <v>59</v>
      </c>
      <c r="B248" t="s">
        <v>21</v>
      </c>
      <c r="C248">
        <v>0</v>
      </c>
      <c r="D248">
        <v>3</v>
      </c>
      <c r="E248">
        <v>1009</v>
      </c>
      <c r="F248" t="b">
        <v>1</v>
      </c>
      <c r="G248">
        <v>81.34</v>
      </c>
      <c r="H248">
        <v>24</v>
      </c>
      <c r="I248">
        <v>2</v>
      </c>
      <c r="J248">
        <v>0.54</v>
      </c>
      <c r="K248" t="s">
        <v>1939</v>
      </c>
      <c r="L248">
        <v>0</v>
      </c>
      <c r="N248" t="s">
        <v>1940</v>
      </c>
      <c r="O248" t="s">
        <v>1941</v>
      </c>
      <c r="P248" t="s">
        <v>20</v>
      </c>
      <c r="Q248">
        <f t="shared" si="9"/>
        <v>182.17100005131215</v>
      </c>
      <c r="R248">
        <f t="shared" si="10"/>
        <v>2.4588148512417012E-2</v>
      </c>
      <c r="S248">
        <f t="shared" si="11"/>
        <v>0.29505778214900419</v>
      </c>
    </row>
    <row r="249" spans="1:19" x14ac:dyDescent="0.2">
      <c r="A249">
        <v>62</v>
      </c>
      <c r="B249" t="s">
        <v>21</v>
      </c>
      <c r="C249">
        <v>2</v>
      </c>
      <c r="D249">
        <v>3</v>
      </c>
      <c r="E249">
        <v>1009</v>
      </c>
      <c r="F249" t="b">
        <v>1</v>
      </c>
      <c r="G249">
        <v>47.28</v>
      </c>
      <c r="H249">
        <v>24</v>
      </c>
      <c r="I249">
        <v>1</v>
      </c>
      <c r="J249">
        <v>0.48</v>
      </c>
      <c r="K249" t="s">
        <v>1948</v>
      </c>
      <c r="L249">
        <v>0</v>
      </c>
      <c r="N249" t="s">
        <v>1949</v>
      </c>
      <c r="O249" t="s">
        <v>1950</v>
      </c>
      <c r="P249" t="s">
        <v>20</v>
      </c>
      <c r="Q249">
        <f t="shared" si="9"/>
        <v>123.41000000014901</v>
      </c>
      <c r="R249">
        <f t="shared" si="10"/>
        <v>2.1150592216582064E-2</v>
      </c>
      <c r="S249">
        <f t="shared" si="11"/>
        <v>0.50761421319796951</v>
      </c>
    </row>
    <row r="250" spans="1:19" x14ac:dyDescent="0.2">
      <c r="A250">
        <v>65</v>
      </c>
      <c r="B250" t="s">
        <v>21</v>
      </c>
      <c r="C250">
        <v>5</v>
      </c>
      <c r="D250">
        <v>3</v>
      </c>
      <c r="E250">
        <v>1009</v>
      </c>
      <c r="F250" t="b">
        <v>1</v>
      </c>
      <c r="G250">
        <v>46.944000000000003</v>
      </c>
      <c r="H250">
        <v>24</v>
      </c>
      <c r="I250">
        <v>1</v>
      </c>
      <c r="J250">
        <v>0.06</v>
      </c>
      <c r="K250" t="s">
        <v>1957</v>
      </c>
      <c r="L250">
        <v>0</v>
      </c>
      <c r="N250" t="s">
        <v>1958</v>
      </c>
      <c r="O250" t="s">
        <v>1959</v>
      </c>
      <c r="P250" t="s">
        <v>20</v>
      </c>
      <c r="Q250">
        <f t="shared" si="9"/>
        <v>179.10400049295276</v>
      </c>
      <c r="R250">
        <f t="shared" si="10"/>
        <v>2.1301976823449215E-2</v>
      </c>
      <c r="S250">
        <f t="shared" si="11"/>
        <v>0.5112474437627812</v>
      </c>
    </row>
    <row r="251" spans="1:19" hidden="1" x14ac:dyDescent="0.2">
      <c r="A251">
        <v>68</v>
      </c>
      <c r="B251" t="s">
        <v>21</v>
      </c>
      <c r="C251">
        <v>10</v>
      </c>
      <c r="D251">
        <v>3</v>
      </c>
      <c r="E251">
        <v>1009</v>
      </c>
      <c r="F251" t="b">
        <v>1</v>
      </c>
      <c r="G251">
        <v>54.052</v>
      </c>
      <c r="H251">
        <v>23</v>
      </c>
      <c r="I251">
        <v>1</v>
      </c>
      <c r="J251">
        <v>0.54</v>
      </c>
      <c r="K251" t="s">
        <v>1966</v>
      </c>
      <c r="L251">
        <v>0</v>
      </c>
      <c r="N251" t="s">
        <v>1967</v>
      </c>
      <c r="O251" t="s">
        <v>1968</v>
      </c>
      <c r="P251" t="s">
        <v>20</v>
      </c>
      <c r="Q251">
        <f t="shared" si="9"/>
        <v>227.30499948374927</v>
      </c>
      <c r="R251">
        <f t="shared" si="10"/>
        <v>1.8500703026715016E-2</v>
      </c>
      <c r="S251">
        <f t="shared" si="11"/>
        <v>0.42551616961444533</v>
      </c>
    </row>
    <row r="252" spans="1:19" hidden="1" x14ac:dyDescent="0.2">
      <c r="A252">
        <v>71</v>
      </c>
      <c r="B252" t="s">
        <v>21</v>
      </c>
      <c r="C252">
        <v>15</v>
      </c>
      <c r="D252">
        <v>3</v>
      </c>
      <c r="E252">
        <v>1009</v>
      </c>
      <c r="F252" t="b">
        <v>1</v>
      </c>
      <c r="G252">
        <v>42.195999999999998</v>
      </c>
      <c r="H252">
        <v>22</v>
      </c>
      <c r="I252">
        <v>4</v>
      </c>
      <c r="J252">
        <v>0.72</v>
      </c>
      <c r="K252" t="s">
        <v>1975</v>
      </c>
      <c r="L252">
        <v>0</v>
      </c>
      <c r="N252" t="s">
        <v>1976</v>
      </c>
      <c r="O252" t="s">
        <v>1977</v>
      </c>
      <c r="P252" t="s">
        <v>20</v>
      </c>
      <c r="Q252">
        <f t="shared" si="9"/>
        <v>175.67100010346621</v>
      </c>
      <c r="R252">
        <f t="shared" si="10"/>
        <v>9.4795715233671446E-2</v>
      </c>
      <c r="S252">
        <f t="shared" si="11"/>
        <v>0.52137643378519294</v>
      </c>
    </row>
    <row r="253" spans="1:19" hidden="1" x14ac:dyDescent="0.2">
      <c r="A253">
        <v>74</v>
      </c>
      <c r="B253" t="s">
        <v>21</v>
      </c>
      <c r="C253">
        <v>20</v>
      </c>
      <c r="D253">
        <v>3</v>
      </c>
      <c r="E253">
        <v>1009</v>
      </c>
      <c r="F253" t="b">
        <v>1</v>
      </c>
      <c r="G253">
        <v>120.172</v>
      </c>
      <c r="H253">
        <v>25</v>
      </c>
      <c r="I253">
        <v>20</v>
      </c>
      <c r="J253">
        <v>4.0199999999999996</v>
      </c>
      <c r="K253" t="s">
        <v>1984</v>
      </c>
      <c r="L253">
        <v>0</v>
      </c>
      <c r="N253" t="s">
        <v>1985</v>
      </c>
      <c r="O253" t="s">
        <v>1986</v>
      </c>
      <c r="P253" t="s">
        <v>20</v>
      </c>
      <c r="Q253">
        <f t="shared" si="9"/>
        <v>294.68199962284416</v>
      </c>
      <c r="R253">
        <f t="shared" si="10"/>
        <v>0.16642811969510368</v>
      </c>
      <c r="S253">
        <f t="shared" si="11"/>
        <v>0.20803514961887962</v>
      </c>
    </row>
    <row r="254" spans="1:19" hidden="1" x14ac:dyDescent="0.2">
      <c r="A254">
        <v>77</v>
      </c>
      <c r="B254" t="s">
        <v>21</v>
      </c>
      <c r="C254">
        <v>50</v>
      </c>
      <c r="D254">
        <v>3</v>
      </c>
      <c r="E254">
        <v>1009</v>
      </c>
      <c r="F254" t="b">
        <v>1</v>
      </c>
      <c r="G254">
        <v>77.335999999999999</v>
      </c>
      <c r="H254">
        <v>23</v>
      </c>
      <c r="I254">
        <v>8</v>
      </c>
      <c r="J254">
        <v>3.06</v>
      </c>
      <c r="K254" t="s">
        <v>1993</v>
      </c>
      <c r="L254">
        <v>0</v>
      </c>
      <c r="N254" t="s">
        <v>1994</v>
      </c>
      <c r="O254" t="s">
        <v>1995</v>
      </c>
      <c r="P254" t="s">
        <v>20</v>
      </c>
      <c r="Q254">
        <f t="shared" si="9"/>
        <v>167.00999988242984</v>
      </c>
      <c r="R254">
        <f t="shared" si="10"/>
        <v>0.10344470880314473</v>
      </c>
      <c r="S254">
        <f t="shared" si="11"/>
        <v>0.29740353780904105</v>
      </c>
    </row>
    <row r="255" spans="1:19" hidden="1" x14ac:dyDescent="0.2">
      <c r="A255">
        <v>80</v>
      </c>
      <c r="B255" t="s">
        <v>21</v>
      </c>
      <c r="C255">
        <v>70</v>
      </c>
      <c r="D255">
        <v>3</v>
      </c>
      <c r="E255">
        <v>1009</v>
      </c>
      <c r="F255" t="b">
        <v>1</v>
      </c>
      <c r="G255">
        <v>69.963999999999999</v>
      </c>
      <c r="H255">
        <v>22</v>
      </c>
      <c r="I255">
        <v>7</v>
      </c>
      <c r="J255">
        <v>0.54</v>
      </c>
      <c r="K255" t="s">
        <v>2002</v>
      </c>
      <c r="L255">
        <v>0</v>
      </c>
      <c r="N255" t="s">
        <v>2003</v>
      </c>
      <c r="O255" t="s">
        <v>2004</v>
      </c>
      <c r="P255" t="s">
        <v>20</v>
      </c>
      <c r="Q255">
        <f t="shared" si="9"/>
        <v>140.06500043906271</v>
      </c>
      <c r="R255">
        <f t="shared" si="10"/>
        <v>0.10005145503401749</v>
      </c>
      <c r="S255">
        <f t="shared" si="11"/>
        <v>0.31444743010691212</v>
      </c>
    </row>
    <row r="256" spans="1:19" x14ac:dyDescent="0.2">
      <c r="A256">
        <v>57</v>
      </c>
      <c r="B256" t="s">
        <v>25</v>
      </c>
      <c r="C256">
        <v>-1</v>
      </c>
      <c r="D256">
        <v>3</v>
      </c>
      <c r="E256">
        <v>1009</v>
      </c>
      <c r="F256" t="b">
        <v>1</v>
      </c>
      <c r="G256">
        <v>47.78</v>
      </c>
      <c r="H256">
        <v>27</v>
      </c>
      <c r="I256">
        <v>8</v>
      </c>
      <c r="J256">
        <v>4.1399999999999997</v>
      </c>
      <c r="K256" t="s">
        <v>1933</v>
      </c>
      <c r="L256">
        <v>0</v>
      </c>
      <c r="N256" t="s">
        <v>1934</v>
      </c>
      <c r="O256" t="s">
        <v>1935</v>
      </c>
      <c r="P256" t="s">
        <v>20</v>
      </c>
      <c r="Q256">
        <f t="shared" si="9"/>
        <v>122.43500025942922</v>
      </c>
      <c r="R256">
        <f t="shared" si="10"/>
        <v>0.16743407283382167</v>
      </c>
      <c r="S256">
        <f t="shared" si="11"/>
        <v>0.5650899958141482</v>
      </c>
    </row>
    <row r="257" spans="1:19" x14ac:dyDescent="0.2">
      <c r="A257">
        <v>60</v>
      </c>
      <c r="B257" t="s">
        <v>25</v>
      </c>
      <c r="C257">
        <v>0</v>
      </c>
      <c r="D257">
        <v>3</v>
      </c>
      <c r="E257">
        <v>1009</v>
      </c>
      <c r="F257" t="b">
        <v>1</v>
      </c>
      <c r="G257">
        <v>60.8</v>
      </c>
      <c r="H257">
        <v>31</v>
      </c>
      <c r="I257">
        <v>2</v>
      </c>
      <c r="J257">
        <v>1.74</v>
      </c>
      <c r="K257" t="s">
        <v>1942</v>
      </c>
      <c r="L257">
        <v>0</v>
      </c>
      <c r="N257" t="s">
        <v>1943</v>
      </c>
      <c r="O257" t="s">
        <v>1944</v>
      </c>
      <c r="P257" t="s">
        <v>20</v>
      </c>
      <c r="Q257">
        <f t="shared" si="9"/>
        <v>116.17600056342781</v>
      </c>
      <c r="R257">
        <f t="shared" si="10"/>
        <v>3.2894736842105261E-2</v>
      </c>
      <c r="S257">
        <f t="shared" si="11"/>
        <v>0.50986842105263164</v>
      </c>
    </row>
    <row r="258" spans="1:19" x14ac:dyDescent="0.2">
      <c r="A258">
        <v>63</v>
      </c>
      <c r="B258" t="s">
        <v>25</v>
      </c>
      <c r="C258">
        <v>2</v>
      </c>
      <c r="D258">
        <v>3</v>
      </c>
      <c r="E258">
        <v>1009</v>
      </c>
      <c r="F258" t="b">
        <v>1</v>
      </c>
      <c r="G258">
        <v>51.268000000000001</v>
      </c>
      <c r="H258">
        <v>28</v>
      </c>
      <c r="I258">
        <v>0</v>
      </c>
      <c r="J258">
        <v>0</v>
      </c>
      <c r="K258" t="s">
        <v>1951</v>
      </c>
      <c r="L258">
        <v>0</v>
      </c>
      <c r="N258" t="s">
        <v>1952</v>
      </c>
      <c r="O258" t="s">
        <v>1953</v>
      </c>
      <c r="P258" t="s">
        <v>20</v>
      </c>
      <c r="Q258">
        <f t="shared" ref="Q258:Q321" si="12">(VALUE(LEFT(SUBSTITUTE(O258,"T"," "),23)) - VALUE(LEFT(SUBSTITUTE(N258,"T"," "),23))) * 86400</f>
        <v>106.12499958369881</v>
      </c>
      <c r="R258">
        <f t="shared" ref="R258:R321" si="13">I258/G258</f>
        <v>0</v>
      </c>
      <c r="S258">
        <f t="shared" ref="S258:S321" si="14">H258/G258</f>
        <v>0.54614964500273078</v>
      </c>
    </row>
    <row r="259" spans="1:19" x14ac:dyDescent="0.2">
      <c r="A259">
        <v>66</v>
      </c>
      <c r="B259" t="s">
        <v>25</v>
      </c>
      <c r="C259">
        <v>5</v>
      </c>
      <c r="D259">
        <v>3</v>
      </c>
      <c r="E259">
        <v>1009</v>
      </c>
      <c r="F259" t="b">
        <v>1</v>
      </c>
      <c r="G259">
        <v>40.975999999999999</v>
      </c>
      <c r="H259">
        <v>28</v>
      </c>
      <c r="I259">
        <v>1</v>
      </c>
      <c r="J259">
        <v>1.44</v>
      </c>
      <c r="K259" t="s">
        <v>1960</v>
      </c>
      <c r="L259">
        <v>0</v>
      </c>
      <c r="N259" t="s">
        <v>1961</v>
      </c>
      <c r="O259" t="s">
        <v>1962</v>
      </c>
      <c r="P259" t="s">
        <v>20</v>
      </c>
      <c r="Q259">
        <f t="shared" si="12"/>
        <v>102.08299965597689</v>
      </c>
      <c r="R259">
        <f t="shared" si="13"/>
        <v>2.4404529480671615E-2</v>
      </c>
      <c r="S259">
        <f t="shared" si="14"/>
        <v>0.68332682545880519</v>
      </c>
    </row>
    <row r="260" spans="1:19" hidden="1" x14ac:dyDescent="0.2">
      <c r="A260">
        <v>69</v>
      </c>
      <c r="B260" t="s">
        <v>25</v>
      </c>
      <c r="C260">
        <v>10</v>
      </c>
      <c r="D260">
        <v>3</v>
      </c>
      <c r="E260">
        <v>1009</v>
      </c>
      <c r="F260" t="b">
        <v>1</v>
      </c>
      <c r="G260">
        <v>54.055999999999997</v>
      </c>
      <c r="H260">
        <v>29</v>
      </c>
      <c r="I260">
        <v>2</v>
      </c>
      <c r="J260">
        <v>0.72</v>
      </c>
      <c r="K260" t="s">
        <v>1969</v>
      </c>
      <c r="L260">
        <v>0</v>
      </c>
      <c r="N260" t="s">
        <v>1970</v>
      </c>
      <c r="O260" t="s">
        <v>1971</v>
      </c>
      <c r="P260" t="s">
        <v>20</v>
      </c>
      <c r="Q260">
        <f t="shared" si="12"/>
        <v>120.63200008124113</v>
      </c>
      <c r="R260">
        <f t="shared" si="13"/>
        <v>3.6998668047950274E-2</v>
      </c>
      <c r="S260">
        <f t="shared" si="14"/>
        <v>0.53648068669527904</v>
      </c>
    </row>
    <row r="261" spans="1:19" hidden="1" x14ac:dyDescent="0.2">
      <c r="A261">
        <v>72</v>
      </c>
      <c r="B261" t="s">
        <v>25</v>
      </c>
      <c r="C261">
        <v>15</v>
      </c>
      <c r="D261">
        <v>3</v>
      </c>
      <c r="E261">
        <v>1009</v>
      </c>
      <c r="F261" t="b">
        <v>1</v>
      </c>
      <c r="G261">
        <v>39.808</v>
      </c>
      <c r="H261">
        <v>31</v>
      </c>
      <c r="I261">
        <v>3</v>
      </c>
      <c r="J261">
        <v>0.78</v>
      </c>
      <c r="K261" t="s">
        <v>1978</v>
      </c>
      <c r="L261">
        <v>0</v>
      </c>
      <c r="N261" t="s">
        <v>1979</v>
      </c>
      <c r="O261" t="s">
        <v>1980</v>
      </c>
      <c r="P261" t="s">
        <v>20</v>
      </c>
      <c r="Q261">
        <f t="shared" si="12"/>
        <v>94.504999998025596</v>
      </c>
      <c r="R261">
        <f t="shared" si="13"/>
        <v>7.5361736334405141E-2</v>
      </c>
      <c r="S261">
        <f t="shared" si="14"/>
        <v>0.7787379421221865</v>
      </c>
    </row>
    <row r="262" spans="1:19" hidden="1" x14ac:dyDescent="0.2">
      <c r="A262">
        <v>75</v>
      </c>
      <c r="B262" t="s">
        <v>25</v>
      </c>
      <c r="C262">
        <v>20</v>
      </c>
      <c r="D262">
        <v>3</v>
      </c>
      <c r="E262">
        <v>1009</v>
      </c>
      <c r="F262" t="b">
        <v>1</v>
      </c>
      <c r="G262">
        <v>66.028000000000006</v>
      </c>
      <c r="H262">
        <v>32</v>
      </c>
      <c r="I262">
        <v>4</v>
      </c>
      <c r="J262">
        <v>1.26</v>
      </c>
      <c r="K262" t="s">
        <v>1987</v>
      </c>
      <c r="L262">
        <v>0</v>
      </c>
      <c r="N262" t="s">
        <v>1988</v>
      </c>
      <c r="O262" t="s">
        <v>1989</v>
      </c>
      <c r="P262" t="s">
        <v>20</v>
      </c>
      <c r="Q262">
        <f t="shared" si="12"/>
        <v>128.44499959610403</v>
      </c>
      <c r="R262">
        <f t="shared" si="13"/>
        <v>6.0580359847337485E-2</v>
      </c>
      <c r="S262">
        <f t="shared" si="14"/>
        <v>0.48464287877869988</v>
      </c>
    </row>
    <row r="263" spans="1:19" hidden="1" x14ac:dyDescent="0.2">
      <c r="A263">
        <v>78</v>
      </c>
      <c r="B263" t="s">
        <v>25</v>
      </c>
      <c r="C263">
        <v>50</v>
      </c>
      <c r="D263">
        <v>3</v>
      </c>
      <c r="E263">
        <v>1009</v>
      </c>
      <c r="F263" t="b">
        <v>1</v>
      </c>
      <c r="G263">
        <v>47.631999999999998</v>
      </c>
      <c r="H263">
        <v>29</v>
      </c>
      <c r="I263">
        <v>5</v>
      </c>
      <c r="J263">
        <v>0.84</v>
      </c>
      <c r="K263" t="s">
        <v>1996</v>
      </c>
      <c r="L263">
        <v>0</v>
      </c>
      <c r="N263" t="s">
        <v>1997</v>
      </c>
      <c r="O263" t="s">
        <v>1998</v>
      </c>
      <c r="P263" t="s">
        <v>20</v>
      </c>
      <c r="Q263">
        <f t="shared" si="12"/>
        <v>84.328000154346228</v>
      </c>
      <c r="R263">
        <f t="shared" si="13"/>
        <v>0.10497144776620759</v>
      </c>
      <c r="S263">
        <f t="shared" si="14"/>
        <v>0.60883439704400411</v>
      </c>
    </row>
    <row r="264" spans="1:19" hidden="1" x14ac:dyDescent="0.2">
      <c r="A264">
        <v>81</v>
      </c>
      <c r="B264" t="s">
        <v>25</v>
      </c>
      <c r="C264">
        <v>70</v>
      </c>
      <c r="D264">
        <v>3</v>
      </c>
      <c r="E264">
        <v>1009</v>
      </c>
      <c r="F264" t="b">
        <v>1</v>
      </c>
      <c r="G264">
        <v>48.295999999999999</v>
      </c>
      <c r="H264">
        <v>31</v>
      </c>
      <c r="I264">
        <v>3</v>
      </c>
      <c r="J264">
        <v>1.1399999999999999</v>
      </c>
      <c r="K264" t="s">
        <v>2005</v>
      </c>
      <c r="L264">
        <v>0</v>
      </c>
      <c r="N264" t="s">
        <v>2006</v>
      </c>
      <c r="O264" t="s">
        <v>2007</v>
      </c>
      <c r="P264" t="s">
        <v>20</v>
      </c>
      <c r="Q264">
        <f t="shared" si="12"/>
        <v>102.61399971786886</v>
      </c>
      <c r="R264">
        <f t="shared" si="13"/>
        <v>6.2116945502733147E-2</v>
      </c>
      <c r="S264">
        <f t="shared" si="14"/>
        <v>0.64187510352824251</v>
      </c>
    </row>
    <row r="265" spans="1:19" x14ac:dyDescent="0.2">
      <c r="A265">
        <v>55</v>
      </c>
      <c r="B265" t="s">
        <v>16</v>
      </c>
      <c r="C265">
        <v>-1</v>
      </c>
      <c r="D265">
        <v>3</v>
      </c>
      <c r="E265">
        <v>1009</v>
      </c>
      <c r="F265" t="b">
        <v>1</v>
      </c>
      <c r="G265">
        <v>40.868000000000002</v>
      </c>
      <c r="H265">
        <v>25</v>
      </c>
      <c r="I265">
        <v>4</v>
      </c>
      <c r="J265">
        <v>4.74</v>
      </c>
      <c r="K265" t="s">
        <v>1927</v>
      </c>
      <c r="L265">
        <v>0</v>
      </c>
      <c r="N265" t="s">
        <v>1928</v>
      </c>
      <c r="O265" t="s">
        <v>1929</v>
      </c>
      <c r="P265" t="s">
        <v>20</v>
      </c>
      <c r="Q265">
        <f t="shared" si="12"/>
        <v>149.42199995275587</v>
      </c>
      <c r="R265">
        <f t="shared" si="13"/>
        <v>9.7876088871488687E-2</v>
      </c>
      <c r="S265">
        <f t="shared" si="14"/>
        <v>0.61172555544680429</v>
      </c>
    </row>
    <row r="266" spans="1:19" x14ac:dyDescent="0.2">
      <c r="A266">
        <v>58</v>
      </c>
      <c r="B266" t="s">
        <v>16</v>
      </c>
      <c r="C266">
        <v>0</v>
      </c>
      <c r="D266">
        <v>3</v>
      </c>
      <c r="E266">
        <v>1009</v>
      </c>
      <c r="F266" t="b">
        <v>1</v>
      </c>
      <c r="G266">
        <v>76.256</v>
      </c>
      <c r="H266">
        <v>26</v>
      </c>
      <c r="I266">
        <v>4</v>
      </c>
      <c r="J266">
        <v>0.9</v>
      </c>
      <c r="K266" t="s">
        <v>1936</v>
      </c>
      <c r="L266">
        <v>0</v>
      </c>
      <c r="N266" t="s">
        <v>1937</v>
      </c>
      <c r="O266" t="s">
        <v>1938</v>
      </c>
      <c r="P266" t="s">
        <v>20</v>
      </c>
      <c r="Q266">
        <f t="shared" si="12"/>
        <v>190.89000010862947</v>
      </c>
      <c r="R266">
        <f t="shared" si="13"/>
        <v>5.245488879563575E-2</v>
      </c>
      <c r="S266">
        <f t="shared" si="14"/>
        <v>0.34095677717163242</v>
      </c>
    </row>
    <row r="267" spans="1:19" x14ac:dyDescent="0.2">
      <c r="A267">
        <v>61</v>
      </c>
      <c r="B267" t="s">
        <v>16</v>
      </c>
      <c r="C267">
        <v>2</v>
      </c>
      <c r="D267">
        <v>3</v>
      </c>
      <c r="E267">
        <v>1009</v>
      </c>
      <c r="F267" t="b">
        <v>1</v>
      </c>
      <c r="G267">
        <v>69.176000000000002</v>
      </c>
      <c r="H267">
        <v>24</v>
      </c>
      <c r="I267">
        <v>2</v>
      </c>
      <c r="J267">
        <v>2.04</v>
      </c>
      <c r="K267" t="s">
        <v>1945</v>
      </c>
      <c r="L267">
        <v>0</v>
      </c>
      <c r="N267" t="s">
        <v>1946</v>
      </c>
      <c r="O267" t="s">
        <v>1947</v>
      </c>
      <c r="P267" t="s">
        <v>20</v>
      </c>
      <c r="Q267">
        <f t="shared" si="12"/>
        <v>168.61499960068613</v>
      </c>
      <c r="R267">
        <f t="shared" si="13"/>
        <v>2.891176130449867E-2</v>
      </c>
      <c r="S267">
        <f t="shared" si="14"/>
        <v>0.34694113565398405</v>
      </c>
    </row>
    <row r="268" spans="1:19" x14ac:dyDescent="0.2">
      <c r="A268">
        <v>64</v>
      </c>
      <c r="B268" t="s">
        <v>16</v>
      </c>
      <c r="C268">
        <v>5</v>
      </c>
      <c r="D268">
        <v>3</v>
      </c>
      <c r="E268">
        <v>1009</v>
      </c>
      <c r="F268" t="b">
        <v>1</v>
      </c>
      <c r="G268">
        <v>69.212000000000003</v>
      </c>
      <c r="H268">
        <v>26</v>
      </c>
      <c r="I268">
        <v>0</v>
      </c>
      <c r="J268">
        <v>0</v>
      </c>
      <c r="K268" t="s">
        <v>1954</v>
      </c>
      <c r="L268">
        <v>0</v>
      </c>
      <c r="N268" t="s">
        <v>1955</v>
      </c>
      <c r="O268" t="s">
        <v>1956</v>
      </c>
      <c r="P268" t="s">
        <v>20</v>
      </c>
      <c r="Q268">
        <f t="shared" si="12"/>
        <v>181.29699993878603</v>
      </c>
      <c r="R268">
        <f t="shared" si="13"/>
        <v>0</v>
      </c>
      <c r="S268">
        <f t="shared" si="14"/>
        <v>0.37565740045078888</v>
      </c>
    </row>
    <row r="269" spans="1:19" hidden="1" x14ac:dyDescent="0.2">
      <c r="A269">
        <v>67</v>
      </c>
      <c r="B269" t="s">
        <v>16</v>
      </c>
      <c r="C269">
        <v>10</v>
      </c>
      <c r="D269">
        <v>3</v>
      </c>
      <c r="E269">
        <v>1009</v>
      </c>
      <c r="F269" t="b">
        <v>1</v>
      </c>
      <c r="G269">
        <v>130.732</v>
      </c>
      <c r="H269">
        <v>25</v>
      </c>
      <c r="I269">
        <v>7</v>
      </c>
      <c r="J269">
        <v>1.2</v>
      </c>
      <c r="K269" t="s">
        <v>1963</v>
      </c>
      <c r="L269">
        <v>0</v>
      </c>
      <c r="N269" t="s">
        <v>1964</v>
      </c>
      <c r="O269" t="s">
        <v>1965</v>
      </c>
      <c r="P269" t="s">
        <v>20</v>
      </c>
      <c r="Q269">
        <f t="shared" si="12"/>
        <v>324.54800012055784</v>
      </c>
      <c r="R269">
        <f t="shared" si="13"/>
        <v>5.3544656243306919E-2</v>
      </c>
      <c r="S269">
        <f t="shared" si="14"/>
        <v>0.19123091515466756</v>
      </c>
    </row>
    <row r="270" spans="1:19" hidden="1" x14ac:dyDescent="0.2">
      <c r="A270">
        <v>70</v>
      </c>
      <c r="B270" t="s">
        <v>16</v>
      </c>
      <c r="C270">
        <v>15</v>
      </c>
      <c r="D270">
        <v>3</v>
      </c>
      <c r="E270">
        <v>1009</v>
      </c>
      <c r="F270" t="b">
        <v>1</v>
      </c>
      <c r="G270">
        <v>53.271999999999998</v>
      </c>
      <c r="H270">
        <v>26</v>
      </c>
      <c r="I270">
        <v>5</v>
      </c>
      <c r="J270">
        <v>1.68</v>
      </c>
      <c r="K270" t="s">
        <v>1972</v>
      </c>
      <c r="L270">
        <v>0</v>
      </c>
      <c r="N270" t="s">
        <v>1973</v>
      </c>
      <c r="O270" t="s">
        <v>1974</v>
      </c>
      <c r="P270" t="s">
        <v>20</v>
      </c>
      <c r="Q270">
        <f t="shared" si="12"/>
        <v>143.86300023179501</v>
      </c>
      <c r="R270">
        <f t="shared" si="13"/>
        <v>9.3857936627121191E-2</v>
      </c>
      <c r="S270">
        <f t="shared" si="14"/>
        <v>0.48806127046103021</v>
      </c>
    </row>
    <row r="271" spans="1:19" hidden="1" x14ac:dyDescent="0.2">
      <c r="A271">
        <v>73</v>
      </c>
      <c r="B271" t="s">
        <v>16</v>
      </c>
      <c r="C271">
        <v>20</v>
      </c>
      <c r="D271">
        <v>3</v>
      </c>
      <c r="E271">
        <v>1009</v>
      </c>
      <c r="F271" t="b">
        <v>1</v>
      </c>
      <c r="G271">
        <v>101.93600000000001</v>
      </c>
      <c r="H271">
        <v>24</v>
      </c>
      <c r="I271">
        <v>16</v>
      </c>
      <c r="J271">
        <v>3.36</v>
      </c>
      <c r="K271" t="s">
        <v>1981</v>
      </c>
      <c r="L271">
        <v>0</v>
      </c>
      <c r="N271" t="s">
        <v>1982</v>
      </c>
      <c r="O271" t="s">
        <v>1983</v>
      </c>
      <c r="P271" t="s">
        <v>20</v>
      </c>
      <c r="Q271">
        <f t="shared" si="12"/>
        <v>245.86700024083257</v>
      </c>
      <c r="R271">
        <f t="shared" si="13"/>
        <v>0.15696123057604772</v>
      </c>
      <c r="S271">
        <f t="shared" si="14"/>
        <v>0.23544184586407155</v>
      </c>
    </row>
    <row r="272" spans="1:19" hidden="1" x14ac:dyDescent="0.2">
      <c r="A272">
        <v>76</v>
      </c>
      <c r="B272" t="s">
        <v>16</v>
      </c>
      <c r="C272">
        <v>50</v>
      </c>
      <c r="D272">
        <v>3</v>
      </c>
      <c r="E272">
        <v>1009</v>
      </c>
      <c r="F272" t="b">
        <v>1</v>
      </c>
      <c r="G272">
        <v>101.06</v>
      </c>
      <c r="H272">
        <v>23</v>
      </c>
      <c r="I272">
        <v>22</v>
      </c>
      <c r="J272">
        <v>5.22</v>
      </c>
      <c r="K272" t="s">
        <v>1990</v>
      </c>
      <c r="L272">
        <v>0</v>
      </c>
      <c r="N272" t="s">
        <v>1991</v>
      </c>
      <c r="O272" t="s">
        <v>1992</v>
      </c>
      <c r="P272" t="s">
        <v>20</v>
      </c>
      <c r="Q272">
        <f t="shared" si="12"/>
        <v>164.71799989230931</v>
      </c>
      <c r="R272">
        <f t="shared" si="13"/>
        <v>0.21769245992479713</v>
      </c>
      <c r="S272">
        <f t="shared" si="14"/>
        <v>0.22758757173956065</v>
      </c>
    </row>
    <row r="273" spans="1:19" hidden="1" x14ac:dyDescent="0.2">
      <c r="A273">
        <v>79</v>
      </c>
      <c r="B273" t="s">
        <v>16</v>
      </c>
      <c r="C273">
        <v>70</v>
      </c>
      <c r="D273">
        <v>3</v>
      </c>
      <c r="E273">
        <v>1009</v>
      </c>
      <c r="F273" t="b">
        <v>1</v>
      </c>
      <c r="G273">
        <v>66.311999999999998</v>
      </c>
      <c r="H273">
        <v>26</v>
      </c>
      <c r="I273">
        <v>9</v>
      </c>
      <c r="J273">
        <v>1.26</v>
      </c>
      <c r="K273" t="s">
        <v>1999</v>
      </c>
      <c r="L273">
        <v>0</v>
      </c>
      <c r="N273" t="s">
        <v>2000</v>
      </c>
      <c r="O273" t="s">
        <v>2001</v>
      </c>
      <c r="P273" t="s">
        <v>20</v>
      </c>
      <c r="Q273">
        <f t="shared" si="12"/>
        <v>103.49899982102215</v>
      </c>
      <c r="R273">
        <f t="shared" si="13"/>
        <v>0.13572204125950055</v>
      </c>
      <c r="S273">
        <f t="shared" si="14"/>
        <v>0.39208589697189045</v>
      </c>
    </row>
    <row r="274" spans="1:19" x14ac:dyDescent="0.2">
      <c r="A274">
        <v>2</v>
      </c>
      <c r="B274" t="s">
        <v>21</v>
      </c>
      <c r="C274">
        <v>-1</v>
      </c>
      <c r="D274">
        <v>1</v>
      </c>
      <c r="E274">
        <v>1010</v>
      </c>
      <c r="F274" t="b">
        <v>1</v>
      </c>
      <c r="G274">
        <v>73.02</v>
      </c>
      <c r="H274">
        <v>29</v>
      </c>
      <c r="I274">
        <v>6</v>
      </c>
      <c r="J274">
        <v>5.88</v>
      </c>
      <c r="K274" t="s">
        <v>113</v>
      </c>
      <c r="L274">
        <v>0</v>
      </c>
      <c r="N274" t="s">
        <v>114</v>
      </c>
      <c r="O274" t="s">
        <v>115</v>
      </c>
      <c r="P274" t="s">
        <v>20</v>
      </c>
      <c r="Q274">
        <f t="shared" si="12"/>
        <v>294.36299989465624</v>
      </c>
      <c r="R274">
        <f t="shared" si="13"/>
        <v>8.2169268693508629E-2</v>
      </c>
      <c r="S274">
        <f t="shared" si="14"/>
        <v>0.39715146535195839</v>
      </c>
    </row>
    <row r="275" spans="1:19" x14ac:dyDescent="0.2">
      <c r="A275">
        <v>5</v>
      </c>
      <c r="B275" t="s">
        <v>21</v>
      </c>
      <c r="C275">
        <v>0</v>
      </c>
      <c r="D275">
        <v>1</v>
      </c>
      <c r="E275">
        <v>1010</v>
      </c>
      <c r="F275" t="b">
        <v>1</v>
      </c>
      <c r="G275">
        <v>99.215999999999994</v>
      </c>
      <c r="H275">
        <v>29</v>
      </c>
      <c r="I275">
        <v>2</v>
      </c>
      <c r="J275">
        <v>1.08</v>
      </c>
      <c r="K275" t="s">
        <v>122</v>
      </c>
      <c r="L275">
        <v>0</v>
      </c>
      <c r="N275" t="s">
        <v>123</v>
      </c>
      <c r="O275" t="s">
        <v>124</v>
      </c>
      <c r="P275" t="s">
        <v>20</v>
      </c>
      <c r="Q275">
        <f t="shared" si="12"/>
        <v>432.15400027111173</v>
      </c>
      <c r="R275">
        <f t="shared" si="13"/>
        <v>2.0158039025963557E-2</v>
      </c>
      <c r="S275">
        <f t="shared" si="14"/>
        <v>0.29229156587647154</v>
      </c>
    </row>
    <row r="276" spans="1:19" x14ac:dyDescent="0.2">
      <c r="A276">
        <v>8</v>
      </c>
      <c r="B276" t="s">
        <v>21</v>
      </c>
      <c r="C276">
        <v>2</v>
      </c>
      <c r="D276">
        <v>1</v>
      </c>
      <c r="E276">
        <v>1010</v>
      </c>
      <c r="F276" t="b">
        <v>1</v>
      </c>
      <c r="G276">
        <v>88.436000000000007</v>
      </c>
      <c r="H276">
        <v>29</v>
      </c>
      <c r="I276">
        <v>2</v>
      </c>
      <c r="J276">
        <v>1.1399999999999999</v>
      </c>
      <c r="K276" t="s">
        <v>131</v>
      </c>
      <c r="L276">
        <v>0</v>
      </c>
      <c r="N276" t="s">
        <v>132</v>
      </c>
      <c r="O276" t="s">
        <v>133</v>
      </c>
      <c r="P276" t="s">
        <v>20</v>
      </c>
      <c r="Q276">
        <f t="shared" si="12"/>
        <v>356.46400018595159</v>
      </c>
      <c r="R276">
        <f t="shared" si="13"/>
        <v>2.261522456917997E-2</v>
      </c>
      <c r="S276">
        <f t="shared" si="14"/>
        <v>0.32792075625310957</v>
      </c>
    </row>
    <row r="277" spans="1:19" x14ac:dyDescent="0.2">
      <c r="A277">
        <v>11</v>
      </c>
      <c r="B277" t="s">
        <v>21</v>
      </c>
      <c r="C277">
        <v>5</v>
      </c>
      <c r="D277">
        <v>1</v>
      </c>
      <c r="E277">
        <v>1010</v>
      </c>
      <c r="F277" t="b">
        <v>1</v>
      </c>
      <c r="G277">
        <v>55.835999999999999</v>
      </c>
      <c r="H277">
        <v>28</v>
      </c>
      <c r="I277">
        <v>4</v>
      </c>
      <c r="J277">
        <v>1.2</v>
      </c>
      <c r="K277" t="s">
        <v>140</v>
      </c>
      <c r="L277">
        <v>0</v>
      </c>
      <c r="N277" t="s">
        <v>141</v>
      </c>
      <c r="O277" t="s">
        <v>142</v>
      </c>
      <c r="P277" t="s">
        <v>20</v>
      </c>
      <c r="Q277">
        <f t="shared" si="12"/>
        <v>325.15200006309897</v>
      </c>
      <c r="R277">
        <f t="shared" si="13"/>
        <v>7.163836951070994E-2</v>
      </c>
      <c r="S277">
        <f t="shared" si="14"/>
        <v>0.50146858657496962</v>
      </c>
    </row>
    <row r="278" spans="1:19" hidden="1" x14ac:dyDescent="0.2">
      <c r="A278">
        <v>14</v>
      </c>
      <c r="B278" t="s">
        <v>21</v>
      </c>
      <c r="C278">
        <v>10</v>
      </c>
      <c r="D278">
        <v>1</v>
      </c>
      <c r="E278">
        <v>1010</v>
      </c>
      <c r="F278" t="b">
        <v>1</v>
      </c>
      <c r="G278">
        <v>98.623999999999995</v>
      </c>
      <c r="H278">
        <v>25</v>
      </c>
      <c r="I278">
        <v>10</v>
      </c>
      <c r="J278">
        <v>3.06</v>
      </c>
      <c r="K278" t="s">
        <v>149</v>
      </c>
      <c r="L278">
        <v>0</v>
      </c>
      <c r="N278" t="s">
        <v>150</v>
      </c>
      <c r="O278" t="s">
        <v>151</v>
      </c>
      <c r="P278" t="s">
        <v>20</v>
      </c>
      <c r="Q278">
        <f t="shared" si="12"/>
        <v>355.5040004896</v>
      </c>
      <c r="R278">
        <f t="shared" si="13"/>
        <v>0.10139519792342636</v>
      </c>
      <c r="S278">
        <f t="shared" si="14"/>
        <v>0.25348799480856588</v>
      </c>
    </row>
    <row r="279" spans="1:19" hidden="1" x14ac:dyDescent="0.2">
      <c r="A279">
        <v>17</v>
      </c>
      <c r="B279" t="s">
        <v>21</v>
      </c>
      <c r="C279">
        <v>15</v>
      </c>
      <c r="D279">
        <v>1</v>
      </c>
      <c r="E279">
        <v>1010</v>
      </c>
      <c r="F279" t="b">
        <v>1</v>
      </c>
      <c r="G279">
        <v>91.768000000000001</v>
      </c>
      <c r="H279">
        <v>27</v>
      </c>
      <c r="I279">
        <v>7</v>
      </c>
      <c r="J279">
        <v>1.5</v>
      </c>
      <c r="K279" t="s">
        <v>158</v>
      </c>
      <c r="L279">
        <v>0</v>
      </c>
      <c r="N279" t="s">
        <v>159</v>
      </c>
      <c r="O279" t="s">
        <v>160</v>
      </c>
      <c r="P279" t="s">
        <v>20</v>
      </c>
      <c r="Q279">
        <f t="shared" si="12"/>
        <v>410.02399998251349</v>
      </c>
      <c r="R279">
        <f t="shared" si="13"/>
        <v>7.6279313050300751E-2</v>
      </c>
      <c r="S279">
        <f t="shared" si="14"/>
        <v>0.29422020747973149</v>
      </c>
    </row>
    <row r="280" spans="1:19" hidden="1" x14ac:dyDescent="0.2">
      <c r="A280">
        <v>20</v>
      </c>
      <c r="B280" t="s">
        <v>21</v>
      </c>
      <c r="C280">
        <v>20</v>
      </c>
      <c r="D280">
        <v>1</v>
      </c>
      <c r="E280">
        <v>1010</v>
      </c>
      <c r="F280" t="b">
        <v>1</v>
      </c>
      <c r="G280">
        <v>83.56</v>
      </c>
      <c r="H280">
        <v>29</v>
      </c>
      <c r="I280">
        <v>13</v>
      </c>
      <c r="J280">
        <v>1.2</v>
      </c>
      <c r="K280" t="s">
        <v>167</v>
      </c>
      <c r="L280">
        <v>0</v>
      </c>
      <c r="N280" t="s">
        <v>168</v>
      </c>
      <c r="O280" t="s">
        <v>169</v>
      </c>
      <c r="P280" t="s">
        <v>20</v>
      </c>
      <c r="Q280">
        <f t="shared" si="12"/>
        <v>383.45499993301928</v>
      </c>
      <c r="R280">
        <f t="shared" si="13"/>
        <v>0.1555768310196266</v>
      </c>
      <c r="S280">
        <f t="shared" si="14"/>
        <v>0.34705600765916705</v>
      </c>
    </row>
    <row r="281" spans="1:19" hidden="1" x14ac:dyDescent="0.2">
      <c r="A281">
        <v>23</v>
      </c>
      <c r="B281" t="s">
        <v>21</v>
      </c>
      <c r="C281">
        <v>50</v>
      </c>
      <c r="D281">
        <v>1</v>
      </c>
      <c r="E281">
        <v>1010</v>
      </c>
      <c r="F281" t="b">
        <v>1</v>
      </c>
      <c r="G281">
        <v>62.548000000000002</v>
      </c>
      <c r="H281">
        <v>27</v>
      </c>
      <c r="I281">
        <v>13</v>
      </c>
      <c r="J281">
        <v>2.2799999999999998</v>
      </c>
      <c r="K281" t="s">
        <v>176</v>
      </c>
      <c r="L281">
        <v>0</v>
      </c>
      <c r="N281" t="s">
        <v>177</v>
      </c>
      <c r="O281" t="s">
        <v>178</v>
      </c>
      <c r="P281" t="s">
        <v>20</v>
      </c>
      <c r="Q281">
        <f t="shared" si="12"/>
        <v>230.3329999325797</v>
      </c>
      <c r="R281">
        <f t="shared" si="13"/>
        <v>0.20784037858924345</v>
      </c>
      <c r="S281">
        <f t="shared" si="14"/>
        <v>0.43166847860842872</v>
      </c>
    </row>
    <row r="282" spans="1:19" hidden="1" x14ac:dyDescent="0.2">
      <c r="A282">
        <v>26</v>
      </c>
      <c r="B282" t="s">
        <v>21</v>
      </c>
      <c r="C282">
        <v>70</v>
      </c>
      <c r="D282">
        <v>1</v>
      </c>
      <c r="E282">
        <v>1010</v>
      </c>
      <c r="F282" t="b">
        <v>1</v>
      </c>
      <c r="G282">
        <v>65.864000000000004</v>
      </c>
      <c r="H282">
        <v>28</v>
      </c>
      <c r="I282">
        <v>12</v>
      </c>
      <c r="J282">
        <v>2.34</v>
      </c>
      <c r="K282" t="s">
        <v>185</v>
      </c>
      <c r="L282">
        <v>0</v>
      </c>
      <c r="N282" t="s">
        <v>186</v>
      </c>
      <c r="O282" t="s">
        <v>187</v>
      </c>
      <c r="P282" t="s">
        <v>20</v>
      </c>
      <c r="Q282">
        <f t="shared" si="12"/>
        <v>312.205999949947</v>
      </c>
      <c r="R282">
        <f t="shared" si="13"/>
        <v>0.18219361107737153</v>
      </c>
      <c r="S282">
        <f t="shared" si="14"/>
        <v>0.42511842584720028</v>
      </c>
    </row>
    <row r="283" spans="1:19" hidden="1" x14ac:dyDescent="0.2">
      <c r="A283">
        <v>29</v>
      </c>
      <c r="B283" t="s">
        <v>21</v>
      </c>
      <c r="C283">
        <v>100</v>
      </c>
      <c r="D283">
        <v>1</v>
      </c>
      <c r="E283">
        <v>1010</v>
      </c>
      <c r="F283" t="b">
        <v>1</v>
      </c>
      <c r="G283">
        <v>61.768000000000001</v>
      </c>
      <c r="H283">
        <v>27</v>
      </c>
      <c r="I283">
        <v>11</v>
      </c>
      <c r="J283">
        <v>4.1399999999999997</v>
      </c>
      <c r="K283" t="s">
        <v>194</v>
      </c>
      <c r="L283">
        <v>0</v>
      </c>
      <c r="N283" t="s">
        <v>195</v>
      </c>
      <c r="O283" t="s">
        <v>196</v>
      </c>
      <c r="P283" t="s">
        <v>20</v>
      </c>
      <c r="Q283">
        <f t="shared" si="12"/>
        <v>248.96999965421855</v>
      </c>
      <c r="R283">
        <f t="shared" si="13"/>
        <v>0.17808574018909468</v>
      </c>
      <c r="S283">
        <f t="shared" si="14"/>
        <v>0.43711954410050513</v>
      </c>
    </row>
    <row r="284" spans="1:19" x14ac:dyDescent="0.2">
      <c r="A284">
        <v>3</v>
      </c>
      <c r="B284" t="s">
        <v>25</v>
      </c>
      <c r="C284">
        <v>-1</v>
      </c>
      <c r="D284">
        <v>1</v>
      </c>
      <c r="E284">
        <v>1010</v>
      </c>
      <c r="F284" t="b">
        <v>1</v>
      </c>
      <c r="G284">
        <v>37.392000000000003</v>
      </c>
      <c r="H284">
        <v>33</v>
      </c>
      <c r="I284">
        <v>4</v>
      </c>
      <c r="J284">
        <v>4.2</v>
      </c>
      <c r="K284" t="s">
        <v>116</v>
      </c>
      <c r="L284">
        <v>0</v>
      </c>
      <c r="N284" t="s">
        <v>117</v>
      </c>
      <c r="O284" t="s">
        <v>118</v>
      </c>
      <c r="P284" t="s">
        <v>20</v>
      </c>
      <c r="Q284">
        <f t="shared" si="12"/>
        <v>117.16599971987307</v>
      </c>
      <c r="R284">
        <f t="shared" si="13"/>
        <v>0.10697475395806588</v>
      </c>
      <c r="S284">
        <f t="shared" si="14"/>
        <v>0.88254172015404353</v>
      </c>
    </row>
    <row r="285" spans="1:19" x14ac:dyDescent="0.2">
      <c r="A285">
        <v>6</v>
      </c>
      <c r="B285" t="s">
        <v>25</v>
      </c>
      <c r="C285">
        <v>0</v>
      </c>
      <c r="D285">
        <v>1</v>
      </c>
      <c r="E285">
        <v>1010</v>
      </c>
      <c r="F285" t="b">
        <v>1</v>
      </c>
      <c r="G285">
        <v>44.496000000000002</v>
      </c>
      <c r="H285">
        <v>31</v>
      </c>
      <c r="I285">
        <v>1</v>
      </c>
      <c r="J285">
        <v>0.06</v>
      </c>
      <c r="K285" t="s">
        <v>125</v>
      </c>
      <c r="L285">
        <v>0</v>
      </c>
      <c r="N285" t="s">
        <v>126</v>
      </c>
      <c r="O285" t="s">
        <v>127</v>
      </c>
      <c r="P285" t="s">
        <v>20</v>
      </c>
      <c r="Q285">
        <f t="shared" si="12"/>
        <v>154.90799979306757</v>
      </c>
      <c r="R285">
        <f t="shared" si="13"/>
        <v>2.247393024092053E-2</v>
      </c>
      <c r="S285">
        <f t="shared" si="14"/>
        <v>0.69669183746853647</v>
      </c>
    </row>
    <row r="286" spans="1:19" x14ac:dyDescent="0.2">
      <c r="A286">
        <v>9</v>
      </c>
      <c r="B286" t="s">
        <v>25</v>
      </c>
      <c r="C286">
        <v>2</v>
      </c>
      <c r="D286">
        <v>1</v>
      </c>
      <c r="E286">
        <v>1010</v>
      </c>
      <c r="F286" t="b">
        <v>1</v>
      </c>
      <c r="G286">
        <v>52.584000000000003</v>
      </c>
      <c r="H286">
        <v>29</v>
      </c>
      <c r="I286">
        <v>2</v>
      </c>
      <c r="J286">
        <v>0.12</v>
      </c>
      <c r="K286" t="s">
        <v>134</v>
      </c>
      <c r="L286">
        <v>0</v>
      </c>
      <c r="N286" t="s">
        <v>135</v>
      </c>
      <c r="O286" t="s">
        <v>136</v>
      </c>
      <c r="P286" t="s">
        <v>20</v>
      </c>
      <c r="Q286">
        <f t="shared" si="12"/>
        <v>183.36799994576722</v>
      </c>
      <c r="R286">
        <f t="shared" si="13"/>
        <v>3.8034383082306403E-2</v>
      </c>
      <c r="S286">
        <f t="shared" si="14"/>
        <v>0.55149855469344289</v>
      </c>
    </row>
    <row r="287" spans="1:19" x14ac:dyDescent="0.2">
      <c r="A287">
        <v>12</v>
      </c>
      <c r="B287" t="s">
        <v>25</v>
      </c>
      <c r="C287">
        <v>5</v>
      </c>
      <c r="D287">
        <v>1</v>
      </c>
      <c r="E287">
        <v>1010</v>
      </c>
      <c r="F287" t="b">
        <v>1</v>
      </c>
      <c r="G287">
        <v>38.207999999999998</v>
      </c>
      <c r="H287">
        <v>31</v>
      </c>
      <c r="I287">
        <v>1</v>
      </c>
      <c r="J287">
        <v>0.06</v>
      </c>
      <c r="K287" t="s">
        <v>143</v>
      </c>
      <c r="L287">
        <v>0</v>
      </c>
      <c r="N287" t="s">
        <v>144</v>
      </c>
      <c r="O287" t="s">
        <v>145</v>
      </c>
      <c r="P287" t="s">
        <v>20</v>
      </c>
      <c r="Q287">
        <f t="shared" si="12"/>
        <v>149.27099996712059</v>
      </c>
      <c r="R287">
        <f t="shared" si="13"/>
        <v>2.6172529313232832E-2</v>
      </c>
      <c r="S287">
        <f t="shared" si="14"/>
        <v>0.81134840871021774</v>
      </c>
    </row>
    <row r="288" spans="1:19" hidden="1" x14ac:dyDescent="0.2">
      <c r="A288">
        <v>15</v>
      </c>
      <c r="B288" t="s">
        <v>25</v>
      </c>
      <c r="C288">
        <v>10</v>
      </c>
      <c r="D288">
        <v>1</v>
      </c>
      <c r="E288">
        <v>1010</v>
      </c>
      <c r="F288" t="b">
        <v>1</v>
      </c>
      <c r="G288">
        <v>51.136000000000003</v>
      </c>
      <c r="H288">
        <v>30</v>
      </c>
      <c r="I288">
        <v>2</v>
      </c>
      <c r="J288">
        <v>1.32</v>
      </c>
      <c r="K288" t="s">
        <v>152</v>
      </c>
      <c r="L288">
        <v>0</v>
      </c>
      <c r="N288" t="s">
        <v>153</v>
      </c>
      <c r="O288" t="s">
        <v>154</v>
      </c>
      <c r="P288" t="s">
        <v>20</v>
      </c>
      <c r="Q288">
        <f t="shared" si="12"/>
        <v>184.7070001764223</v>
      </c>
      <c r="R288">
        <f t="shared" si="13"/>
        <v>3.9111389236545682E-2</v>
      </c>
      <c r="S288">
        <f t="shared" si="14"/>
        <v>0.58667083854818525</v>
      </c>
    </row>
    <row r="289" spans="1:19" hidden="1" x14ac:dyDescent="0.2">
      <c r="A289">
        <v>18</v>
      </c>
      <c r="B289" t="s">
        <v>25</v>
      </c>
      <c r="C289">
        <v>15</v>
      </c>
      <c r="D289">
        <v>1</v>
      </c>
      <c r="E289">
        <v>1010</v>
      </c>
      <c r="F289" t="b">
        <v>1</v>
      </c>
      <c r="G289">
        <v>42.911999999999999</v>
      </c>
      <c r="H289">
        <v>26</v>
      </c>
      <c r="I289">
        <v>4</v>
      </c>
      <c r="J289">
        <v>0.72</v>
      </c>
      <c r="K289" t="s">
        <v>161</v>
      </c>
      <c r="L289">
        <v>0</v>
      </c>
      <c r="N289" t="s">
        <v>162</v>
      </c>
      <c r="O289" t="s">
        <v>163</v>
      </c>
      <c r="P289" t="s">
        <v>20</v>
      </c>
      <c r="Q289">
        <f t="shared" si="12"/>
        <v>242.82000032253563</v>
      </c>
      <c r="R289">
        <f t="shared" si="13"/>
        <v>9.3214019388516034E-2</v>
      </c>
      <c r="S289">
        <f t="shared" si="14"/>
        <v>0.60589112602535422</v>
      </c>
    </row>
    <row r="290" spans="1:19" hidden="1" x14ac:dyDescent="0.2">
      <c r="A290">
        <v>21</v>
      </c>
      <c r="B290" t="s">
        <v>25</v>
      </c>
      <c r="C290">
        <v>20</v>
      </c>
      <c r="D290">
        <v>1</v>
      </c>
      <c r="E290">
        <v>1010</v>
      </c>
      <c r="F290" t="b">
        <v>1</v>
      </c>
      <c r="G290">
        <v>29.047999999999998</v>
      </c>
      <c r="H290">
        <v>31</v>
      </c>
      <c r="I290">
        <v>3</v>
      </c>
      <c r="J290">
        <v>0.18</v>
      </c>
      <c r="K290" t="s">
        <v>170</v>
      </c>
      <c r="L290">
        <v>0</v>
      </c>
      <c r="N290" t="s">
        <v>171</v>
      </c>
      <c r="O290" t="s">
        <v>172</v>
      </c>
      <c r="P290" t="s">
        <v>20</v>
      </c>
      <c r="Q290">
        <f t="shared" si="12"/>
        <v>127.1039996528998</v>
      </c>
      <c r="R290">
        <f t="shared" si="13"/>
        <v>0.10327733406774994</v>
      </c>
      <c r="S290">
        <f t="shared" si="14"/>
        <v>1.0671991187000827</v>
      </c>
    </row>
    <row r="291" spans="1:19" hidden="1" x14ac:dyDescent="0.2">
      <c r="A291">
        <v>24</v>
      </c>
      <c r="B291" t="s">
        <v>25</v>
      </c>
      <c r="C291">
        <v>50</v>
      </c>
      <c r="D291">
        <v>1</v>
      </c>
      <c r="E291">
        <v>1010</v>
      </c>
      <c r="F291" t="b">
        <v>1</v>
      </c>
      <c r="G291">
        <v>33.671999999999997</v>
      </c>
      <c r="H291">
        <v>30</v>
      </c>
      <c r="I291">
        <v>6</v>
      </c>
      <c r="J291">
        <v>1.62</v>
      </c>
      <c r="K291" t="s">
        <v>179</v>
      </c>
      <c r="L291">
        <v>0</v>
      </c>
      <c r="N291" t="s">
        <v>180</v>
      </c>
      <c r="O291" t="s">
        <v>181</v>
      </c>
      <c r="P291" t="s">
        <v>20</v>
      </c>
      <c r="Q291">
        <f t="shared" si="12"/>
        <v>152.09600036032498</v>
      </c>
      <c r="R291">
        <f t="shared" si="13"/>
        <v>0.1781895937277263</v>
      </c>
      <c r="S291">
        <f t="shared" si="14"/>
        <v>0.89094796863863157</v>
      </c>
    </row>
    <row r="292" spans="1:19" hidden="1" x14ac:dyDescent="0.2">
      <c r="A292">
        <v>27</v>
      </c>
      <c r="B292" t="s">
        <v>25</v>
      </c>
      <c r="C292">
        <v>70</v>
      </c>
      <c r="D292">
        <v>1</v>
      </c>
      <c r="E292">
        <v>1010</v>
      </c>
      <c r="F292" t="b">
        <v>1</v>
      </c>
      <c r="G292">
        <v>46.116</v>
      </c>
      <c r="H292">
        <v>30</v>
      </c>
      <c r="I292">
        <v>8</v>
      </c>
      <c r="J292">
        <v>1.98</v>
      </c>
      <c r="K292" t="s">
        <v>188</v>
      </c>
      <c r="L292">
        <v>0</v>
      </c>
      <c r="N292" t="s">
        <v>189</v>
      </c>
      <c r="O292" t="s">
        <v>190</v>
      </c>
      <c r="P292" t="s">
        <v>20</v>
      </c>
      <c r="Q292">
        <f t="shared" si="12"/>
        <v>208.18999994080514</v>
      </c>
      <c r="R292">
        <f t="shared" si="13"/>
        <v>0.17347558331164889</v>
      </c>
      <c r="S292">
        <f t="shared" si="14"/>
        <v>0.6505334374186833</v>
      </c>
    </row>
    <row r="293" spans="1:19" hidden="1" x14ac:dyDescent="0.2">
      <c r="A293">
        <v>30</v>
      </c>
      <c r="B293" t="s">
        <v>25</v>
      </c>
      <c r="C293">
        <v>100</v>
      </c>
      <c r="D293">
        <v>1</v>
      </c>
      <c r="E293">
        <v>1010</v>
      </c>
      <c r="F293" t="b">
        <v>1</v>
      </c>
      <c r="G293">
        <v>40.18</v>
      </c>
      <c r="H293">
        <v>31</v>
      </c>
      <c r="I293">
        <v>7</v>
      </c>
      <c r="J293">
        <v>1.92</v>
      </c>
      <c r="K293" t="s">
        <v>197</v>
      </c>
      <c r="L293">
        <v>0</v>
      </c>
      <c r="N293" t="s">
        <v>198</v>
      </c>
      <c r="O293" t="s">
        <v>199</v>
      </c>
      <c r="P293" t="s">
        <v>20</v>
      </c>
      <c r="Q293">
        <f t="shared" si="12"/>
        <v>180.29099993873388</v>
      </c>
      <c r="R293">
        <f t="shared" si="13"/>
        <v>0.17421602787456447</v>
      </c>
      <c r="S293">
        <f t="shared" si="14"/>
        <v>0.77152812344449972</v>
      </c>
    </row>
    <row r="294" spans="1:19" x14ac:dyDescent="0.2">
      <c r="A294">
        <v>1</v>
      </c>
      <c r="B294" t="s">
        <v>16</v>
      </c>
      <c r="C294">
        <v>-1</v>
      </c>
      <c r="D294">
        <v>1</v>
      </c>
      <c r="E294">
        <v>1010</v>
      </c>
      <c r="F294" t="b">
        <v>1</v>
      </c>
      <c r="G294">
        <v>60.04</v>
      </c>
      <c r="H294">
        <v>27</v>
      </c>
      <c r="I294">
        <v>7</v>
      </c>
      <c r="J294">
        <v>5.34</v>
      </c>
      <c r="K294" t="s">
        <v>110</v>
      </c>
      <c r="L294">
        <v>0</v>
      </c>
      <c r="N294" t="s">
        <v>111</v>
      </c>
      <c r="O294" t="s">
        <v>112</v>
      </c>
      <c r="P294" t="s">
        <v>20</v>
      </c>
      <c r="Q294">
        <f t="shared" si="12"/>
        <v>284.5019998960197</v>
      </c>
      <c r="R294">
        <f t="shared" si="13"/>
        <v>0.11658894070619587</v>
      </c>
      <c r="S294">
        <f t="shared" si="14"/>
        <v>0.44970019986675552</v>
      </c>
    </row>
    <row r="295" spans="1:19" x14ac:dyDescent="0.2">
      <c r="A295">
        <v>4</v>
      </c>
      <c r="B295" t="s">
        <v>16</v>
      </c>
      <c r="C295">
        <v>0</v>
      </c>
      <c r="D295">
        <v>1</v>
      </c>
      <c r="E295">
        <v>1010</v>
      </c>
      <c r="F295" t="b">
        <v>1</v>
      </c>
      <c r="G295">
        <v>112.24</v>
      </c>
      <c r="H295">
        <v>25</v>
      </c>
      <c r="I295">
        <v>3</v>
      </c>
      <c r="J295">
        <v>0.18</v>
      </c>
      <c r="K295" t="s">
        <v>119</v>
      </c>
      <c r="L295">
        <v>0</v>
      </c>
      <c r="N295" t="s">
        <v>120</v>
      </c>
      <c r="O295" t="s">
        <v>121</v>
      </c>
      <c r="P295" t="s">
        <v>20</v>
      </c>
      <c r="Q295">
        <f t="shared" si="12"/>
        <v>372.74700002744794</v>
      </c>
      <c r="R295">
        <f t="shared" si="13"/>
        <v>2.6728439059158945E-2</v>
      </c>
      <c r="S295">
        <f t="shared" si="14"/>
        <v>0.22273699215965789</v>
      </c>
    </row>
    <row r="296" spans="1:19" x14ac:dyDescent="0.2">
      <c r="A296">
        <v>7</v>
      </c>
      <c r="B296" t="s">
        <v>16</v>
      </c>
      <c r="C296">
        <v>2</v>
      </c>
      <c r="D296">
        <v>1</v>
      </c>
      <c r="E296">
        <v>1010</v>
      </c>
      <c r="F296" t="b">
        <v>1</v>
      </c>
      <c r="G296">
        <v>59.86</v>
      </c>
      <c r="H296">
        <v>28</v>
      </c>
      <c r="I296">
        <v>2</v>
      </c>
      <c r="J296">
        <v>0.3</v>
      </c>
      <c r="K296" t="s">
        <v>128</v>
      </c>
      <c r="L296">
        <v>0</v>
      </c>
      <c r="N296" t="s">
        <v>129</v>
      </c>
      <c r="O296" t="s">
        <v>130</v>
      </c>
      <c r="P296" t="s">
        <v>20</v>
      </c>
      <c r="Q296">
        <f t="shared" si="12"/>
        <v>191.15200017113239</v>
      </c>
      <c r="R296">
        <f t="shared" si="13"/>
        <v>3.341129301703976E-2</v>
      </c>
      <c r="S296">
        <f t="shared" si="14"/>
        <v>0.46775810223855663</v>
      </c>
    </row>
    <row r="297" spans="1:19" x14ac:dyDescent="0.2">
      <c r="A297">
        <v>10</v>
      </c>
      <c r="B297" t="s">
        <v>16</v>
      </c>
      <c r="C297">
        <v>5</v>
      </c>
      <c r="D297">
        <v>1</v>
      </c>
      <c r="E297">
        <v>1010</v>
      </c>
      <c r="F297" t="b">
        <v>1</v>
      </c>
      <c r="G297">
        <v>54.536000000000001</v>
      </c>
      <c r="H297">
        <v>28</v>
      </c>
      <c r="I297">
        <v>1</v>
      </c>
      <c r="J297">
        <v>0.06</v>
      </c>
      <c r="K297" t="s">
        <v>137</v>
      </c>
      <c r="L297">
        <v>0</v>
      </c>
      <c r="N297" t="s">
        <v>138</v>
      </c>
      <c r="O297" t="s">
        <v>139</v>
      </c>
      <c r="P297" t="s">
        <v>20</v>
      </c>
      <c r="Q297">
        <f t="shared" si="12"/>
        <v>259.27000036463141</v>
      </c>
      <c r="R297">
        <f t="shared" si="13"/>
        <v>1.8336511662021417E-2</v>
      </c>
      <c r="S297">
        <f t="shared" si="14"/>
        <v>0.51342232653659969</v>
      </c>
    </row>
    <row r="298" spans="1:19" hidden="1" x14ac:dyDescent="0.2">
      <c r="A298">
        <v>13</v>
      </c>
      <c r="B298" t="s">
        <v>16</v>
      </c>
      <c r="C298">
        <v>10</v>
      </c>
      <c r="D298">
        <v>1</v>
      </c>
      <c r="E298">
        <v>1010</v>
      </c>
      <c r="F298" t="b">
        <v>1</v>
      </c>
      <c r="G298">
        <v>113.94799999999999</v>
      </c>
      <c r="H298">
        <v>26</v>
      </c>
      <c r="I298">
        <v>22</v>
      </c>
      <c r="J298">
        <v>3.24</v>
      </c>
      <c r="K298" t="s">
        <v>146</v>
      </c>
      <c r="L298">
        <v>0</v>
      </c>
      <c r="N298" t="s">
        <v>147</v>
      </c>
      <c r="O298" t="s">
        <v>148</v>
      </c>
      <c r="P298" t="s">
        <v>20</v>
      </c>
      <c r="Q298">
        <f t="shared" si="12"/>
        <v>409.92700040806085</v>
      </c>
      <c r="R298">
        <f t="shared" si="13"/>
        <v>0.19307052339663708</v>
      </c>
      <c r="S298">
        <f t="shared" si="14"/>
        <v>0.22817425492329835</v>
      </c>
    </row>
    <row r="299" spans="1:19" hidden="1" x14ac:dyDescent="0.2">
      <c r="A299">
        <v>16</v>
      </c>
      <c r="B299" t="s">
        <v>16</v>
      </c>
      <c r="C299">
        <v>15</v>
      </c>
      <c r="D299">
        <v>1</v>
      </c>
      <c r="E299">
        <v>1010</v>
      </c>
      <c r="F299" t="b">
        <v>1</v>
      </c>
      <c r="G299">
        <v>67.58</v>
      </c>
      <c r="H299">
        <v>25</v>
      </c>
      <c r="I299">
        <v>0</v>
      </c>
      <c r="J299">
        <v>0</v>
      </c>
      <c r="K299" t="s">
        <v>155</v>
      </c>
      <c r="L299">
        <v>0</v>
      </c>
      <c r="N299" t="s">
        <v>156</v>
      </c>
      <c r="O299" t="s">
        <v>157</v>
      </c>
      <c r="P299" t="s">
        <v>20</v>
      </c>
      <c r="Q299">
        <f t="shared" si="12"/>
        <v>246.59799984656274</v>
      </c>
      <c r="R299">
        <f t="shared" si="13"/>
        <v>0</v>
      </c>
      <c r="S299">
        <f t="shared" si="14"/>
        <v>0.36993193252441553</v>
      </c>
    </row>
    <row r="300" spans="1:19" hidden="1" x14ac:dyDescent="0.2">
      <c r="A300">
        <v>19</v>
      </c>
      <c r="B300" t="s">
        <v>16</v>
      </c>
      <c r="C300">
        <v>20</v>
      </c>
      <c r="D300">
        <v>1</v>
      </c>
      <c r="E300">
        <v>1010</v>
      </c>
      <c r="F300" t="b">
        <v>1</v>
      </c>
      <c r="G300">
        <v>59.484000000000002</v>
      </c>
      <c r="H300">
        <v>27</v>
      </c>
      <c r="I300">
        <v>1</v>
      </c>
      <c r="J300">
        <v>0.06</v>
      </c>
      <c r="K300" t="s">
        <v>164</v>
      </c>
      <c r="L300">
        <v>0</v>
      </c>
      <c r="N300" t="s">
        <v>165</v>
      </c>
      <c r="O300" t="s">
        <v>166</v>
      </c>
      <c r="P300" t="s">
        <v>20</v>
      </c>
      <c r="Q300">
        <f t="shared" si="12"/>
        <v>213.18700059782714</v>
      </c>
      <c r="R300">
        <f t="shared" si="13"/>
        <v>1.6811243359558872E-2</v>
      </c>
      <c r="S300">
        <f t="shared" si="14"/>
        <v>0.45390357070808957</v>
      </c>
    </row>
    <row r="301" spans="1:19" hidden="1" x14ac:dyDescent="0.2">
      <c r="A301">
        <v>22</v>
      </c>
      <c r="B301" t="s">
        <v>16</v>
      </c>
      <c r="C301">
        <v>50</v>
      </c>
      <c r="D301">
        <v>1</v>
      </c>
      <c r="E301">
        <v>1010</v>
      </c>
      <c r="F301" t="b">
        <v>1</v>
      </c>
      <c r="G301">
        <v>54.823999999999998</v>
      </c>
      <c r="H301">
        <v>27</v>
      </c>
      <c r="I301">
        <v>3</v>
      </c>
      <c r="J301">
        <v>0.36</v>
      </c>
      <c r="K301" t="s">
        <v>173</v>
      </c>
      <c r="L301">
        <v>0</v>
      </c>
      <c r="N301" t="s">
        <v>174</v>
      </c>
      <c r="O301" t="s">
        <v>175</v>
      </c>
      <c r="P301" t="s">
        <v>20</v>
      </c>
      <c r="Q301">
        <f t="shared" si="12"/>
        <v>156.50600020308048</v>
      </c>
      <c r="R301">
        <f t="shared" si="13"/>
        <v>5.4720560338537866E-2</v>
      </c>
      <c r="S301">
        <f t="shared" si="14"/>
        <v>0.49248504304684082</v>
      </c>
    </row>
    <row r="302" spans="1:19" hidden="1" x14ac:dyDescent="0.2">
      <c r="A302">
        <v>25</v>
      </c>
      <c r="B302" t="s">
        <v>16</v>
      </c>
      <c r="C302">
        <v>70</v>
      </c>
      <c r="D302">
        <v>1</v>
      </c>
      <c r="E302">
        <v>1010</v>
      </c>
      <c r="F302" t="b">
        <v>1</v>
      </c>
      <c r="G302">
        <v>86.744</v>
      </c>
      <c r="H302">
        <v>26</v>
      </c>
      <c r="I302">
        <v>5</v>
      </c>
      <c r="J302">
        <v>0.96</v>
      </c>
      <c r="K302" t="s">
        <v>182</v>
      </c>
      <c r="L302">
        <v>0</v>
      </c>
      <c r="N302" t="s">
        <v>183</v>
      </c>
      <c r="O302" t="s">
        <v>184</v>
      </c>
      <c r="P302" t="s">
        <v>20</v>
      </c>
      <c r="Q302">
        <f t="shared" si="12"/>
        <v>412.7199997426942</v>
      </c>
      <c r="R302">
        <f t="shared" si="13"/>
        <v>5.764087429678133E-2</v>
      </c>
      <c r="S302">
        <f t="shared" si="14"/>
        <v>0.29973254634326296</v>
      </c>
    </row>
    <row r="303" spans="1:19" hidden="1" x14ac:dyDescent="0.2">
      <c r="A303">
        <v>28</v>
      </c>
      <c r="B303" t="s">
        <v>16</v>
      </c>
      <c r="C303">
        <v>100</v>
      </c>
      <c r="D303">
        <v>1</v>
      </c>
      <c r="E303">
        <v>1010</v>
      </c>
      <c r="F303" t="b">
        <v>1</v>
      </c>
      <c r="G303">
        <v>75.727999999999994</v>
      </c>
      <c r="H303">
        <v>27</v>
      </c>
      <c r="I303">
        <v>12</v>
      </c>
      <c r="J303">
        <v>2.16</v>
      </c>
      <c r="K303" t="s">
        <v>191</v>
      </c>
      <c r="L303">
        <v>0</v>
      </c>
      <c r="N303" t="s">
        <v>192</v>
      </c>
      <c r="O303" t="s">
        <v>193</v>
      </c>
      <c r="P303" t="s">
        <v>20</v>
      </c>
      <c r="Q303">
        <f t="shared" si="12"/>
        <v>294.64400005526841</v>
      </c>
      <c r="R303">
        <f t="shared" si="13"/>
        <v>0.15846186351151489</v>
      </c>
      <c r="S303">
        <f t="shared" si="14"/>
        <v>0.35653919290090852</v>
      </c>
    </row>
    <row r="304" spans="1:19" x14ac:dyDescent="0.2">
      <c r="A304" s="1">
        <v>2</v>
      </c>
      <c r="B304" s="1" t="s">
        <v>21</v>
      </c>
      <c r="C304" s="1">
        <v>-1</v>
      </c>
      <c r="D304" s="1">
        <v>1</v>
      </c>
      <c r="E304" s="1">
        <v>1011</v>
      </c>
      <c r="F304" s="1" t="b">
        <v>1</v>
      </c>
      <c r="G304" s="1">
        <v>49.991999999999997</v>
      </c>
      <c r="H304" s="1">
        <v>30</v>
      </c>
      <c r="I304" s="1">
        <v>7</v>
      </c>
      <c r="J304" s="1">
        <v>7.38</v>
      </c>
      <c r="K304" s="1" t="s">
        <v>374</v>
      </c>
      <c r="L304" s="1">
        <v>0</v>
      </c>
      <c r="M304" s="1"/>
      <c r="N304" s="1" t="s">
        <v>375</v>
      </c>
      <c r="O304" s="1" t="s">
        <v>376</v>
      </c>
      <c r="P304" s="1" t="s">
        <v>20</v>
      </c>
      <c r="Q304">
        <f t="shared" si="12"/>
        <v>312.67699983436614</v>
      </c>
      <c r="R304">
        <f t="shared" si="13"/>
        <v>0.14002240358457355</v>
      </c>
      <c r="S304">
        <f t="shared" si="14"/>
        <v>0.60009601536245805</v>
      </c>
    </row>
    <row r="305" spans="1:19" x14ac:dyDescent="0.2">
      <c r="A305" s="1">
        <v>5</v>
      </c>
      <c r="B305" s="1" t="s">
        <v>21</v>
      </c>
      <c r="C305" s="1">
        <v>0</v>
      </c>
      <c r="D305" s="1">
        <v>1</v>
      </c>
      <c r="E305" s="1">
        <v>1011</v>
      </c>
      <c r="F305" s="1" t="b">
        <v>1</v>
      </c>
      <c r="G305" s="1">
        <v>39.975999999999999</v>
      </c>
      <c r="H305" s="1">
        <v>28</v>
      </c>
      <c r="I305" s="1">
        <v>0</v>
      </c>
      <c r="J305" s="1">
        <v>0</v>
      </c>
      <c r="K305" s="1" t="s">
        <v>383</v>
      </c>
      <c r="L305" s="1">
        <v>0</v>
      </c>
      <c r="M305" s="1"/>
      <c r="N305" s="1" t="s">
        <v>384</v>
      </c>
      <c r="O305" s="1" t="s">
        <v>385</v>
      </c>
      <c r="P305" s="1" t="s">
        <v>20</v>
      </c>
      <c r="Q305">
        <f t="shared" si="12"/>
        <v>279.04999956954271</v>
      </c>
      <c r="R305">
        <f t="shared" si="13"/>
        <v>0</v>
      </c>
      <c r="S305">
        <f t="shared" si="14"/>
        <v>0.70042025215129078</v>
      </c>
    </row>
    <row r="306" spans="1:19" x14ac:dyDescent="0.2">
      <c r="A306" s="1">
        <v>8</v>
      </c>
      <c r="B306" s="1" t="s">
        <v>21</v>
      </c>
      <c r="C306" s="1">
        <v>2</v>
      </c>
      <c r="D306" s="1">
        <v>1</v>
      </c>
      <c r="E306" s="1">
        <v>1011</v>
      </c>
      <c r="F306" s="1" t="b">
        <v>1</v>
      </c>
      <c r="G306" s="1">
        <v>47.747999999999998</v>
      </c>
      <c r="H306" s="1">
        <v>27</v>
      </c>
      <c r="I306" s="1">
        <v>2</v>
      </c>
      <c r="J306" s="1">
        <v>1.02</v>
      </c>
      <c r="K306" s="1" t="s">
        <v>392</v>
      </c>
      <c r="L306" s="1">
        <v>0</v>
      </c>
      <c r="M306" s="1"/>
      <c r="N306" s="1" t="s">
        <v>393</v>
      </c>
      <c r="O306" s="1" t="s">
        <v>394</v>
      </c>
      <c r="P306" s="1" t="s">
        <v>20</v>
      </c>
      <c r="Q306">
        <f t="shared" si="12"/>
        <v>210.20300011150539</v>
      </c>
      <c r="R306">
        <f t="shared" si="13"/>
        <v>4.1886571165284409E-2</v>
      </c>
      <c r="S306">
        <f t="shared" si="14"/>
        <v>0.56546871073133953</v>
      </c>
    </row>
    <row r="307" spans="1:19" x14ac:dyDescent="0.2">
      <c r="A307" s="1">
        <v>11</v>
      </c>
      <c r="B307" s="1" t="s">
        <v>21</v>
      </c>
      <c r="C307" s="1">
        <v>5</v>
      </c>
      <c r="D307" s="1">
        <v>1</v>
      </c>
      <c r="E307" s="1">
        <v>1011</v>
      </c>
      <c r="F307" s="1" t="b">
        <v>1</v>
      </c>
      <c r="G307" s="1">
        <v>99.635999999999996</v>
      </c>
      <c r="H307" s="1">
        <v>27</v>
      </c>
      <c r="I307" s="1">
        <v>4</v>
      </c>
      <c r="J307" s="1">
        <v>2.04</v>
      </c>
      <c r="K307" s="1" t="s">
        <v>401</v>
      </c>
      <c r="L307" s="1">
        <v>0</v>
      </c>
      <c r="M307" s="1"/>
      <c r="N307" s="1" t="s">
        <v>402</v>
      </c>
      <c r="O307" s="1" t="s">
        <v>403</v>
      </c>
      <c r="P307" s="1" t="s">
        <v>20</v>
      </c>
      <c r="Q307">
        <f t="shared" si="12"/>
        <v>478.52699984796345</v>
      </c>
      <c r="R307">
        <f t="shared" si="13"/>
        <v>4.0146131920189489E-2</v>
      </c>
      <c r="S307">
        <f t="shared" si="14"/>
        <v>0.27098639046127909</v>
      </c>
    </row>
    <row r="308" spans="1:19" hidden="1" x14ac:dyDescent="0.2">
      <c r="A308" s="1">
        <v>14</v>
      </c>
      <c r="B308" s="1" t="s">
        <v>21</v>
      </c>
      <c r="C308" s="1">
        <v>10</v>
      </c>
      <c r="D308" s="1">
        <v>1</v>
      </c>
      <c r="E308" s="1">
        <v>1011</v>
      </c>
      <c r="F308" s="1" t="b">
        <v>1</v>
      </c>
      <c r="G308" s="1">
        <v>75.908000000000001</v>
      </c>
      <c r="H308" s="1">
        <v>26</v>
      </c>
      <c r="I308" s="1">
        <v>3</v>
      </c>
      <c r="J308" s="1">
        <v>1.1399999999999999</v>
      </c>
      <c r="K308" s="1" t="s">
        <v>410</v>
      </c>
      <c r="L308" s="1">
        <v>0</v>
      </c>
      <c r="M308" s="1"/>
      <c r="N308" s="1" t="s">
        <v>411</v>
      </c>
      <c r="O308" s="1" t="s">
        <v>412</v>
      </c>
      <c r="P308" s="1" t="s">
        <v>20</v>
      </c>
      <c r="Q308">
        <f t="shared" si="12"/>
        <v>351.78700005635619</v>
      </c>
      <c r="R308">
        <f t="shared" si="13"/>
        <v>3.952152605785951E-2</v>
      </c>
      <c r="S308">
        <f t="shared" si="14"/>
        <v>0.3425198925014491</v>
      </c>
    </row>
    <row r="309" spans="1:19" hidden="1" x14ac:dyDescent="0.2">
      <c r="A309" s="1">
        <v>17</v>
      </c>
      <c r="B309" s="1" t="s">
        <v>21</v>
      </c>
      <c r="C309" s="1">
        <v>15</v>
      </c>
      <c r="D309" s="1">
        <v>1</v>
      </c>
      <c r="E309" s="1">
        <v>1011</v>
      </c>
      <c r="F309" s="1" t="b">
        <v>1</v>
      </c>
      <c r="G309" s="1">
        <v>57.66</v>
      </c>
      <c r="H309" s="1">
        <v>29</v>
      </c>
      <c r="I309" s="1">
        <v>0</v>
      </c>
      <c r="J309" s="1">
        <v>0</v>
      </c>
      <c r="K309" s="1" t="s">
        <v>419</v>
      </c>
      <c r="L309" s="1">
        <v>0</v>
      </c>
      <c r="M309" s="1"/>
      <c r="N309" s="1" t="s">
        <v>420</v>
      </c>
      <c r="O309" s="1" t="s">
        <v>421</v>
      </c>
      <c r="P309" s="1" t="s">
        <v>20</v>
      </c>
      <c r="Q309">
        <f t="shared" si="12"/>
        <v>325.84899952635169</v>
      </c>
      <c r="R309">
        <f t="shared" si="13"/>
        <v>0</v>
      </c>
      <c r="S309">
        <f t="shared" si="14"/>
        <v>0.50294831772459248</v>
      </c>
    </row>
    <row r="310" spans="1:19" hidden="1" x14ac:dyDescent="0.2">
      <c r="A310" s="1">
        <v>20</v>
      </c>
      <c r="B310" s="1" t="s">
        <v>21</v>
      </c>
      <c r="C310" s="1">
        <v>20</v>
      </c>
      <c r="D310" s="1">
        <v>1</v>
      </c>
      <c r="E310" s="1">
        <v>1011</v>
      </c>
      <c r="F310" s="1" t="b">
        <v>1</v>
      </c>
      <c r="G310" s="1">
        <v>55.02</v>
      </c>
      <c r="H310" s="1">
        <v>27</v>
      </c>
      <c r="I310" s="1">
        <v>3</v>
      </c>
      <c r="J310" s="1">
        <v>0.54</v>
      </c>
      <c r="K310" s="1" t="s">
        <v>428</v>
      </c>
      <c r="L310" s="1">
        <v>0</v>
      </c>
      <c r="M310" s="1"/>
      <c r="N310" s="1" t="s">
        <v>429</v>
      </c>
      <c r="O310" s="1" t="s">
        <v>430</v>
      </c>
      <c r="P310" s="1" t="s">
        <v>20</v>
      </c>
      <c r="Q310">
        <f t="shared" si="12"/>
        <v>263.80300044547766</v>
      </c>
      <c r="R310">
        <f t="shared" si="13"/>
        <v>5.4525627044711013E-2</v>
      </c>
      <c r="S310">
        <f t="shared" si="14"/>
        <v>0.49073064340239908</v>
      </c>
    </row>
    <row r="311" spans="1:19" hidden="1" x14ac:dyDescent="0.2">
      <c r="A311" s="1">
        <v>23</v>
      </c>
      <c r="B311" s="1" t="s">
        <v>21</v>
      </c>
      <c r="C311" s="1">
        <v>50</v>
      </c>
      <c r="D311" s="1">
        <v>1</v>
      </c>
      <c r="E311" s="1">
        <v>1011</v>
      </c>
      <c r="F311" s="1" t="b">
        <v>1</v>
      </c>
      <c r="G311" s="1">
        <v>48.844000000000001</v>
      </c>
      <c r="H311" s="1">
        <v>27</v>
      </c>
      <c r="I311" s="1">
        <v>1</v>
      </c>
      <c r="J311" s="1">
        <v>0.12</v>
      </c>
      <c r="K311" s="1" t="s">
        <v>437</v>
      </c>
      <c r="L311" s="1">
        <v>0</v>
      </c>
      <c r="M311" s="1"/>
      <c r="N311" s="1" t="s">
        <v>438</v>
      </c>
      <c r="O311" s="1" t="s">
        <v>439</v>
      </c>
      <c r="P311" s="1" t="s">
        <v>20</v>
      </c>
      <c r="Q311">
        <f t="shared" si="12"/>
        <v>236.6830000653863</v>
      </c>
      <c r="R311">
        <f t="shared" si="13"/>
        <v>2.0473343706494142E-2</v>
      </c>
      <c r="S311">
        <f t="shared" si="14"/>
        <v>0.55278028007534186</v>
      </c>
    </row>
    <row r="312" spans="1:19" hidden="1" x14ac:dyDescent="0.2">
      <c r="A312" s="1">
        <v>26</v>
      </c>
      <c r="B312" s="1" t="s">
        <v>21</v>
      </c>
      <c r="C312" s="1">
        <v>70</v>
      </c>
      <c r="D312" s="1">
        <v>1</v>
      </c>
      <c r="E312" s="1">
        <v>1011</v>
      </c>
      <c r="F312" s="1" t="b">
        <v>1</v>
      </c>
      <c r="G312" s="1">
        <v>72.447999999999993</v>
      </c>
      <c r="H312" s="1">
        <v>29</v>
      </c>
      <c r="I312" s="1">
        <v>2</v>
      </c>
      <c r="J312" s="1">
        <v>1.02</v>
      </c>
      <c r="K312" s="1" t="s">
        <v>446</v>
      </c>
      <c r="L312" s="1">
        <v>0</v>
      </c>
      <c r="M312" s="1"/>
      <c r="N312" s="1" t="s">
        <v>447</v>
      </c>
      <c r="O312" s="1" t="s">
        <v>448</v>
      </c>
      <c r="P312" s="1" t="s">
        <v>20</v>
      </c>
      <c r="Q312">
        <f t="shared" si="12"/>
        <v>294.81299996841699</v>
      </c>
      <c r="R312">
        <f t="shared" si="13"/>
        <v>2.7606007067137811E-2</v>
      </c>
      <c r="S312">
        <f t="shared" si="14"/>
        <v>0.40028710247349825</v>
      </c>
    </row>
    <row r="313" spans="1:19" x14ac:dyDescent="0.2">
      <c r="A313" s="1">
        <v>3</v>
      </c>
      <c r="B313" s="1" t="s">
        <v>25</v>
      </c>
      <c r="C313" s="1">
        <v>-1</v>
      </c>
      <c r="D313" s="1">
        <v>1</v>
      </c>
      <c r="E313" s="1">
        <v>1011</v>
      </c>
      <c r="F313" s="1" t="b">
        <v>1</v>
      </c>
      <c r="G313" s="1">
        <v>37.816000000000003</v>
      </c>
      <c r="H313" s="1">
        <v>25</v>
      </c>
      <c r="I313" s="1">
        <v>5</v>
      </c>
      <c r="J313" s="1">
        <v>5.64</v>
      </c>
      <c r="K313" s="1" t="s">
        <v>377</v>
      </c>
      <c r="L313" s="1">
        <v>0</v>
      </c>
      <c r="M313" s="1"/>
      <c r="N313" s="1" t="s">
        <v>378</v>
      </c>
      <c r="O313" s="1" t="s">
        <v>379</v>
      </c>
      <c r="P313" s="1" t="s">
        <v>20</v>
      </c>
      <c r="Q313">
        <f t="shared" si="12"/>
        <v>170.4580003162846</v>
      </c>
      <c r="R313">
        <f t="shared" si="13"/>
        <v>0.13221916649037443</v>
      </c>
      <c r="S313">
        <f t="shared" si="14"/>
        <v>0.6610958324518722</v>
      </c>
    </row>
    <row r="314" spans="1:19" x14ac:dyDescent="0.2">
      <c r="A314" s="1">
        <v>6</v>
      </c>
      <c r="B314" s="1" t="s">
        <v>25</v>
      </c>
      <c r="C314" s="1">
        <v>0</v>
      </c>
      <c r="D314" s="1">
        <v>1</v>
      </c>
      <c r="E314" s="1">
        <v>1011</v>
      </c>
      <c r="F314" s="1" t="b">
        <v>1</v>
      </c>
      <c r="G314" s="1">
        <v>53.048000000000002</v>
      </c>
      <c r="H314" s="1">
        <v>26</v>
      </c>
      <c r="I314" s="1">
        <v>0</v>
      </c>
      <c r="J314" s="1">
        <v>0</v>
      </c>
      <c r="K314" s="1" t="s">
        <v>386</v>
      </c>
      <c r="L314" s="1">
        <v>0</v>
      </c>
      <c r="M314" s="1"/>
      <c r="N314" s="1" t="s">
        <v>387</v>
      </c>
      <c r="O314" s="1" t="s">
        <v>388</v>
      </c>
      <c r="P314" s="1" t="s">
        <v>20</v>
      </c>
      <c r="Q314">
        <f t="shared" si="12"/>
        <v>217.00500003062189</v>
      </c>
      <c r="R314">
        <f t="shared" si="13"/>
        <v>0</v>
      </c>
      <c r="S314">
        <f t="shared" si="14"/>
        <v>0.49012215352133914</v>
      </c>
    </row>
    <row r="315" spans="1:19" x14ac:dyDescent="0.2">
      <c r="A315" s="1">
        <v>9</v>
      </c>
      <c r="B315" s="1" t="s">
        <v>25</v>
      </c>
      <c r="C315" s="1">
        <v>2</v>
      </c>
      <c r="D315" s="1">
        <v>1</v>
      </c>
      <c r="E315" s="1">
        <v>1011</v>
      </c>
      <c r="F315" s="1" t="b">
        <v>1</v>
      </c>
      <c r="G315" s="1">
        <v>46.207999999999998</v>
      </c>
      <c r="H315" s="1">
        <v>28</v>
      </c>
      <c r="I315" s="1">
        <v>2</v>
      </c>
      <c r="J315" s="1">
        <v>1.32</v>
      </c>
      <c r="K315" s="1" t="s">
        <v>395</v>
      </c>
      <c r="L315" s="1">
        <v>0</v>
      </c>
      <c r="M315" s="1"/>
      <c r="N315" s="1" t="s">
        <v>396</v>
      </c>
      <c r="O315" s="1" t="s">
        <v>397</v>
      </c>
      <c r="P315" s="1" t="s">
        <v>20</v>
      </c>
      <c r="Q315">
        <f t="shared" si="12"/>
        <v>169.79599990881979</v>
      </c>
      <c r="R315">
        <f t="shared" si="13"/>
        <v>4.3282548476454297E-2</v>
      </c>
      <c r="S315">
        <f t="shared" si="14"/>
        <v>0.60595567867036015</v>
      </c>
    </row>
    <row r="316" spans="1:19" x14ac:dyDescent="0.2">
      <c r="A316" s="1">
        <v>12</v>
      </c>
      <c r="B316" s="1" t="s">
        <v>25</v>
      </c>
      <c r="C316" s="1">
        <v>5</v>
      </c>
      <c r="D316" s="1">
        <v>1</v>
      </c>
      <c r="E316" s="1">
        <v>1011</v>
      </c>
      <c r="F316" s="1" t="b">
        <v>1</v>
      </c>
      <c r="G316" s="1">
        <v>49.915999999999997</v>
      </c>
      <c r="H316" s="1">
        <v>27</v>
      </c>
      <c r="I316" s="1">
        <v>1</v>
      </c>
      <c r="J316" s="1">
        <v>1.62</v>
      </c>
      <c r="K316" s="1" t="s">
        <v>404</v>
      </c>
      <c r="L316" s="1">
        <v>0</v>
      </c>
      <c r="M316" s="1"/>
      <c r="N316" s="1" t="s">
        <v>405</v>
      </c>
      <c r="O316" s="1" t="s">
        <v>406</v>
      </c>
      <c r="P316" s="1" t="s">
        <v>20</v>
      </c>
      <c r="Q316">
        <f t="shared" si="12"/>
        <v>244.1479999339208</v>
      </c>
      <c r="R316">
        <f t="shared" si="13"/>
        <v>2.0033656542992228E-2</v>
      </c>
      <c r="S316">
        <f t="shared" si="14"/>
        <v>0.54090872666079015</v>
      </c>
    </row>
    <row r="317" spans="1:19" hidden="1" x14ac:dyDescent="0.2">
      <c r="A317" s="1">
        <v>15</v>
      </c>
      <c r="B317" s="1" t="s">
        <v>25</v>
      </c>
      <c r="C317" s="1">
        <v>10</v>
      </c>
      <c r="D317" s="1">
        <v>1</v>
      </c>
      <c r="E317" s="1">
        <v>1011</v>
      </c>
      <c r="F317" s="1" t="b">
        <v>1</v>
      </c>
      <c r="G317" s="1">
        <v>38.868000000000002</v>
      </c>
      <c r="H317" s="1">
        <v>22</v>
      </c>
      <c r="I317" s="1">
        <v>6</v>
      </c>
      <c r="J317" s="1">
        <v>0.84</v>
      </c>
      <c r="K317" s="1" t="s">
        <v>413</v>
      </c>
      <c r="L317" s="1">
        <v>0</v>
      </c>
      <c r="M317" s="1"/>
      <c r="N317" s="1" t="s">
        <v>414</v>
      </c>
      <c r="O317" s="1" t="s">
        <v>415</v>
      </c>
      <c r="P317" s="1" t="s">
        <v>20</v>
      </c>
      <c r="Q317">
        <f t="shared" si="12"/>
        <v>228.77799994312227</v>
      </c>
      <c r="R317">
        <f t="shared" si="13"/>
        <v>0.15436863229391787</v>
      </c>
      <c r="S317">
        <f t="shared" si="14"/>
        <v>0.56601831841103223</v>
      </c>
    </row>
    <row r="318" spans="1:19" hidden="1" x14ac:dyDescent="0.2">
      <c r="A318" s="1">
        <v>18</v>
      </c>
      <c r="B318" s="1" t="s">
        <v>25</v>
      </c>
      <c r="C318" s="1">
        <v>15</v>
      </c>
      <c r="D318" s="1">
        <v>1</v>
      </c>
      <c r="E318" s="1">
        <v>1011</v>
      </c>
      <c r="F318" s="1" t="b">
        <v>1</v>
      </c>
      <c r="G318" s="1">
        <v>39.5</v>
      </c>
      <c r="H318" s="1">
        <v>22</v>
      </c>
      <c r="I318" s="1">
        <v>2</v>
      </c>
      <c r="J318" s="1">
        <v>0.24</v>
      </c>
      <c r="K318" s="1" t="s">
        <v>422</v>
      </c>
      <c r="L318" s="1">
        <v>0</v>
      </c>
      <c r="M318" s="1"/>
      <c r="N318" s="1" t="s">
        <v>423</v>
      </c>
      <c r="O318" s="1" t="s">
        <v>424</v>
      </c>
      <c r="P318" s="1" t="s">
        <v>20</v>
      </c>
      <c r="Q318">
        <f t="shared" si="12"/>
        <v>182.85400026943535</v>
      </c>
      <c r="R318">
        <f t="shared" si="13"/>
        <v>5.0632911392405063E-2</v>
      </c>
      <c r="S318">
        <f t="shared" si="14"/>
        <v>0.55696202531645567</v>
      </c>
    </row>
    <row r="319" spans="1:19" hidden="1" x14ac:dyDescent="0.2">
      <c r="A319" s="1">
        <v>21</v>
      </c>
      <c r="B319" s="1" t="s">
        <v>25</v>
      </c>
      <c r="C319" s="1">
        <v>20</v>
      </c>
      <c r="D319" s="1">
        <v>1</v>
      </c>
      <c r="E319" s="1">
        <v>1011</v>
      </c>
      <c r="F319" s="1" t="b">
        <v>1</v>
      </c>
      <c r="G319" s="1">
        <v>55.283999999999999</v>
      </c>
      <c r="H319" s="1">
        <v>24</v>
      </c>
      <c r="I319" s="1">
        <v>9</v>
      </c>
      <c r="J319" s="1">
        <v>1.32</v>
      </c>
      <c r="K319" s="1" t="s">
        <v>431</v>
      </c>
      <c r="L319" s="1">
        <v>0</v>
      </c>
      <c r="M319" s="1"/>
      <c r="N319" s="1" t="s">
        <v>432</v>
      </c>
      <c r="O319" s="1" t="s">
        <v>433</v>
      </c>
      <c r="P319" s="1" t="s">
        <v>20</v>
      </c>
      <c r="Q319">
        <f t="shared" si="12"/>
        <v>278.9779998594895</v>
      </c>
      <c r="R319">
        <f t="shared" si="13"/>
        <v>0.16279574560451487</v>
      </c>
      <c r="S319">
        <f t="shared" si="14"/>
        <v>0.43412198827870635</v>
      </c>
    </row>
    <row r="320" spans="1:19" hidden="1" x14ac:dyDescent="0.2">
      <c r="A320" s="1">
        <v>24</v>
      </c>
      <c r="B320" s="1" t="s">
        <v>25</v>
      </c>
      <c r="C320" s="1">
        <v>50</v>
      </c>
      <c r="D320" s="1">
        <v>1</v>
      </c>
      <c r="E320" s="1">
        <v>1011</v>
      </c>
      <c r="F320" s="1" t="b">
        <v>1</v>
      </c>
      <c r="G320" s="1">
        <v>49.536000000000001</v>
      </c>
      <c r="H320" s="1">
        <v>25</v>
      </c>
      <c r="I320" s="1">
        <v>2</v>
      </c>
      <c r="J320" s="1">
        <v>1.32</v>
      </c>
      <c r="K320" s="1" t="s">
        <v>440</v>
      </c>
      <c r="L320" s="1">
        <v>0</v>
      </c>
      <c r="M320" s="1"/>
      <c r="N320" s="1" t="s">
        <v>441</v>
      </c>
      <c r="O320" s="1" t="s">
        <v>442</v>
      </c>
      <c r="P320" s="1" t="s">
        <v>20</v>
      </c>
      <c r="Q320">
        <f t="shared" si="12"/>
        <v>227.65399992931634</v>
      </c>
      <c r="R320">
        <f t="shared" si="13"/>
        <v>4.0374677002583979E-2</v>
      </c>
      <c r="S320">
        <f t="shared" si="14"/>
        <v>0.50468346253229968</v>
      </c>
    </row>
    <row r="321" spans="1:19" hidden="1" x14ac:dyDescent="0.2">
      <c r="A321" s="1">
        <v>27</v>
      </c>
      <c r="B321" s="1" t="s">
        <v>25</v>
      </c>
      <c r="C321" s="1">
        <v>70</v>
      </c>
      <c r="D321" s="1">
        <v>1</v>
      </c>
      <c r="E321" s="1">
        <v>1011</v>
      </c>
      <c r="F321" s="1" t="b">
        <v>1</v>
      </c>
      <c r="G321" s="1">
        <v>59.936</v>
      </c>
      <c r="H321" s="1">
        <v>24</v>
      </c>
      <c r="I321" s="1">
        <v>6</v>
      </c>
      <c r="J321" s="1">
        <v>1.26</v>
      </c>
      <c r="K321" s="1" t="s">
        <v>449</v>
      </c>
      <c r="L321" s="1">
        <v>0</v>
      </c>
      <c r="M321" s="1"/>
      <c r="N321" s="1" t="s">
        <v>450</v>
      </c>
      <c r="O321" s="1" t="s">
        <v>451</v>
      </c>
      <c r="P321" s="1" t="s">
        <v>20</v>
      </c>
      <c r="Q321">
        <f t="shared" si="12"/>
        <v>302.60800018440932</v>
      </c>
      <c r="R321">
        <f t="shared" si="13"/>
        <v>0.100106780565937</v>
      </c>
      <c r="S321">
        <f t="shared" si="14"/>
        <v>0.40042712226374799</v>
      </c>
    </row>
    <row r="322" spans="1:19" x14ac:dyDescent="0.2">
      <c r="A322" s="1">
        <v>1</v>
      </c>
      <c r="B322" s="1" t="s">
        <v>16</v>
      </c>
      <c r="C322" s="1">
        <v>-1</v>
      </c>
      <c r="D322" s="1">
        <v>1</v>
      </c>
      <c r="E322" s="1">
        <v>1011</v>
      </c>
      <c r="F322" s="1" t="b">
        <v>1</v>
      </c>
      <c r="G322" s="1">
        <v>57.948</v>
      </c>
      <c r="H322" s="1">
        <v>31</v>
      </c>
      <c r="I322" s="1">
        <v>9</v>
      </c>
      <c r="J322" s="1">
        <v>9.06</v>
      </c>
      <c r="K322" s="1" t="s">
        <v>371</v>
      </c>
      <c r="L322" s="1">
        <v>0</v>
      </c>
      <c r="M322" s="1"/>
      <c r="N322" s="1" t="s">
        <v>372</v>
      </c>
      <c r="O322" s="1" t="s">
        <v>373</v>
      </c>
      <c r="P322" s="1" t="s">
        <v>20</v>
      </c>
      <c r="Q322">
        <f t="shared" ref="Q322:Q385" si="15">(VALUE(LEFT(SUBSTITUTE(O322,"T"," "),23)) - VALUE(LEFT(SUBSTITUTE(N322,"T"," "),23))) * 86400</f>
        <v>225.21799989044666</v>
      </c>
      <c r="R322">
        <f t="shared" ref="R322:R385" si="16">I322/G322</f>
        <v>0.15531165872851521</v>
      </c>
      <c r="S322">
        <f t="shared" ref="S322:S385" si="17">H322/G322</f>
        <v>0.53496238006488572</v>
      </c>
    </row>
    <row r="323" spans="1:19" x14ac:dyDescent="0.2">
      <c r="A323" s="1">
        <v>4</v>
      </c>
      <c r="B323" s="1" t="s">
        <v>16</v>
      </c>
      <c r="C323" s="1">
        <v>0</v>
      </c>
      <c r="D323" s="1">
        <v>1</v>
      </c>
      <c r="E323" s="1">
        <v>1011</v>
      </c>
      <c r="F323" s="1" t="b">
        <v>1</v>
      </c>
      <c r="G323" s="1">
        <v>93.707999999999998</v>
      </c>
      <c r="H323" s="1">
        <v>27</v>
      </c>
      <c r="I323" s="1">
        <v>5</v>
      </c>
      <c r="J323" s="1">
        <v>1.38</v>
      </c>
      <c r="K323" s="1" t="s">
        <v>380</v>
      </c>
      <c r="L323" s="1">
        <v>0</v>
      </c>
      <c r="M323" s="1"/>
      <c r="N323" s="1" t="s">
        <v>381</v>
      </c>
      <c r="O323" s="1" t="s">
        <v>382</v>
      </c>
      <c r="P323" s="1" t="s">
        <v>20</v>
      </c>
      <c r="Q323">
        <f t="shared" si="15"/>
        <v>373.99899987503886</v>
      </c>
      <c r="R323">
        <f t="shared" si="16"/>
        <v>5.3357237375677637E-2</v>
      </c>
      <c r="S323">
        <f t="shared" si="17"/>
        <v>0.28812908182865926</v>
      </c>
    </row>
    <row r="324" spans="1:19" x14ac:dyDescent="0.2">
      <c r="A324" s="1">
        <v>7</v>
      </c>
      <c r="B324" s="1" t="s">
        <v>16</v>
      </c>
      <c r="C324" s="1">
        <v>2</v>
      </c>
      <c r="D324" s="1">
        <v>1</v>
      </c>
      <c r="E324" s="1">
        <v>1011</v>
      </c>
      <c r="F324" s="1" t="b">
        <v>1</v>
      </c>
      <c r="G324" s="1">
        <v>76.323999999999998</v>
      </c>
      <c r="H324" s="1">
        <v>22</v>
      </c>
      <c r="I324" s="1">
        <v>3</v>
      </c>
      <c r="J324" s="1">
        <v>0.78</v>
      </c>
      <c r="K324" s="1" t="s">
        <v>389</v>
      </c>
      <c r="L324" s="1">
        <v>0</v>
      </c>
      <c r="M324" s="1"/>
      <c r="N324" s="1" t="s">
        <v>390</v>
      </c>
      <c r="O324" s="1" t="s">
        <v>391</v>
      </c>
      <c r="P324" s="1" t="s">
        <v>20</v>
      </c>
      <c r="Q324">
        <f t="shared" si="15"/>
        <v>302.595000481233</v>
      </c>
      <c r="R324">
        <f t="shared" si="16"/>
        <v>3.9306116031654528E-2</v>
      </c>
      <c r="S324">
        <f t="shared" si="17"/>
        <v>0.28824485089879986</v>
      </c>
    </row>
    <row r="325" spans="1:19" x14ac:dyDescent="0.2">
      <c r="A325" s="1">
        <v>10</v>
      </c>
      <c r="B325" s="1" t="s">
        <v>16</v>
      </c>
      <c r="C325" s="1">
        <v>5</v>
      </c>
      <c r="D325" s="1">
        <v>1</v>
      </c>
      <c r="E325" s="1">
        <v>1011</v>
      </c>
      <c r="F325" s="1" t="b">
        <v>1</v>
      </c>
      <c r="G325" s="1">
        <v>60.076000000000001</v>
      </c>
      <c r="H325" s="1">
        <v>27</v>
      </c>
      <c r="I325" s="1">
        <v>0</v>
      </c>
      <c r="J325" s="1">
        <v>0</v>
      </c>
      <c r="K325" s="1" t="s">
        <v>398</v>
      </c>
      <c r="L325" s="1">
        <v>0</v>
      </c>
      <c r="M325" s="1"/>
      <c r="N325" s="1" t="s">
        <v>399</v>
      </c>
      <c r="O325" s="1" t="s">
        <v>400</v>
      </c>
      <c r="P325" s="1" t="s">
        <v>20</v>
      </c>
      <c r="Q325">
        <f t="shared" si="15"/>
        <v>260.90699988417327</v>
      </c>
      <c r="R325">
        <f t="shared" si="16"/>
        <v>0</v>
      </c>
      <c r="S325">
        <f t="shared" si="17"/>
        <v>0.44943072108662363</v>
      </c>
    </row>
    <row r="326" spans="1:19" hidden="1" x14ac:dyDescent="0.2">
      <c r="A326" s="1">
        <v>13</v>
      </c>
      <c r="B326" s="1" t="s">
        <v>16</v>
      </c>
      <c r="C326" s="1">
        <v>10</v>
      </c>
      <c r="D326" s="1">
        <v>1</v>
      </c>
      <c r="E326" s="1">
        <v>1011</v>
      </c>
      <c r="F326" s="1" t="b">
        <v>1</v>
      </c>
      <c r="G326" s="1">
        <v>42.963999999999999</v>
      </c>
      <c r="H326" s="1">
        <v>25</v>
      </c>
      <c r="I326" s="1">
        <v>7</v>
      </c>
      <c r="J326" s="1">
        <v>1.5</v>
      </c>
      <c r="K326" s="1" t="s">
        <v>407</v>
      </c>
      <c r="L326" s="1">
        <v>0</v>
      </c>
      <c r="M326" s="1"/>
      <c r="N326" s="1" t="s">
        <v>408</v>
      </c>
      <c r="O326" s="1" t="s">
        <v>409</v>
      </c>
      <c r="P326" s="1" t="s">
        <v>20</v>
      </c>
      <c r="Q326">
        <f t="shared" si="15"/>
        <v>236.73900018911809</v>
      </c>
      <c r="R326">
        <f t="shared" si="16"/>
        <v>0.1629271017596127</v>
      </c>
      <c r="S326">
        <f t="shared" si="17"/>
        <v>0.58188250628433114</v>
      </c>
    </row>
    <row r="327" spans="1:19" hidden="1" x14ac:dyDescent="0.2">
      <c r="A327" s="1">
        <v>16</v>
      </c>
      <c r="B327" s="1" t="s">
        <v>16</v>
      </c>
      <c r="C327" s="1">
        <v>15</v>
      </c>
      <c r="D327" s="1">
        <v>1</v>
      </c>
      <c r="E327" s="1">
        <v>1011</v>
      </c>
      <c r="F327" s="1" t="b">
        <v>1</v>
      </c>
      <c r="G327" s="1">
        <v>48.76</v>
      </c>
      <c r="H327" s="1">
        <v>28</v>
      </c>
      <c r="I327" s="1">
        <v>7</v>
      </c>
      <c r="J327" s="1">
        <v>1.26</v>
      </c>
      <c r="K327" s="1" t="s">
        <v>416</v>
      </c>
      <c r="L327" s="1">
        <v>0</v>
      </c>
      <c r="M327" s="1"/>
      <c r="N327" s="1" t="s">
        <v>417</v>
      </c>
      <c r="O327" s="1" t="s">
        <v>418</v>
      </c>
      <c r="P327" s="1" t="s">
        <v>20</v>
      </c>
      <c r="Q327">
        <f t="shared" si="15"/>
        <v>269.59400014020503</v>
      </c>
      <c r="R327">
        <f t="shared" si="16"/>
        <v>0.14356029532403611</v>
      </c>
      <c r="S327">
        <f t="shared" si="17"/>
        <v>0.57424118129614443</v>
      </c>
    </row>
    <row r="328" spans="1:19" hidden="1" x14ac:dyDescent="0.2">
      <c r="A328" s="1">
        <v>19</v>
      </c>
      <c r="B328" s="1" t="s">
        <v>16</v>
      </c>
      <c r="C328" s="1">
        <v>20</v>
      </c>
      <c r="D328" s="1">
        <v>1</v>
      </c>
      <c r="E328" s="1">
        <v>1011</v>
      </c>
      <c r="F328" s="1" t="b">
        <v>1</v>
      </c>
      <c r="G328" s="1">
        <v>84.932000000000002</v>
      </c>
      <c r="H328" s="1">
        <v>27</v>
      </c>
      <c r="I328" s="1">
        <v>9</v>
      </c>
      <c r="J328" s="1">
        <v>1.02</v>
      </c>
      <c r="K328" s="1" t="s">
        <v>425</v>
      </c>
      <c r="L328" s="1">
        <v>0</v>
      </c>
      <c r="M328" s="1"/>
      <c r="N328" s="1" t="s">
        <v>426</v>
      </c>
      <c r="O328" s="1" t="s">
        <v>427</v>
      </c>
      <c r="P328" s="1" t="s">
        <v>20</v>
      </c>
      <c r="Q328">
        <f t="shared" si="15"/>
        <v>336.34500035550445</v>
      </c>
      <c r="R328">
        <f t="shared" si="16"/>
        <v>0.10596712664249046</v>
      </c>
      <c r="S328">
        <f t="shared" si="17"/>
        <v>0.31790137992747136</v>
      </c>
    </row>
    <row r="329" spans="1:19" hidden="1" x14ac:dyDescent="0.2">
      <c r="A329" s="1">
        <v>22</v>
      </c>
      <c r="B329" s="1" t="s">
        <v>16</v>
      </c>
      <c r="C329" s="1">
        <v>50</v>
      </c>
      <c r="D329" s="1">
        <v>1</v>
      </c>
      <c r="E329" s="1">
        <v>1011</v>
      </c>
      <c r="F329" s="1" t="b">
        <v>1</v>
      </c>
      <c r="G329" s="1">
        <v>74.244</v>
      </c>
      <c r="H329" s="1">
        <v>28</v>
      </c>
      <c r="I329" s="1">
        <v>20</v>
      </c>
      <c r="J329" s="1">
        <v>4.8600000000000003</v>
      </c>
      <c r="K329" s="1" t="s">
        <v>434</v>
      </c>
      <c r="L329" s="1">
        <v>0</v>
      </c>
      <c r="M329" s="1"/>
      <c r="N329" s="1" t="s">
        <v>435</v>
      </c>
      <c r="O329" s="1" t="s">
        <v>436</v>
      </c>
      <c r="P329" s="1" t="s">
        <v>20</v>
      </c>
      <c r="Q329">
        <f t="shared" si="15"/>
        <v>320.2820003265515</v>
      </c>
      <c r="R329">
        <f t="shared" si="16"/>
        <v>0.26938203760573243</v>
      </c>
      <c r="S329">
        <f t="shared" si="17"/>
        <v>0.37713485264802543</v>
      </c>
    </row>
    <row r="330" spans="1:19" hidden="1" x14ac:dyDescent="0.2">
      <c r="A330" s="1">
        <v>25</v>
      </c>
      <c r="B330" s="1" t="s">
        <v>16</v>
      </c>
      <c r="C330" s="1">
        <v>70</v>
      </c>
      <c r="D330" s="1">
        <v>1</v>
      </c>
      <c r="E330" s="1">
        <v>1011</v>
      </c>
      <c r="F330" s="1" t="b">
        <v>1</v>
      </c>
      <c r="G330" s="1">
        <v>60.56</v>
      </c>
      <c r="H330" s="1">
        <v>25</v>
      </c>
      <c r="I330" s="1">
        <v>11</v>
      </c>
      <c r="J330" s="1">
        <v>1.8</v>
      </c>
      <c r="K330" s="1" t="s">
        <v>443</v>
      </c>
      <c r="L330" s="1">
        <v>0</v>
      </c>
      <c r="M330" s="1"/>
      <c r="N330" s="1" t="s">
        <v>444</v>
      </c>
      <c r="O330" s="1" t="s">
        <v>445</v>
      </c>
      <c r="P330" s="1" t="s">
        <v>20</v>
      </c>
      <c r="Q330">
        <f t="shared" si="15"/>
        <v>240.5319997575134</v>
      </c>
      <c r="R330">
        <f t="shared" si="16"/>
        <v>0.18163804491413474</v>
      </c>
      <c r="S330">
        <f t="shared" si="17"/>
        <v>0.41281373844121533</v>
      </c>
    </row>
    <row r="331" spans="1:19" x14ac:dyDescent="0.2">
      <c r="A331">
        <v>2</v>
      </c>
      <c r="B331" t="s">
        <v>21</v>
      </c>
      <c r="C331">
        <v>-1</v>
      </c>
      <c r="D331">
        <v>1</v>
      </c>
      <c r="E331">
        <v>1012</v>
      </c>
      <c r="F331" t="b">
        <v>1</v>
      </c>
      <c r="G331">
        <v>62.904000000000003</v>
      </c>
      <c r="H331">
        <v>30</v>
      </c>
      <c r="I331">
        <v>8</v>
      </c>
      <c r="J331">
        <v>10.44</v>
      </c>
      <c r="K331" t="s">
        <v>980</v>
      </c>
      <c r="L331">
        <v>0</v>
      </c>
      <c r="N331" t="s">
        <v>981</v>
      </c>
      <c r="O331" t="s">
        <v>982</v>
      </c>
      <c r="P331" t="s">
        <v>20</v>
      </c>
      <c r="Q331">
        <f t="shared" si="15"/>
        <v>244.76400003768504</v>
      </c>
      <c r="R331">
        <f t="shared" si="16"/>
        <v>0.12717792191275593</v>
      </c>
      <c r="S331">
        <f t="shared" si="17"/>
        <v>0.47691720717283476</v>
      </c>
    </row>
    <row r="332" spans="1:19" x14ac:dyDescent="0.2">
      <c r="A332">
        <v>5</v>
      </c>
      <c r="B332" t="s">
        <v>21</v>
      </c>
      <c r="C332">
        <v>0</v>
      </c>
      <c r="D332">
        <v>1</v>
      </c>
      <c r="E332">
        <v>1012</v>
      </c>
      <c r="F332" t="b">
        <v>1</v>
      </c>
      <c r="G332">
        <v>78.536000000000001</v>
      </c>
      <c r="H332">
        <v>23</v>
      </c>
      <c r="I332">
        <v>1</v>
      </c>
      <c r="J332">
        <v>0.06</v>
      </c>
      <c r="K332" t="s">
        <v>989</v>
      </c>
      <c r="L332">
        <v>0</v>
      </c>
      <c r="N332" t="s">
        <v>990</v>
      </c>
      <c r="O332" t="s">
        <v>991</v>
      </c>
      <c r="P332" t="s">
        <v>20</v>
      </c>
      <c r="Q332">
        <f t="shared" si="15"/>
        <v>416.9090002309531</v>
      </c>
      <c r="R332">
        <f t="shared" si="16"/>
        <v>1.2733014159111745E-2</v>
      </c>
      <c r="S332">
        <f t="shared" si="17"/>
        <v>0.29285932565957012</v>
      </c>
    </row>
    <row r="333" spans="1:19" x14ac:dyDescent="0.2">
      <c r="A333">
        <v>8</v>
      </c>
      <c r="B333" t="s">
        <v>21</v>
      </c>
      <c r="C333">
        <v>2</v>
      </c>
      <c r="D333">
        <v>1</v>
      </c>
      <c r="E333">
        <v>1012</v>
      </c>
      <c r="F333" t="b">
        <v>1</v>
      </c>
      <c r="G333">
        <v>64.855999999999995</v>
      </c>
      <c r="H333">
        <v>23</v>
      </c>
      <c r="I333">
        <v>2</v>
      </c>
      <c r="J333">
        <v>0.9</v>
      </c>
      <c r="K333" t="s">
        <v>998</v>
      </c>
      <c r="L333">
        <v>0</v>
      </c>
      <c r="N333" t="s">
        <v>999</v>
      </c>
      <c r="O333" t="s">
        <v>1000</v>
      </c>
      <c r="P333" t="s">
        <v>20</v>
      </c>
      <c r="Q333">
        <f t="shared" si="15"/>
        <v>274.84399995300919</v>
      </c>
      <c r="R333">
        <f t="shared" si="16"/>
        <v>3.083754779819909E-2</v>
      </c>
      <c r="S333">
        <f t="shared" si="17"/>
        <v>0.35463179967928954</v>
      </c>
    </row>
    <row r="334" spans="1:19" x14ac:dyDescent="0.2">
      <c r="A334">
        <v>11</v>
      </c>
      <c r="B334" t="s">
        <v>21</v>
      </c>
      <c r="C334">
        <v>5</v>
      </c>
      <c r="D334">
        <v>1</v>
      </c>
      <c r="E334">
        <v>1012</v>
      </c>
      <c r="F334" t="b">
        <v>1</v>
      </c>
      <c r="G334">
        <v>65.132000000000005</v>
      </c>
      <c r="H334">
        <v>23</v>
      </c>
      <c r="I334">
        <v>2</v>
      </c>
      <c r="J334">
        <v>0.96</v>
      </c>
      <c r="K334" t="s">
        <v>1007</v>
      </c>
      <c r="L334">
        <v>0</v>
      </c>
      <c r="N334" t="s">
        <v>1008</v>
      </c>
      <c r="O334" t="s">
        <v>1009</v>
      </c>
      <c r="P334" t="s">
        <v>20</v>
      </c>
      <c r="Q334">
        <f t="shared" si="15"/>
        <v>304.973000055179</v>
      </c>
      <c r="R334">
        <f t="shared" si="16"/>
        <v>3.0706872197997909E-2</v>
      </c>
      <c r="S334">
        <f t="shared" si="17"/>
        <v>0.35312903027697595</v>
      </c>
    </row>
    <row r="335" spans="1:19" hidden="1" x14ac:dyDescent="0.2">
      <c r="A335">
        <v>14</v>
      </c>
      <c r="B335" t="s">
        <v>21</v>
      </c>
      <c r="C335">
        <v>10</v>
      </c>
      <c r="D335">
        <v>1</v>
      </c>
      <c r="E335">
        <v>1012</v>
      </c>
      <c r="F335" t="b">
        <v>1</v>
      </c>
      <c r="G335">
        <v>75.456000000000003</v>
      </c>
      <c r="H335">
        <v>25</v>
      </c>
      <c r="I335">
        <v>2</v>
      </c>
      <c r="J335">
        <v>0.42</v>
      </c>
      <c r="K335" t="s">
        <v>1016</v>
      </c>
      <c r="L335">
        <v>0</v>
      </c>
      <c r="N335" t="s">
        <v>1017</v>
      </c>
      <c r="O335" t="s">
        <v>1018</v>
      </c>
      <c r="P335" t="s">
        <v>20</v>
      </c>
      <c r="Q335">
        <f t="shared" si="15"/>
        <v>397.94399987440556</v>
      </c>
      <c r="R335">
        <f t="shared" si="16"/>
        <v>2.6505513146734518E-2</v>
      </c>
      <c r="S335">
        <f t="shared" si="17"/>
        <v>0.33131891433418148</v>
      </c>
    </row>
    <row r="336" spans="1:19" hidden="1" x14ac:dyDescent="0.2">
      <c r="A336">
        <v>17</v>
      </c>
      <c r="B336" t="s">
        <v>21</v>
      </c>
      <c r="C336">
        <v>15</v>
      </c>
      <c r="D336">
        <v>1</v>
      </c>
      <c r="E336">
        <v>1012</v>
      </c>
      <c r="F336" t="b">
        <v>1</v>
      </c>
      <c r="G336">
        <v>74.275999999999996</v>
      </c>
      <c r="H336">
        <v>29</v>
      </c>
      <c r="I336">
        <v>8</v>
      </c>
      <c r="J336">
        <v>2.76</v>
      </c>
      <c r="K336" t="s">
        <v>1025</v>
      </c>
      <c r="L336">
        <v>0</v>
      </c>
      <c r="N336" t="s">
        <v>1026</v>
      </c>
      <c r="O336" t="s">
        <v>1027</v>
      </c>
      <c r="P336" t="s">
        <v>20</v>
      </c>
      <c r="Q336">
        <f t="shared" si="15"/>
        <v>297.19999982044101</v>
      </c>
      <c r="R336">
        <f t="shared" si="16"/>
        <v>0.10770639237438742</v>
      </c>
      <c r="S336">
        <f t="shared" si="17"/>
        <v>0.39043567235715443</v>
      </c>
    </row>
    <row r="337" spans="1:19" hidden="1" x14ac:dyDescent="0.2">
      <c r="A337">
        <v>20</v>
      </c>
      <c r="B337" t="s">
        <v>21</v>
      </c>
      <c r="C337">
        <v>20</v>
      </c>
      <c r="D337">
        <v>1</v>
      </c>
      <c r="E337">
        <v>1012</v>
      </c>
      <c r="F337" t="b">
        <v>1</v>
      </c>
      <c r="G337">
        <v>81.275999999999996</v>
      </c>
      <c r="H337">
        <v>23</v>
      </c>
      <c r="I337">
        <v>6</v>
      </c>
      <c r="J337">
        <v>2.76</v>
      </c>
      <c r="K337" t="s">
        <v>1034</v>
      </c>
      <c r="L337">
        <v>0</v>
      </c>
      <c r="N337" t="s">
        <v>1035</v>
      </c>
      <c r="O337" t="s">
        <v>1036</v>
      </c>
      <c r="P337" t="s">
        <v>20</v>
      </c>
      <c r="Q337">
        <f t="shared" si="15"/>
        <v>389.97100009582937</v>
      </c>
      <c r="R337">
        <f t="shared" si="16"/>
        <v>7.382253063635022E-2</v>
      </c>
      <c r="S337">
        <f t="shared" si="17"/>
        <v>0.28298636743934252</v>
      </c>
    </row>
    <row r="338" spans="1:19" hidden="1" x14ac:dyDescent="0.2">
      <c r="A338">
        <v>23</v>
      </c>
      <c r="B338" t="s">
        <v>21</v>
      </c>
      <c r="C338">
        <v>50</v>
      </c>
      <c r="D338">
        <v>1</v>
      </c>
      <c r="E338">
        <v>1012</v>
      </c>
      <c r="F338" t="b">
        <v>1</v>
      </c>
      <c r="G338">
        <v>57.372</v>
      </c>
      <c r="H338">
        <v>25</v>
      </c>
      <c r="I338">
        <v>2</v>
      </c>
      <c r="J338">
        <v>0.6</v>
      </c>
      <c r="K338" t="s">
        <v>1043</v>
      </c>
      <c r="L338">
        <v>0</v>
      </c>
      <c r="N338" t="s">
        <v>1044</v>
      </c>
      <c r="O338" t="s">
        <v>1045</v>
      </c>
      <c r="P338" t="s">
        <v>20</v>
      </c>
      <c r="Q338">
        <f t="shared" si="15"/>
        <v>275.90799978934228</v>
      </c>
      <c r="R338">
        <f t="shared" si="16"/>
        <v>3.4860210555671754E-2</v>
      </c>
      <c r="S338">
        <f t="shared" si="17"/>
        <v>0.43575263194589697</v>
      </c>
    </row>
    <row r="339" spans="1:19" hidden="1" x14ac:dyDescent="0.2">
      <c r="A339">
        <v>26</v>
      </c>
      <c r="B339" t="s">
        <v>21</v>
      </c>
      <c r="C339">
        <v>70</v>
      </c>
      <c r="D339">
        <v>1</v>
      </c>
      <c r="E339">
        <v>1012</v>
      </c>
      <c r="F339" t="b">
        <v>1</v>
      </c>
      <c r="G339">
        <v>53.82</v>
      </c>
      <c r="H339">
        <v>21</v>
      </c>
      <c r="I339">
        <v>12</v>
      </c>
      <c r="J339">
        <v>3.96</v>
      </c>
      <c r="K339" t="s">
        <v>1052</v>
      </c>
      <c r="L339">
        <v>0</v>
      </c>
      <c r="N339" t="s">
        <v>1053</v>
      </c>
      <c r="O339" t="s">
        <v>1054</v>
      </c>
      <c r="P339" t="s">
        <v>20</v>
      </c>
      <c r="Q339">
        <f t="shared" si="15"/>
        <v>476.39500012155622</v>
      </c>
      <c r="R339">
        <f t="shared" si="16"/>
        <v>0.2229654403567447</v>
      </c>
      <c r="S339">
        <f t="shared" si="17"/>
        <v>0.39018952062430323</v>
      </c>
    </row>
    <row r="340" spans="1:19" x14ac:dyDescent="0.2">
      <c r="A340">
        <v>3</v>
      </c>
      <c r="B340" t="s">
        <v>25</v>
      </c>
      <c r="C340">
        <v>-1</v>
      </c>
      <c r="D340">
        <v>1</v>
      </c>
      <c r="E340">
        <v>1012</v>
      </c>
      <c r="F340" t="b">
        <v>1</v>
      </c>
      <c r="G340">
        <v>38.908000000000001</v>
      </c>
      <c r="H340">
        <v>26</v>
      </c>
      <c r="I340">
        <v>6</v>
      </c>
      <c r="J340">
        <v>6.9</v>
      </c>
      <c r="K340" t="s">
        <v>983</v>
      </c>
      <c r="L340">
        <v>0</v>
      </c>
      <c r="N340" t="s">
        <v>984</v>
      </c>
      <c r="O340" t="s">
        <v>985</v>
      </c>
      <c r="P340" t="s">
        <v>20</v>
      </c>
      <c r="Q340">
        <f t="shared" si="15"/>
        <v>142.25099994800985</v>
      </c>
      <c r="R340">
        <f t="shared" si="16"/>
        <v>0.1542099311195641</v>
      </c>
      <c r="S340">
        <f t="shared" si="17"/>
        <v>0.66824303485144443</v>
      </c>
    </row>
    <row r="341" spans="1:19" x14ac:dyDescent="0.2">
      <c r="A341">
        <v>6</v>
      </c>
      <c r="B341" t="s">
        <v>25</v>
      </c>
      <c r="C341">
        <v>0</v>
      </c>
      <c r="D341">
        <v>1</v>
      </c>
      <c r="E341">
        <v>1012</v>
      </c>
      <c r="F341" t="b">
        <v>1</v>
      </c>
      <c r="G341">
        <v>54.643999999999998</v>
      </c>
      <c r="H341">
        <v>24</v>
      </c>
      <c r="I341">
        <v>4</v>
      </c>
      <c r="J341">
        <v>0.42</v>
      </c>
      <c r="K341" t="s">
        <v>992</v>
      </c>
      <c r="L341">
        <v>0</v>
      </c>
      <c r="N341" t="s">
        <v>993</v>
      </c>
      <c r="O341" t="s">
        <v>994</v>
      </c>
      <c r="P341" t="s">
        <v>20</v>
      </c>
      <c r="Q341">
        <f t="shared" si="15"/>
        <v>239.89300013054162</v>
      </c>
      <c r="R341">
        <f t="shared" si="16"/>
        <v>7.3201083376033968E-2</v>
      </c>
      <c r="S341">
        <f t="shared" si="17"/>
        <v>0.43920650025620378</v>
      </c>
    </row>
    <row r="342" spans="1:19" x14ac:dyDescent="0.2">
      <c r="A342">
        <v>9</v>
      </c>
      <c r="B342" t="s">
        <v>25</v>
      </c>
      <c r="C342">
        <v>2</v>
      </c>
      <c r="D342">
        <v>1</v>
      </c>
      <c r="E342">
        <v>1012</v>
      </c>
      <c r="F342" t="b">
        <v>1</v>
      </c>
      <c r="G342">
        <v>51.368000000000002</v>
      </c>
      <c r="H342">
        <v>24</v>
      </c>
      <c r="I342">
        <v>1</v>
      </c>
      <c r="J342">
        <v>0.42</v>
      </c>
      <c r="K342" t="s">
        <v>1001</v>
      </c>
      <c r="L342">
        <v>0</v>
      </c>
      <c r="N342" t="s">
        <v>1002</v>
      </c>
      <c r="O342" t="s">
        <v>1003</v>
      </c>
      <c r="P342" t="s">
        <v>20</v>
      </c>
      <c r="Q342">
        <f t="shared" si="15"/>
        <v>270.05699991714209</v>
      </c>
      <c r="R342">
        <f t="shared" si="16"/>
        <v>1.9467372683382649E-2</v>
      </c>
      <c r="S342">
        <f t="shared" si="17"/>
        <v>0.46721694440118361</v>
      </c>
    </row>
    <row r="343" spans="1:19" x14ac:dyDescent="0.2">
      <c r="A343">
        <v>12</v>
      </c>
      <c r="B343" t="s">
        <v>25</v>
      </c>
      <c r="C343">
        <v>5</v>
      </c>
      <c r="D343">
        <v>1</v>
      </c>
      <c r="E343">
        <v>1012</v>
      </c>
      <c r="F343" t="b">
        <v>1</v>
      </c>
      <c r="G343">
        <v>38.223999999999997</v>
      </c>
      <c r="H343">
        <v>28</v>
      </c>
      <c r="I343">
        <v>1</v>
      </c>
      <c r="J343">
        <v>0.72</v>
      </c>
      <c r="K343" t="s">
        <v>1010</v>
      </c>
      <c r="L343">
        <v>0</v>
      </c>
      <c r="N343" t="s">
        <v>1011</v>
      </c>
      <c r="O343" t="s">
        <v>1012</v>
      </c>
      <c r="P343" t="s">
        <v>20</v>
      </c>
      <c r="Q343">
        <f t="shared" si="15"/>
        <v>173.50999983027577</v>
      </c>
      <c r="R343">
        <f t="shared" si="16"/>
        <v>2.6161573880284641E-2</v>
      </c>
      <c r="S343">
        <f t="shared" si="17"/>
        <v>0.73252406864796993</v>
      </c>
    </row>
    <row r="344" spans="1:19" hidden="1" x14ac:dyDescent="0.2">
      <c r="A344">
        <v>15</v>
      </c>
      <c r="B344" t="s">
        <v>25</v>
      </c>
      <c r="C344">
        <v>10</v>
      </c>
      <c r="D344">
        <v>1</v>
      </c>
      <c r="E344">
        <v>1012</v>
      </c>
      <c r="F344" t="b">
        <v>1</v>
      </c>
      <c r="G344">
        <v>51.64</v>
      </c>
      <c r="H344">
        <v>22</v>
      </c>
      <c r="I344">
        <v>3</v>
      </c>
      <c r="J344">
        <v>0.6</v>
      </c>
      <c r="K344" t="s">
        <v>1019</v>
      </c>
      <c r="L344">
        <v>0</v>
      </c>
      <c r="N344" t="s">
        <v>1020</v>
      </c>
      <c r="O344" t="s">
        <v>1021</v>
      </c>
      <c r="P344" t="s">
        <v>20</v>
      </c>
      <c r="Q344">
        <f t="shared" si="15"/>
        <v>260.52500009536743</v>
      </c>
      <c r="R344">
        <f t="shared" si="16"/>
        <v>5.8094500387296667E-2</v>
      </c>
      <c r="S344">
        <f t="shared" si="17"/>
        <v>0.42602633617350888</v>
      </c>
    </row>
    <row r="345" spans="1:19" hidden="1" x14ac:dyDescent="0.2">
      <c r="A345">
        <v>18</v>
      </c>
      <c r="B345" t="s">
        <v>25</v>
      </c>
      <c r="C345">
        <v>15</v>
      </c>
      <c r="D345">
        <v>1</v>
      </c>
      <c r="E345">
        <v>1012</v>
      </c>
      <c r="F345" t="b">
        <v>1</v>
      </c>
      <c r="G345">
        <v>49.444000000000003</v>
      </c>
      <c r="H345">
        <v>23</v>
      </c>
      <c r="I345">
        <v>5</v>
      </c>
      <c r="J345">
        <v>2.46</v>
      </c>
      <c r="K345" t="s">
        <v>1028</v>
      </c>
      <c r="L345">
        <v>0</v>
      </c>
      <c r="N345" t="s">
        <v>1029</v>
      </c>
      <c r="O345" t="s">
        <v>1030</v>
      </c>
      <c r="P345" t="s">
        <v>20</v>
      </c>
      <c r="Q345">
        <f t="shared" si="15"/>
        <v>221.60299988463521</v>
      </c>
      <c r="R345">
        <f t="shared" si="16"/>
        <v>0.10112450448992799</v>
      </c>
      <c r="S345">
        <f t="shared" si="17"/>
        <v>0.46517272065366877</v>
      </c>
    </row>
    <row r="346" spans="1:19" hidden="1" x14ac:dyDescent="0.2">
      <c r="A346">
        <v>21</v>
      </c>
      <c r="B346" t="s">
        <v>25</v>
      </c>
      <c r="C346">
        <v>20</v>
      </c>
      <c r="D346">
        <v>1</v>
      </c>
      <c r="E346">
        <v>1012</v>
      </c>
      <c r="F346" t="b">
        <v>1</v>
      </c>
      <c r="G346">
        <v>65.372</v>
      </c>
      <c r="H346">
        <v>26</v>
      </c>
      <c r="I346">
        <v>7</v>
      </c>
      <c r="J346">
        <v>0.96</v>
      </c>
      <c r="K346" t="s">
        <v>1037</v>
      </c>
      <c r="L346">
        <v>0</v>
      </c>
      <c r="N346" t="s">
        <v>1038</v>
      </c>
      <c r="O346" t="s">
        <v>1039</v>
      </c>
      <c r="P346" t="s">
        <v>20</v>
      </c>
      <c r="Q346">
        <f t="shared" si="15"/>
        <v>247.32200014404953</v>
      </c>
      <c r="R346">
        <f t="shared" si="16"/>
        <v>0.10707948357094781</v>
      </c>
      <c r="S346">
        <f t="shared" si="17"/>
        <v>0.39772379612066328</v>
      </c>
    </row>
    <row r="347" spans="1:19" hidden="1" x14ac:dyDescent="0.2">
      <c r="A347">
        <v>24</v>
      </c>
      <c r="B347" t="s">
        <v>25</v>
      </c>
      <c r="C347">
        <v>50</v>
      </c>
      <c r="D347">
        <v>1</v>
      </c>
      <c r="E347">
        <v>1012</v>
      </c>
      <c r="F347" t="b">
        <v>1</v>
      </c>
      <c r="G347">
        <v>34.576000000000001</v>
      </c>
      <c r="H347">
        <v>27</v>
      </c>
      <c r="I347">
        <v>5</v>
      </c>
      <c r="J347">
        <v>2.76</v>
      </c>
      <c r="K347" t="s">
        <v>1046</v>
      </c>
      <c r="L347">
        <v>0</v>
      </c>
      <c r="N347" t="s">
        <v>1047</v>
      </c>
      <c r="O347" t="s">
        <v>1048</v>
      </c>
      <c r="P347" t="s">
        <v>20</v>
      </c>
      <c r="Q347">
        <f t="shared" si="15"/>
        <v>129.78900005109608</v>
      </c>
      <c r="R347">
        <f t="shared" si="16"/>
        <v>0.14460897732531236</v>
      </c>
      <c r="S347">
        <f t="shared" si="17"/>
        <v>0.78088847755668667</v>
      </c>
    </row>
    <row r="348" spans="1:19" hidden="1" x14ac:dyDescent="0.2">
      <c r="A348">
        <v>27</v>
      </c>
      <c r="B348" t="s">
        <v>25</v>
      </c>
      <c r="C348">
        <v>70</v>
      </c>
      <c r="D348">
        <v>1</v>
      </c>
      <c r="E348">
        <v>1012</v>
      </c>
      <c r="F348" t="b">
        <v>1</v>
      </c>
      <c r="G348">
        <v>47.683999999999997</v>
      </c>
      <c r="H348">
        <v>27</v>
      </c>
      <c r="I348">
        <v>8</v>
      </c>
      <c r="J348">
        <v>1.68</v>
      </c>
      <c r="K348" t="s">
        <v>1055</v>
      </c>
      <c r="L348">
        <v>0</v>
      </c>
      <c r="N348" t="s">
        <v>1056</v>
      </c>
      <c r="O348" t="s">
        <v>1057</v>
      </c>
      <c r="P348" t="s">
        <v>20</v>
      </c>
      <c r="Q348">
        <f t="shared" si="15"/>
        <v>184.6539999358356</v>
      </c>
      <c r="R348">
        <f t="shared" si="16"/>
        <v>0.16777116013757237</v>
      </c>
      <c r="S348">
        <f t="shared" si="17"/>
        <v>0.5662276654643067</v>
      </c>
    </row>
    <row r="349" spans="1:19" x14ac:dyDescent="0.2">
      <c r="A349">
        <v>1</v>
      </c>
      <c r="B349" t="s">
        <v>16</v>
      </c>
      <c r="C349">
        <v>-1</v>
      </c>
      <c r="D349">
        <v>1</v>
      </c>
      <c r="E349">
        <v>1012</v>
      </c>
      <c r="F349" t="b">
        <v>1</v>
      </c>
      <c r="G349">
        <v>62.783999999999999</v>
      </c>
      <c r="H349">
        <v>29</v>
      </c>
      <c r="I349">
        <v>11</v>
      </c>
      <c r="J349">
        <v>13.86</v>
      </c>
      <c r="K349" t="s">
        <v>977</v>
      </c>
      <c r="L349">
        <v>0</v>
      </c>
      <c r="N349" t="s">
        <v>978</v>
      </c>
      <c r="O349" t="s">
        <v>979</v>
      </c>
      <c r="P349" t="s">
        <v>20</v>
      </c>
      <c r="Q349">
        <f t="shared" si="15"/>
        <v>233.2090002251789</v>
      </c>
      <c r="R349">
        <f t="shared" si="16"/>
        <v>0.175203873598369</v>
      </c>
      <c r="S349">
        <f t="shared" si="17"/>
        <v>0.46190112130479105</v>
      </c>
    </row>
    <row r="350" spans="1:19" x14ac:dyDescent="0.2">
      <c r="A350">
        <v>4</v>
      </c>
      <c r="B350" t="s">
        <v>16</v>
      </c>
      <c r="C350">
        <v>0</v>
      </c>
      <c r="D350">
        <v>1</v>
      </c>
      <c r="E350">
        <v>1012</v>
      </c>
      <c r="F350" t="b">
        <v>1</v>
      </c>
      <c r="G350">
        <v>70.924000000000007</v>
      </c>
      <c r="H350">
        <v>28</v>
      </c>
      <c r="I350">
        <v>0</v>
      </c>
      <c r="J350">
        <v>0</v>
      </c>
      <c r="K350" t="s">
        <v>986</v>
      </c>
      <c r="L350">
        <v>0</v>
      </c>
      <c r="N350" t="s">
        <v>987</v>
      </c>
      <c r="O350" t="s">
        <v>988</v>
      </c>
      <c r="P350" t="s">
        <v>20</v>
      </c>
      <c r="Q350">
        <f t="shared" si="15"/>
        <v>274.21100009232759</v>
      </c>
      <c r="R350">
        <f t="shared" si="16"/>
        <v>0</v>
      </c>
      <c r="S350">
        <f t="shared" si="17"/>
        <v>0.39478878799842082</v>
      </c>
    </row>
    <row r="351" spans="1:19" x14ac:dyDescent="0.2">
      <c r="A351">
        <v>7</v>
      </c>
      <c r="B351" t="s">
        <v>16</v>
      </c>
      <c r="C351">
        <v>2</v>
      </c>
      <c r="D351">
        <v>1</v>
      </c>
      <c r="E351">
        <v>1012</v>
      </c>
      <c r="F351" t="b">
        <v>1</v>
      </c>
      <c r="G351">
        <v>86.6</v>
      </c>
      <c r="H351">
        <v>29</v>
      </c>
      <c r="I351">
        <v>1</v>
      </c>
      <c r="J351">
        <v>0.06</v>
      </c>
      <c r="K351" t="s">
        <v>995</v>
      </c>
      <c r="L351">
        <v>0</v>
      </c>
      <c r="N351" t="s">
        <v>996</v>
      </c>
      <c r="O351" t="s">
        <v>997</v>
      </c>
      <c r="P351" t="s">
        <v>20</v>
      </c>
      <c r="Q351">
        <f t="shared" si="15"/>
        <v>364.61200027260929</v>
      </c>
      <c r="R351">
        <f t="shared" si="16"/>
        <v>1.1547344110854504E-2</v>
      </c>
      <c r="S351">
        <f t="shared" si="17"/>
        <v>0.3348729792147806</v>
      </c>
    </row>
    <row r="352" spans="1:19" x14ac:dyDescent="0.2">
      <c r="A352">
        <v>10</v>
      </c>
      <c r="B352" t="s">
        <v>16</v>
      </c>
      <c r="C352">
        <v>5</v>
      </c>
      <c r="D352">
        <v>1</v>
      </c>
      <c r="E352">
        <v>1012</v>
      </c>
      <c r="F352" t="b">
        <v>1</v>
      </c>
      <c r="G352">
        <v>67.108000000000004</v>
      </c>
      <c r="H352">
        <v>29</v>
      </c>
      <c r="I352">
        <v>1</v>
      </c>
      <c r="J352">
        <v>0.42</v>
      </c>
      <c r="K352" t="s">
        <v>1004</v>
      </c>
      <c r="L352">
        <v>0</v>
      </c>
      <c r="N352" t="s">
        <v>1005</v>
      </c>
      <c r="O352" t="s">
        <v>1006</v>
      </c>
      <c r="P352" t="s">
        <v>20</v>
      </c>
      <c r="Q352">
        <f t="shared" si="15"/>
        <v>289.88499976694584</v>
      </c>
      <c r="R352">
        <f t="shared" si="16"/>
        <v>1.4901353042856291E-2</v>
      </c>
      <c r="S352">
        <f t="shared" si="17"/>
        <v>0.4321392382428324</v>
      </c>
    </row>
    <row r="353" spans="1:19" hidden="1" x14ac:dyDescent="0.2">
      <c r="A353">
        <v>13</v>
      </c>
      <c r="B353" t="s">
        <v>16</v>
      </c>
      <c r="C353">
        <v>10</v>
      </c>
      <c r="D353">
        <v>1</v>
      </c>
      <c r="E353">
        <v>1012</v>
      </c>
      <c r="F353" t="b">
        <v>1</v>
      </c>
      <c r="G353">
        <v>62.968000000000004</v>
      </c>
      <c r="H353">
        <v>24</v>
      </c>
      <c r="I353">
        <v>4</v>
      </c>
      <c r="J353">
        <v>1.08</v>
      </c>
      <c r="K353" t="s">
        <v>1013</v>
      </c>
      <c r="L353">
        <v>0</v>
      </c>
      <c r="N353" t="s">
        <v>1014</v>
      </c>
      <c r="O353" t="s">
        <v>1015</v>
      </c>
      <c r="P353" t="s">
        <v>20</v>
      </c>
      <c r="Q353">
        <f t="shared" si="15"/>
        <v>268.13599972520024</v>
      </c>
      <c r="R353">
        <f t="shared" si="16"/>
        <v>6.3524329818320416E-2</v>
      </c>
      <c r="S353">
        <f t="shared" si="17"/>
        <v>0.38114597890992247</v>
      </c>
    </row>
    <row r="354" spans="1:19" hidden="1" x14ac:dyDescent="0.2">
      <c r="A354">
        <v>16</v>
      </c>
      <c r="B354" t="s">
        <v>16</v>
      </c>
      <c r="C354">
        <v>15</v>
      </c>
      <c r="D354">
        <v>1</v>
      </c>
      <c r="E354">
        <v>1012</v>
      </c>
      <c r="F354" t="b">
        <v>1</v>
      </c>
      <c r="G354">
        <v>85.26</v>
      </c>
      <c r="H354">
        <v>23</v>
      </c>
      <c r="I354">
        <v>8</v>
      </c>
      <c r="J354">
        <v>1.5</v>
      </c>
      <c r="K354" t="s">
        <v>1022</v>
      </c>
      <c r="L354">
        <v>0</v>
      </c>
      <c r="N354" t="s">
        <v>1023</v>
      </c>
      <c r="O354" t="s">
        <v>1024</v>
      </c>
      <c r="P354" t="s">
        <v>20</v>
      </c>
      <c r="Q354">
        <f t="shared" si="15"/>
        <v>289.30899957194924</v>
      </c>
      <c r="R354">
        <f t="shared" si="16"/>
        <v>9.3830635702556883E-2</v>
      </c>
      <c r="S354">
        <f t="shared" si="17"/>
        <v>0.26976307764485102</v>
      </c>
    </row>
    <row r="355" spans="1:19" hidden="1" x14ac:dyDescent="0.2">
      <c r="A355">
        <v>19</v>
      </c>
      <c r="B355" t="s">
        <v>16</v>
      </c>
      <c r="C355">
        <v>20</v>
      </c>
      <c r="D355">
        <v>1</v>
      </c>
      <c r="E355">
        <v>1012</v>
      </c>
      <c r="F355" t="b">
        <v>1</v>
      </c>
      <c r="G355">
        <v>65.3</v>
      </c>
      <c r="H355">
        <v>25</v>
      </c>
      <c r="I355">
        <v>5</v>
      </c>
      <c r="J355">
        <v>0.9</v>
      </c>
      <c r="K355" t="s">
        <v>1031</v>
      </c>
      <c r="L355">
        <v>0</v>
      </c>
      <c r="N355" t="s">
        <v>1032</v>
      </c>
      <c r="O355" t="s">
        <v>1033</v>
      </c>
      <c r="P355" t="s">
        <v>20</v>
      </c>
      <c r="Q355">
        <f t="shared" si="15"/>
        <v>275.06300022359937</v>
      </c>
      <c r="R355">
        <f t="shared" si="16"/>
        <v>7.6569678407350697E-2</v>
      </c>
      <c r="S355">
        <f t="shared" si="17"/>
        <v>0.38284839203675347</v>
      </c>
    </row>
    <row r="356" spans="1:19" hidden="1" x14ac:dyDescent="0.2">
      <c r="A356">
        <v>22</v>
      </c>
      <c r="B356" t="s">
        <v>16</v>
      </c>
      <c r="C356">
        <v>50</v>
      </c>
      <c r="D356">
        <v>1</v>
      </c>
      <c r="E356">
        <v>1012</v>
      </c>
      <c r="F356" t="b">
        <v>1</v>
      </c>
      <c r="G356">
        <v>59.884</v>
      </c>
      <c r="H356">
        <v>26</v>
      </c>
      <c r="I356">
        <v>1</v>
      </c>
      <c r="J356">
        <v>0.06</v>
      </c>
      <c r="K356" t="s">
        <v>1040</v>
      </c>
      <c r="L356">
        <v>0</v>
      </c>
      <c r="N356" t="s">
        <v>1041</v>
      </c>
      <c r="O356" t="s">
        <v>1042</v>
      </c>
      <c r="P356" t="s">
        <v>20</v>
      </c>
      <c r="Q356">
        <f t="shared" si="15"/>
        <v>263.13799952622503</v>
      </c>
      <c r="R356">
        <f t="shared" si="16"/>
        <v>1.6698951305857992E-2</v>
      </c>
      <c r="S356">
        <f t="shared" si="17"/>
        <v>0.43417273395230777</v>
      </c>
    </row>
    <row r="357" spans="1:19" hidden="1" x14ac:dyDescent="0.2">
      <c r="A357">
        <v>25</v>
      </c>
      <c r="B357" t="s">
        <v>16</v>
      </c>
      <c r="C357">
        <v>70</v>
      </c>
      <c r="D357">
        <v>1</v>
      </c>
      <c r="E357">
        <v>1012</v>
      </c>
      <c r="F357" t="b">
        <v>1</v>
      </c>
      <c r="G357">
        <v>78.268000000000001</v>
      </c>
      <c r="H357">
        <v>25</v>
      </c>
      <c r="I357">
        <v>5</v>
      </c>
      <c r="J357">
        <v>0.72</v>
      </c>
      <c r="K357" t="s">
        <v>1049</v>
      </c>
      <c r="L357">
        <v>0</v>
      </c>
      <c r="N357" t="s">
        <v>1050</v>
      </c>
      <c r="O357" t="s">
        <v>1051</v>
      </c>
      <c r="P357" t="s">
        <v>20</v>
      </c>
      <c r="Q357">
        <f t="shared" si="15"/>
        <v>297.60899981483817</v>
      </c>
      <c r="R357">
        <f t="shared" si="16"/>
        <v>6.38830684315429E-2</v>
      </c>
      <c r="S357">
        <f t="shared" si="17"/>
        <v>0.3194153421577145</v>
      </c>
    </row>
    <row r="358" spans="1:19" x14ac:dyDescent="0.2">
      <c r="A358">
        <v>29</v>
      </c>
      <c r="B358" t="s">
        <v>21</v>
      </c>
      <c r="C358">
        <v>-1</v>
      </c>
      <c r="D358">
        <v>2</v>
      </c>
      <c r="E358">
        <v>1013</v>
      </c>
      <c r="F358" t="b">
        <v>1</v>
      </c>
      <c r="G358">
        <v>48.823999999999998</v>
      </c>
      <c r="H358">
        <v>21</v>
      </c>
      <c r="I358">
        <v>4</v>
      </c>
      <c r="J358">
        <v>4.38</v>
      </c>
      <c r="K358" t="s">
        <v>1061</v>
      </c>
      <c r="L358">
        <v>0</v>
      </c>
      <c r="N358" t="s">
        <v>1062</v>
      </c>
      <c r="O358" t="s">
        <v>1063</v>
      </c>
      <c r="P358" t="s">
        <v>20</v>
      </c>
      <c r="Q358">
        <f t="shared" si="15"/>
        <v>283.00400020089</v>
      </c>
      <c r="R358">
        <f t="shared" si="16"/>
        <v>8.1926921186301821E-2</v>
      </c>
      <c r="S358">
        <f t="shared" si="17"/>
        <v>0.43011633622808454</v>
      </c>
    </row>
    <row r="359" spans="1:19" x14ac:dyDescent="0.2">
      <c r="A359">
        <v>32</v>
      </c>
      <c r="B359" t="s">
        <v>21</v>
      </c>
      <c r="C359">
        <v>0</v>
      </c>
      <c r="D359">
        <v>2</v>
      </c>
      <c r="E359">
        <v>1013</v>
      </c>
      <c r="F359" t="b">
        <v>1</v>
      </c>
      <c r="G359">
        <v>94.611999999999995</v>
      </c>
      <c r="H359">
        <v>21</v>
      </c>
      <c r="I359">
        <v>3</v>
      </c>
      <c r="J359">
        <v>2.46</v>
      </c>
      <c r="K359" t="s">
        <v>1070</v>
      </c>
      <c r="L359">
        <v>0</v>
      </c>
      <c r="N359" t="s">
        <v>1071</v>
      </c>
      <c r="O359" t="s">
        <v>1072</v>
      </c>
      <c r="P359" t="s">
        <v>20</v>
      </c>
      <c r="Q359">
        <f t="shared" si="15"/>
        <v>400.53799983579665</v>
      </c>
      <c r="R359">
        <f t="shared" si="16"/>
        <v>3.1708451359235619E-2</v>
      </c>
      <c r="S359">
        <f t="shared" si="17"/>
        <v>0.22195915951464931</v>
      </c>
    </row>
    <row r="360" spans="1:19" x14ac:dyDescent="0.2">
      <c r="A360">
        <v>35</v>
      </c>
      <c r="B360" t="s">
        <v>21</v>
      </c>
      <c r="C360">
        <v>2</v>
      </c>
      <c r="D360">
        <v>2</v>
      </c>
      <c r="E360">
        <v>1013</v>
      </c>
      <c r="F360" t="b">
        <v>1</v>
      </c>
      <c r="G360">
        <v>52.531999999999996</v>
      </c>
      <c r="H360">
        <v>23</v>
      </c>
      <c r="I360">
        <v>1</v>
      </c>
      <c r="J360">
        <v>0.3</v>
      </c>
      <c r="K360" t="s">
        <v>1079</v>
      </c>
      <c r="L360">
        <v>0</v>
      </c>
      <c r="N360" t="s">
        <v>1080</v>
      </c>
      <c r="O360" t="s">
        <v>1081</v>
      </c>
      <c r="P360" t="s">
        <v>20</v>
      </c>
      <c r="Q360">
        <f t="shared" si="15"/>
        <v>384.97400006745011</v>
      </c>
      <c r="R360">
        <f t="shared" si="16"/>
        <v>1.903601614254169E-2</v>
      </c>
      <c r="S360">
        <f t="shared" si="17"/>
        <v>0.43782837127845886</v>
      </c>
    </row>
    <row r="361" spans="1:19" x14ac:dyDescent="0.2">
      <c r="A361">
        <v>38</v>
      </c>
      <c r="B361" t="s">
        <v>21</v>
      </c>
      <c r="C361">
        <v>5</v>
      </c>
      <c r="D361">
        <v>2</v>
      </c>
      <c r="E361">
        <v>1013</v>
      </c>
      <c r="F361" t="b">
        <v>1</v>
      </c>
      <c r="G361">
        <v>46.951999999999998</v>
      </c>
      <c r="H361">
        <v>21</v>
      </c>
      <c r="I361">
        <v>1</v>
      </c>
      <c r="J361">
        <v>0.3</v>
      </c>
      <c r="K361" t="s">
        <v>1088</v>
      </c>
      <c r="L361">
        <v>0</v>
      </c>
      <c r="N361" t="s">
        <v>1089</v>
      </c>
      <c r="O361" t="s">
        <v>1090</v>
      </c>
      <c r="P361" t="s">
        <v>20</v>
      </c>
      <c r="Q361">
        <f t="shared" si="15"/>
        <v>295.33999997656792</v>
      </c>
      <c r="R361">
        <f t="shared" si="16"/>
        <v>2.1298347248253538E-2</v>
      </c>
      <c r="S361">
        <f t="shared" si="17"/>
        <v>0.44726529221332428</v>
      </c>
    </row>
    <row r="362" spans="1:19" hidden="1" x14ac:dyDescent="0.2">
      <c r="A362">
        <v>41</v>
      </c>
      <c r="B362" t="s">
        <v>21</v>
      </c>
      <c r="C362">
        <v>10</v>
      </c>
      <c r="D362">
        <v>2</v>
      </c>
      <c r="E362">
        <v>1013</v>
      </c>
      <c r="F362" t="b">
        <v>1</v>
      </c>
      <c r="G362">
        <v>52.564</v>
      </c>
      <c r="H362">
        <v>21</v>
      </c>
      <c r="I362">
        <v>8</v>
      </c>
      <c r="J362">
        <v>1.32</v>
      </c>
      <c r="K362" t="s">
        <v>1097</v>
      </c>
      <c r="L362">
        <v>0</v>
      </c>
      <c r="N362" t="s">
        <v>1098</v>
      </c>
      <c r="O362" t="s">
        <v>1099</v>
      </c>
      <c r="P362" t="s">
        <v>20</v>
      </c>
      <c r="Q362">
        <f t="shared" si="15"/>
        <v>218.32899958826602</v>
      </c>
      <c r="R362">
        <f t="shared" si="16"/>
        <v>0.15219541891789057</v>
      </c>
      <c r="S362">
        <f t="shared" si="17"/>
        <v>0.39951297465946273</v>
      </c>
    </row>
    <row r="363" spans="1:19" hidden="1" x14ac:dyDescent="0.2">
      <c r="A363">
        <v>44</v>
      </c>
      <c r="B363" t="s">
        <v>21</v>
      </c>
      <c r="C363">
        <v>15</v>
      </c>
      <c r="D363">
        <v>2</v>
      </c>
      <c r="E363">
        <v>1013</v>
      </c>
      <c r="F363" t="b">
        <v>1</v>
      </c>
      <c r="G363">
        <v>59.944000000000003</v>
      </c>
      <c r="H363">
        <v>26</v>
      </c>
      <c r="I363">
        <v>5</v>
      </c>
      <c r="J363">
        <v>1.2</v>
      </c>
      <c r="K363" t="s">
        <v>1106</v>
      </c>
      <c r="L363">
        <v>0</v>
      </c>
      <c r="N363" t="s">
        <v>1107</v>
      </c>
      <c r="O363" t="s">
        <v>1108</v>
      </c>
      <c r="P363" t="s">
        <v>20</v>
      </c>
      <c r="Q363">
        <f t="shared" si="15"/>
        <v>335.8449999243021</v>
      </c>
      <c r="R363">
        <f t="shared" si="16"/>
        <v>8.3411183771520084E-2</v>
      </c>
      <c r="S363">
        <f t="shared" si="17"/>
        <v>0.43373815561190443</v>
      </c>
    </row>
    <row r="364" spans="1:19" hidden="1" x14ac:dyDescent="0.2">
      <c r="A364">
        <v>47</v>
      </c>
      <c r="B364" t="s">
        <v>21</v>
      </c>
      <c r="C364">
        <v>20</v>
      </c>
      <c r="D364">
        <v>2</v>
      </c>
      <c r="E364">
        <v>1013</v>
      </c>
      <c r="F364" t="b">
        <v>1</v>
      </c>
      <c r="G364">
        <v>60.552</v>
      </c>
      <c r="H364">
        <v>25</v>
      </c>
      <c r="I364">
        <v>4</v>
      </c>
      <c r="J364">
        <v>1.26</v>
      </c>
      <c r="K364" t="s">
        <v>1115</v>
      </c>
      <c r="L364">
        <v>0</v>
      </c>
      <c r="N364" t="s">
        <v>1116</v>
      </c>
      <c r="O364" t="s">
        <v>1117</v>
      </c>
      <c r="P364" t="s">
        <v>20</v>
      </c>
      <c r="Q364">
        <f t="shared" si="15"/>
        <v>320.11400058399886</v>
      </c>
      <c r="R364">
        <f t="shared" si="16"/>
        <v>6.6058924560708152E-2</v>
      </c>
      <c r="S364">
        <f t="shared" si="17"/>
        <v>0.41286827850442592</v>
      </c>
    </row>
    <row r="365" spans="1:19" hidden="1" x14ac:dyDescent="0.2">
      <c r="A365">
        <v>50</v>
      </c>
      <c r="B365" t="s">
        <v>21</v>
      </c>
      <c r="C365">
        <v>50</v>
      </c>
      <c r="D365">
        <v>2</v>
      </c>
      <c r="E365">
        <v>1013</v>
      </c>
      <c r="F365" t="b">
        <v>1</v>
      </c>
      <c r="G365">
        <v>67.992000000000004</v>
      </c>
      <c r="H365">
        <v>20</v>
      </c>
      <c r="I365">
        <v>19</v>
      </c>
      <c r="J365">
        <v>2.94</v>
      </c>
      <c r="K365" t="s">
        <v>1124</v>
      </c>
      <c r="L365">
        <v>0</v>
      </c>
      <c r="N365" t="s">
        <v>1125</v>
      </c>
      <c r="O365" t="s">
        <v>1126</v>
      </c>
      <c r="P365" t="s">
        <v>20</v>
      </c>
      <c r="Q365">
        <f t="shared" si="15"/>
        <v>328.81200020201504</v>
      </c>
      <c r="R365">
        <f t="shared" si="16"/>
        <v>0.27944464054594659</v>
      </c>
      <c r="S365">
        <f t="shared" si="17"/>
        <v>0.29415225320625954</v>
      </c>
    </row>
    <row r="366" spans="1:19" hidden="1" x14ac:dyDescent="0.2">
      <c r="A366">
        <v>53</v>
      </c>
      <c r="B366" t="s">
        <v>21</v>
      </c>
      <c r="C366">
        <v>70</v>
      </c>
      <c r="D366">
        <v>2</v>
      </c>
      <c r="E366">
        <v>1013</v>
      </c>
      <c r="F366" t="b">
        <v>1</v>
      </c>
      <c r="G366">
        <v>56.804000000000002</v>
      </c>
      <c r="H366">
        <v>20</v>
      </c>
      <c r="I366">
        <v>7</v>
      </c>
      <c r="J366">
        <v>1.68</v>
      </c>
      <c r="K366" t="s">
        <v>1133</v>
      </c>
      <c r="L366">
        <v>0</v>
      </c>
      <c r="N366" t="s">
        <v>1134</v>
      </c>
      <c r="O366" t="s">
        <v>1135</v>
      </c>
      <c r="P366" t="s">
        <v>20</v>
      </c>
      <c r="Q366">
        <f t="shared" si="15"/>
        <v>218.83399961516261</v>
      </c>
      <c r="R366">
        <f t="shared" si="16"/>
        <v>0.12323075839729596</v>
      </c>
      <c r="S366">
        <f t="shared" si="17"/>
        <v>0.35208788113513134</v>
      </c>
    </row>
    <row r="367" spans="1:19" x14ac:dyDescent="0.2">
      <c r="A367">
        <v>30</v>
      </c>
      <c r="B367" t="s">
        <v>25</v>
      </c>
      <c r="C367">
        <v>-1</v>
      </c>
      <c r="D367">
        <v>2</v>
      </c>
      <c r="E367">
        <v>1013</v>
      </c>
      <c r="F367" t="b">
        <v>1</v>
      </c>
      <c r="G367">
        <v>35.572000000000003</v>
      </c>
      <c r="H367">
        <v>26</v>
      </c>
      <c r="I367">
        <v>3</v>
      </c>
      <c r="J367">
        <v>5.94</v>
      </c>
      <c r="K367" t="s">
        <v>1064</v>
      </c>
      <c r="L367">
        <v>0</v>
      </c>
      <c r="N367" t="s">
        <v>1065</v>
      </c>
      <c r="O367" t="s">
        <v>1066</v>
      </c>
      <c r="P367" t="s">
        <v>20</v>
      </c>
      <c r="Q367">
        <f t="shared" si="15"/>
        <v>209.6380005357787</v>
      </c>
      <c r="R367">
        <f t="shared" si="16"/>
        <v>8.4335994602496342E-2</v>
      </c>
      <c r="S367">
        <f t="shared" si="17"/>
        <v>0.73091195322163494</v>
      </c>
    </row>
    <row r="368" spans="1:19" x14ac:dyDescent="0.2">
      <c r="A368">
        <v>33</v>
      </c>
      <c r="B368" t="s">
        <v>25</v>
      </c>
      <c r="C368">
        <v>0</v>
      </c>
      <c r="D368">
        <v>2</v>
      </c>
      <c r="E368">
        <v>1013</v>
      </c>
      <c r="F368" t="b">
        <v>1</v>
      </c>
      <c r="G368">
        <v>39.832000000000001</v>
      </c>
      <c r="H368">
        <v>23</v>
      </c>
      <c r="I368">
        <v>3</v>
      </c>
      <c r="J368">
        <v>1.1399999999999999</v>
      </c>
      <c r="K368" t="s">
        <v>1073</v>
      </c>
      <c r="L368">
        <v>0</v>
      </c>
      <c r="N368" t="s">
        <v>1074</v>
      </c>
      <c r="O368" t="s">
        <v>1075</v>
      </c>
      <c r="P368" t="s">
        <v>20</v>
      </c>
      <c r="Q368">
        <f t="shared" si="15"/>
        <v>213.25599979609251</v>
      </c>
      <c r="R368">
        <f t="shared" si="16"/>
        <v>7.5316328580036146E-2</v>
      </c>
      <c r="S368">
        <f t="shared" si="17"/>
        <v>0.57742518578027713</v>
      </c>
    </row>
    <row r="369" spans="1:19" x14ac:dyDescent="0.2">
      <c r="A369">
        <v>36</v>
      </c>
      <c r="B369" t="s">
        <v>25</v>
      </c>
      <c r="C369">
        <v>2</v>
      </c>
      <c r="D369">
        <v>2</v>
      </c>
      <c r="E369">
        <v>1013</v>
      </c>
      <c r="F369" t="b">
        <v>1</v>
      </c>
      <c r="G369">
        <v>59.46</v>
      </c>
      <c r="H369">
        <v>23</v>
      </c>
      <c r="I369">
        <v>3</v>
      </c>
      <c r="J369">
        <v>0.3</v>
      </c>
      <c r="K369" t="s">
        <v>1082</v>
      </c>
      <c r="L369">
        <v>0</v>
      </c>
      <c r="N369" t="s">
        <v>1083</v>
      </c>
      <c r="O369" t="s">
        <v>1084</v>
      </c>
      <c r="P369" t="s">
        <v>20</v>
      </c>
      <c r="Q369">
        <f t="shared" si="15"/>
        <v>256.69699958525598</v>
      </c>
      <c r="R369">
        <f t="shared" si="16"/>
        <v>5.0454086781029264E-2</v>
      </c>
      <c r="S369">
        <f t="shared" si="17"/>
        <v>0.38681466532122433</v>
      </c>
    </row>
    <row r="370" spans="1:19" x14ac:dyDescent="0.2">
      <c r="A370">
        <v>39</v>
      </c>
      <c r="B370" t="s">
        <v>25</v>
      </c>
      <c r="C370">
        <v>5</v>
      </c>
      <c r="D370">
        <v>2</v>
      </c>
      <c r="E370">
        <v>1013</v>
      </c>
      <c r="F370" t="b">
        <v>1</v>
      </c>
      <c r="G370">
        <v>53.892000000000003</v>
      </c>
      <c r="H370">
        <v>23</v>
      </c>
      <c r="I370">
        <v>0</v>
      </c>
      <c r="J370">
        <v>0</v>
      </c>
      <c r="K370" t="s">
        <v>1091</v>
      </c>
      <c r="L370">
        <v>0</v>
      </c>
      <c r="N370" t="s">
        <v>1092</v>
      </c>
      <c r="O370" t="s">
        <v>1093</v>
      </c>
      <c r="P370" t="s">
        <v>20</v>
      </c>
      <c r="Q370">
        <f t="shared" si="15"/>
        <v>271.40099974349141</v>
      </c>
      <c r="R370">
        <f t="shared" si="16"/>
        <v>0</v>
      </c>
      <c r="S370">
        <f t="shared" si="17"/>
        <v>0.42677948489571732</v>
      </c>
    </row>
    <row r="371" spans="1:19" hidden="1" x14ac:dyDescent="0.2">
      <c r="A371">
        <v>42</v>
      </c>
      <c r="B371" t="s">
        <v>25</v>
      </c>
      <c r="C371">
        <v>10</v>
      </c>
      <c r="D371">
        <v>2</v>
      </c>
      <c r="E371">
        <v>1013</v>
      </c>
      <c r="F371" t="b">
        <v>1</v>
      </c>
      <c r="G371">
        <v>36.287999999999997</v>
      </c>
      <c r="H371">
        <v>26</v>
      </c>
      <c r="I371">
        <v>1</v>
      </c>
      <c r="J371">
        <v>0.06</v>
      </c>
      <c r="K371" t="s">
        <v>1100</v>
      </c>
      <c r="L371">
        <v>0</v>
      </c>
      <c r="N371" t="s">
        <v>1101</v>
      </c>
      <c r="O371" t="s">
        <v>1102</v>
      </c>
      <c r="P371" t="s">
        <v>20</v>
      </c>
      <c r="Q371">
        <f t="shared" si="15"/>
        <v>162.30200012214482</v>
      </c>
      <c r="R371">
        <f t="shared" si="16"/>
        <v>2.7557319223985893E-2</v>
      </c>
      <c r="S371">
        <f t="shared" si="17"/>
        <v>0.71649029982363321</v>
      </c>
    </row>
    <row r="372" spans="1:19" hidden="1" x14ac:dyDescent="0.2">
      <c r="A372">
        <v>45</v>
      </c>
      <c r="B372" t="s">
        <v>25</v>
      </c>
      <c r="C372">
        <v>15</v>
      </c>
      <c r="D372">
        <v>2</v>
      </c>
      <c r="E372">
        <v>1013</v>
      </c>
      <c r="F372" t="b">
        <v>1</v>
      </c>
      <c r="G372">
        <v>41.34</v>
      </c>
      <c r="H372">
        <v>26</v>
      </c>
      <c r="I372">
        <v>3</v>
      </c>
      <c r="J372">
        <v>0.3</v>
      </c>
      <c r="K372" t="s">
        <v>1109</v>
      </c>
      <c r="L372">
        <v>0</v>
      </c>
      <c r="N372" t="s">
        <v>1110</v>
      </c>
      <c r="O372" t="s">
        <v>1111</v>
      </c>
      <c r="P372" t="s">
        <v>20</v>
      </c>
      <c r="Q372">
        <f t="shared" si="15"/>
        <v>149.84899987466633</v>
      </c>
      <c r="R372">
        <f t="shared" si="16"/>
        <v>7.2568940493468792E-2</v>
      </c>
      <c r="S372">
        <f t="shared" si="17"/>
        <v>0.62893081761006286</v>
      </c>
    </row>
    <row r="373" spans="1:19" hidden="1" x14ac:dyDescent="0.2">
      <c r="A373">
        <v>48</v>
      </c>
      <c r="B373" t="s">
        <v>25</v>
      </c>
      <c r="C373">
        <v>20</v>
      </c>
      <c r="D373">
        <v>2</v>
      </c>
      <c r="E373">
        <v>1013</v>
      </c>
      <c r="F373" t="b">
        <v>1</v>
      </c>
      <c r="G373">
        <v>42.351999999999997</v>
      </c>
      <c r="H373">
        <v>25</v>
      </c>
      <c r="I373">
        <v>6</v>
      </c>
      <c r="J373">
        <v>0.96</v>
      </c>
      <c r="K373" t="s">
        <v>1118</v>
      </c>
      <c r="L373">
        <v>0</v>
      </c>
      <c r="N373" t="s">
        <v>1119</v>
      </c>
      <c r="O373" t="s">
        <v>1120</v>
      </c>
      <c r="P373" t="s">
        <v>20</v>
      </c>
      <c r="Q373">
        <f t="shared" si="15"/>
        <v>193.99400032125413</v>
      </c>
      <c r="R373">
        <f t="shared" si="16"/>
        <v>0.14166981488477523</v>
      </c>
      <c r="S373">
        <f t="shared" si="17"/>
        <v>0.59029089535323009</v>
      </c>
    </row>
    <row r="374" spans="1:19" hidden="1" x14ac:dyDescent="0.2">
      <c r="A374">
        <v>51</v>
      </c>
      <c r="B374" t="s">
        <v>25</v>
      </c>
      <c r="C374">
        <v>50</v>
      </c>
      <c r="D374">
        <v>2</v>
      </c>
      <c r="E374">
        <v>1013</v>
      </c>
      <c r="F374" t="b">
        <v>1</v>
      </c>
      <c r="G374">
        <v>45.42</v>
      </c>
      <c r="H374">
        <v>20</v>
      </c>
      <c r="I374">
        <v>6</v>
      </c>
      <c r="J374">
        <v>1.26</v>
      </c>
      <c r="K374" t="s">
        <v>1127</v>
      </c>
      <c r="L374">
        <v>0</v>
      </c>
      <c r="N374" t="s">
        <v>1128</v>
      </c>
      <c r="O374" t="s">
        <v>1129</v>
      </c>
      <c r="P374" t="s">
        <v>20</v>
      </c>
      <c r="Q374">
        <f t="shared" si="15"/>
        <v>253.96000037435442</v>
      </c>
      <c r="R374">
        <f t="shared" si="16"/>
        <v>0.13210039630118889</v>
      </c>
      <c r="S374">
        <f t="shared" si="17"/>
        <v>0.44033465433729635</v>
      </c>
    </row>
    <row r="375" spans="1:19" hidden="1" x14ac:dyDescent="0.2">
      <c r="A375">
        <v>54</v>
      </c>
      <c r="B375" t="s">
        <v>25</v>
      </c>
      <c r="C375">
        <v>70</v>
      </c>
      <c r="D375">
        <v>2</v>
      </c>
      <c r="E375">
        <v>1013</v>
      </c>
      <c r="F375" t="b">
        <v>1</v>
      </c>
      <c r="G375">
        <v>47.74</v>
      </c>
      <c r="H375">
        <v>25</v>
      </c>
      <c r="I375">
        <v>6</v>
      </c>
      <c r="J375">
        <v>1.32</v>
      </c>
      <c r="K375" t="s">
        <v>1136</v>
      </c>
      <c r="L375">
        <v>0</v>
      </c>
      <c r="N375" t="s">
        <v>1137</v>
      </c>
      <c r="O375" t="s">
        <v>1138</v>
      </c>
      <c r="P375" t="s">
        <v>20</v>
      </c>
      <c r="Q375">
        <f t="shared" si="15"/>
        <v>291.52799968142062</v>
      </c>
      <c r="R375">
        <f t="shared" si="16"/>
        <v>0.12568077084206117</v>
      </c>
      <c r="S375">
        <f t="shared" si="17"/>
        <v>0.52366987850858815</v>
      </c>
    </row>
    <row r="376" spans="1:19" x14ac:dyDescent="0.2">
      <c r="A376">
        <v>28</v>
      </c>
      <c r="B376" t="s">
        <v>16</v>
      </c>
      <c r="C376">
        <v>-1</v>
      </c>
      <c r="D376">
        <v>2</v>
      </c>
      <c r="E376">
        <v>1013</v>
      </c>
      <c r="F376" t="b">
        <v>1</v>
      </c>
      <c r="G376">
        <v>38.112000000000002</v>
      </c>
      <c r="H376">
        <v>23</v>
      </c>
      <c r="I376">
        <v>6</v>
      </c>
      <c r="J376">
        <v>6.9</v>
      </c>
      <c r="K376" t="s">
        <v>1058</v>
      </c>
      <c r="L376">
        <v>0</v>
      </c>
      <c r="N376" t="s">
        <v>1059</v>
      </c>
      <c r="O376" t="s">
        <v>1060</v>
      </c>
      <c r="P376" t="s">
        <v>20</v>
      </c>
      <c r="Q376">
        <f t="shared" si="15"/>
        <v>171.81899989955127</v>
      </c>
      <c r="R376">
        <f t="shared" si="16"/>
        <v>0.15743073047858941</v>
      </c>
      <c r="S376">
        <f t="shared" si="17"/>
        <v>0.60348446683459278</v>
      </c>
    </row>
    <row r="377" spans="1:19" x14ac:dyDescent="0.2">
      <c r="A377">
        <v>31</v>
      </c>
      <c r="B377" t="s">
        <v>16</v>
      </c>
      <c r="C377">
        <v>0</v>
      </c>
      <c r="D377">
        <v>2</v>
      </c>
      <c r="E377">
        <v>1013</v>
      </c>
      <c r="F377" t="b">
        <v>1</v>
      </c>
      <c r="G377">
        <v>68.959999999999994</v>
      </c>
      <c r="H377">
        <v>22</v>
      </c>
      <c r="I377">
        <v>3</v>
      </c>
      <c r="J377">
        <v>0.9</v>
      </c>
      <c r="K377" t="s">
        <v>1067</v>
      </c>
      <c r="L377">
        <v>0</v>
      </c>
      <c r="N377" t="s">
        <v>1068</v>
      </c>
      <c r="O377" t="s">
        <v>1069</v>
      </c>
      <c r="P377" t="s">
        <v>20</v>
      </c>
      <c r="Q377">
        <f t="shared" si="15"/>
        <v>301.75600005313754</v>
      </c>
      <c r="R377">
        <f t="shared" si="16"/>
        <v>4.3503480278422275E-2</v>
      </c>
      <c r="S377">
        <f t="shared" si="17"/>
        <v>0.31902552204176338</v>
      </c>
    </row>
    <row r="378" spans="1:19" x14ac:dyDescent="0.2">
      <c r="A378">
        <v>34</v>
      </c>
      <c r="B378" t="s">
        <v>16</v>
      </c>
      <c r="C378">
        <v>2</v>
      </c>
      <c r="D378">
        <v>2</v>
      </c>
      <c r="E378">
        <v>1013</v>
      </c>
      <c r="F378" t="b">
        <v>1</v>
      </c>
      <c r="G378">
        <v>86.396000000000001</v>
      </c>
      <c r="H378">
        <v>22</v>
      </c>
      <c r="I378">
        <v>1</v>
      </c>
      <c r="J378">
        <v>0.06</v>
      </c>
      <c r="K378" t="s">
        <v>1076</v>
      </c>
      <c r="L378">
        <v>0</v>
      </c>
      <c r="N378" t="s">
        <v>1077</v>
      </c>
      <c r="O378" t="s">
        <v>1078</v>
      </c>
      <c r="P378" t="s">
        <v>20</v>
      </c>
      <c r="Q378">
        <f t="shared" si="15"/>
        <v>320.75800043530762</v>
      </c>
      <c r="R378">
        <f t="shared" si="16"/>
        <v>1.1574609935645169E-2</v>
      </c>
      <c r="S378">
        <f t="shared" si="17"/>
        <v>0.2546414185841937</v>
      </c>
    </row>
    <row r="379" spans="1:19" x14ac:dyDescent="0.2">
      <c r="A379">
        <v>37</v>
      </c>
      <c r="B379" t="s">
        <v>16</v>
      </c>
      <c r="C379">
        <v>5</v>
      </c>
      <c r="D379">
        <v>2</v>
      </c>
      <c r="E379">
        <v>1013</v>
      </c>
      <c r="F379" t="b">
        <v>1</v>
      </c>
      <c r="G379">
        <v>50.707999999999998</v>
      </c>
      <c r="H379">
        <v>17</v>
      </c>
      <c r="I379">
        <v>4</v>
      </c>
      <c r="J379">
        <v>1.62</v>
      </c>
      <c r="K379" t="s">
        <v>1085</v>
      </c>
      <c r="L379">
        <v>0</v>
      </c>
      <c r="N379" t="s">
        <v>1086</v>
      </c>
      <c r="O379" t="s">
        <v>1087</v>
      </c>
      <c r="P379" t="s">
        <v>20</v>
      </c>
      <c r="Q379">
        <f t="shared" si="15"/>
        <v>334.1719999210909</v>
      </c>
      <c r="R379">
        <f t="shared" si="16"/>
        <v>7.8883016486550453E-2</v>
      </c>
      <c r="S379">
        <f t="shared" si="17"/>
        <v>0.33525282006783941</v>
      </c>
    </row>
    <row r="380" spans="1:19" hidden="1" x14ac:dyDescent="0.2">
      <c r="A380">
        <v>40</v>
      </c>
      <c r="B380" t="s">
        <v>16</v>
      </c>
      <c r="C380">
        <v>10</v>
      </c>
      <c r="D380">
        <v>2</v>
      </c>
      <c r="E380">
        <v>1013</v>
      </c>
      <c r="F380" t="b">
        <v>1</v>
      </c>
      <c r="G380">
        <v>43.423999999999999</v>
      </c>
      <c r="H380">
        <v>19</v>
      </c>
      <c r="I380">
        <v>5</v>
      </c>
      <c r="J380">
        <v>1.86</v>
      </c>
      <c r="K380" t="s">
        <v>1094</v>
      </c>
      <c r="L380">
        <v>0</v>
      </c>
      <c r="N380" t="s">
        <v>1095</v>
      </c>
      <c r="O380" t="s">
        <v>1096</v>
      </c>
      <c r="P380" t="s">
        <v>20</v>
      </c>
      <c r="Q380">
        <f t="shared" si="15"/>
        <v>198.34899958223104</v>
      </c>
      <c r="R380">
        <f t="shared" si="16"/>
        <v>0.11514369933677229</v>
      </c>
      <c r="S380">
        <f t="shared" si="17"/>
        <v>0.43754605747973474</v>
      </c>
    </row>
    <row r="381" spans="1:19" hidden="1" x14ac:dyDescent="0.2">
      <c r="A381">
        <v>43</v>
      </c>
      <c r="B381" t="s">
        <v>16</v>
      </c>
      <c r="C381">
        <v>15</v>
      </c>
      <c r="D381">
        <v>2</v>
      </c>
      <c r="E381">
        <v>1013</v>
      </c>
      <c r="F381" t="b">
        <v>1</v>
      </c>
      <c r="G381">
        <v>85.751999999999995</v>
      </c>
      <c r="H381">
        <v>21</v>
      </c>
      <c r="I381">
        <v>7</v>
      </c>
      <c r="J381">
        <v>1.32</v>
      </c>
      <c r="K381" t="s">
        <v>1103</v>
      </c>
      <c r="L381">
        <v>0</v>
      </c>
      <c r="N381" t="s">
        <v>1104</v>
      </c>
      <c r="O381" t="s">
        <v>1105</v>
      </c>
      <c r="P381" t="s">
        <v>20</v>
      </c>
      <c r="Q381">
        <f t="shared" si="15"/>
        <v>379.44499980658293</v>
      </c>
      <c r="R381">
        <f t="shared" si="16"/>
        <v>8.1630749137046377E-2</v>
      </c>
      <c r="S381">
        <f t="shared" si="17"/>
        <v>0.2448922474111391</v>
      </c>
    </row>
    <row r="382" spans="1:19" hidden="1" x14ac:dyDescent="0.2">
      <c r="A382">
        <v>46</v>
      </c>
      <c r="B382" t="s">
        <v>16</v>
      </c>
      <c r="C382">
        <v>20</v>
      </c>
      <c r="D382">
        <v>2</v>
      </c>
      <c r="E382">
        <v>1013</v>
      </c>
      <c r="F382" t="b">
        <v>1</v>
      </c>
      <c r="G382">
        <v>77.111999999999995</v>
      </c>
      <c r="H382">
        <v>24</v>
      </c>
      <c r="I382">
        <v>11</v>
      </c>
      <c r="J382">
        <v>1.62</v>
      </c>
      <c r="K382" t="s">
        <v>1112</v>
      </c>
      <c r="L382">
        <v>0</v>
      </c>
      <c r="N382" t="s">
        <v>1113</v>
      </c>
      <c r="O382" t="s">
        <v>1114</v>
      </c>
      <c r="P382" t="s">
        <v>20</v>
      </c>
      <c r="Q382">
        <f t="shared" si="15"/>
        <v>340.19699993077666</v>
      </c>
      <c r="R382">
        <f t="shared" si="16"/>
        <v>0.14264965245357403</v>
      </c>
      <c r="S382">
        <f t="shared" si="17"/>
        <v>0.31123560535325245</v>
      </c>
    </row>
    <row r="383" spans="1:19" hidden="1" x14ac:dyDescent="0.2">
      <c r="A383">
        <v>49</v>
      </c>
      <c r="B383" t="s">
        <v>16</v>
      </c>
      <c r="C383">
        <v>50</v>
      </c>
      <c r="D383">
        <v>2</v>
      </c>
      <c r="E383">
        <v>1013</v>
      </c>
      <c r="F383" t="b">
        <v>1</v>
      </c>
      <c r="G383">
        <v>36.192</v>
      </c>
      <c r="H383">
        <v>18</v>
      </c>
      <c r="I383">
        <v>9</v>
      </c>
      <c r="J383">
        <v>2.16</v>
      </c>
      <c r="K383" t="s">
        <v>1121</v>
      </c>
      <c r="L383">
        <v>0</v>
      </c>
      <c r="N383" t="s">
        <v>1122</v>
      </c>
      <c r="O383" t="s">
        <v>1123</v>
      </c>
      <c r="P383" t="s">
        <v>20</v>
      </c>
      <c r="Q383">
        <f t="shared" si="15"/>
        <v>312.30499986559153</v>
      </c>
      <c r="R383">
        <f t="shared" si="16"/>
        <v>0.2486737400530504</v>
      </c>
      <c r="S383">
        <f t="shared" si="17"/>
        <v>0.4973474801061008</v>
      </c>
    </row>
    <row r="384" spans="1:19" hidden="1" x14ac:dyDescent="0.2">
      <c r="A384">
        <v>52</v>
      </c>
      <c r="B384" t="s">
        <v>16</v>
      </c>
      <c r="C384">
        <v>70</v>
      </c>
      <c r="D384">
        <v>2</v>
      </c>
      <c r="E384">
        <v>1013</v>
      </c>
      <c r="F384" t="b">
        <v>1</v>
      </c>
      <c r="G384">
        <v>59.24</v>
      </c>
      <c r="H384">
        <v>22</v>
      </c>
      <c r="I384">
        <v>7</v>
      </c>
      <c r="J384">
        <v>3.54</v>
      </c>
      <c r="K384" t="s">
        <v>1130</v>
      </c>
      <c r="L384">
        <v>0</v>
      </c>
      <c r="N384" t="s">
        <v>1131</v>
      </c>
      <c r="O384" t="s">
        <v>1132</v>
      </c>
      <c r="P384" t="s">
        <v>20</v>
      </c>
      <c r="Q384">
        <f t="shared" si="15"/>
        <v>192.83299965318292</v>
      </c>
      <c r="R384">
        <f t="shared" si="16"/>
        <v>0.11816340310600945</v>
      </c>
      <c r="S384">
        <f t="shared" si="17"/>
        <v>0.37137069547602969</v>
      </c>
    </row>
    <row r="385" spans="1:19" x14ac:dyDescent="0.2">
      <c r="A385">
        <v>56</v>
      </c>
      <c r="B385" t="s">
        <v>21</v>
      </c>
      <c r="C385">
        <v>-1</v>
      </c>
      <c r="D385">
        <v>3</v>
      </c>
      <c r="E385">
        <v>1014</v>
      </c>
      <c r="F385" t="b">
        <v>1</v>
      </c>
      <c r="G385">
        <v>63.012</v>
      </c>
      <c r="H385">
        <v>31</v>
      </c>
      <c r="I385">
        <v>7</v>
      </c>
      <c r="J385">
        <v>5.52</v>
      </c>
      <c r="K385" t="s">
        <v>1142</v>
      </c>
      <c r="L385">
        <v>0</v>
      </c>
      <c r="N385" t="s">
        <v>1143</v>
      </c>
      <c r="O385" t="s">
        <v>1144</v>
      </c>
      <c r="P385" t="s">
        <v>20</v>
      </c>
      <c r="Q385">
        <f t="shared" si="15"/>
        <v>235.72200019843876</v>
      </c>
      <c r="R385">
        <f t="shared" si="16"/>
        <v>0.11108995112042151</v>
      </c>
      <c r="S385">
        <f t="shared" si="17"/>
        <v>0.49196978353329524</v>
      </c>
    </row>
    <row r="386" spans="1:19" x14ac:dyDescent="0.2">
      <c r="A386">
        <v>59</v>
      </c>
      <c r="B386" t="s">
        <v>21</v>
      </c>
      <c r="C386">
        <v>0</v>
      </c>
      <c r="D386">
        <v>3</v>
      </c>
      <c r="E386">
        <v>1014</v>
      </c>
      <c r="F386" t="b">
        <v>1</v>
      </c>
      <c r="G386">
        <v>127.30800000000001</v>
      </c>
      <c r="H386">
        <v>24</v>
      </c>
      <c r="I386">
        <v>6</v>
      </c>
      <c r="J386">
        <v>1.86</v>
      </c>
      <c r="K386" t="s">
        <v>1151</v>
      </c>
      <c r="L386">
        <v>0</v>
      </c>
      <c r="N386" t="s">
        <v>1152</v>
      </c>
      <c r="O386" t="s">
        <v>1153</v>
      </c>
      <c r="P386" t="s">
        <v>20</v>
      </c>
      <c r="Q386">
        <f t="shared" ref="Q386:Q449" si="18">(VALUE(LEFT(SUBSTITUTE(O386,"T"," "),23)) - VALUE(LEFT(SUBSTITUTE(N386,"T"," "),23))) * 86400</f>
        <v>614.48900001123548</v>
      </c>
      <c r="R386">
        <f t="shared" ref="R386:R449" si="19">I386/G386</f>
        <v>4.7129795456687718E-2</v>
      </c>
      <c r="S386">
        <f t="shared" ref="S386:S449" si="20">H386/G386</f>
        <v>0.18851918182675087</v>
      </c>
    </row>
    <row r="387" spans="1:19" x14ac:dyDescent="0.2">
      <c r="A387">
        <v>62</v>
      </c>
      <c r="B387" t="s">
        <v>21</v>
      </c>
      <c r="C387">
        <v>2</v>
      </c>
      <c r="D387">
        <v>3</v>
      </c>
      <c r="E387">
        <v>1014</v>
      </c>
      <c r="F387" t="b">
        <v>1</v>
      </c>
      <c r="G387">
        <v>50.904000000000003</v>
      </c>
      <c r="H387">
        <v>30</v>
      </c>
      <c r="I387">
        <v>3</v>
      </c>
      <c r="J387">
        <v>1.26</v>
      </c>
      <c r="K387" t="s">
        <v>1160</v>
      </c>
      <c r="L387">
        <v>0</v>
      </c>
      <c r="N387" t="s">
        <v>1161</v>
      </c>
      <c r="O387" t="s">
        <v>1162</v>
      </c>
      <c r="P387" t="s">
        <v>20</v>
      </c>
      <c r="Q387">
        <f t="shared" si="18"/>
        <v>177.94999976176769</v>
      </c>
      <c r="R387">
        <f t="shared" si="19"/>
        <v>5.8934464875058927E-2</v>
      </c>
      <c r="S387">
        <f t="shared" si="20"/>
        <v>0.58934464875058934</v>
      </c>
    </row>
    <row r="388" spans="1:19" x14ac:dyDescent="0.2">
      <c r="A388">
        <v>65</v>
      </c>
      <c r="B388" t="s">
        <v>21</v>
      </c>
      <c r="C388">
        <v>5</v>
      </c>
      <c r="D388">
        <v>3</v>
      </c>
      <c r="E388">
        <v>1014</v>
      </c>
      <c r="F388" t="b">
        <v>1</v>
      </c>
      <c r="G388">
        <v>62.432000000000002</v>
      </c>
      <c r="H388">
        <v>32</v>
      </c>
      <c r="I388">
        <v>2</v>
      </c>
      <c r="J388">
        <v>0.6</v>
      </c>
      <c r="K388" t="s">
        <v>1169</v>
      </c>
      <c r="L388">
        <v>0</v>
      </c>
      <c r="N388" t="s">
        <v>1170</v>
      </c>
      <c r="O388" t="s">
        <v>1171</v>
      </c>
      <c r="P388" t="s">
        <v>20</v>
      </c>
      <c r="Q388">
        <f t="shared" si="18"/>
        <v>268.12400019261986</v>
      </c>
      <c r="R388">
        <f t="shared" si="19"/>
        <v>3.2034853921066121E-2</v>
      </c>
      <c r="S388">
        <f t="shared" si="20"/>
        <v>0.51255766273705794</v>
      </c>
    </row>
    <row r="389" spans="1:19" hidden="1" x14ac:dyDescent="0.2">
      <c r="A389">
        <v>68</v>
      </c>
      <c r="B389" t="s">
        <v>21</v>
      </c>
      <c r="C389">
        <v>10</v>
      </c>
      <c r="D389">
        <v>3</v>
      </c>
      <c r="E389">
        <v>1014</v>
      </c>
      <c r="F389" t="b">
        <v>1</v>
      </c>
      <c r="G389">
        <v>79.335999999999999</v>
      </c>
      <c r="H389">
        <v>29</v>
      </c>
      <c r="I389">
        <v>4</v>
      </c>
      <c r="J389">
        <v>0.54</v>
      </c>
      <c r="K389" t="s">
        <v>1178</v>
      </c>
      <c r="L389">
        <v>0</v>
      </c>
      <c r="N389" t="s">
        <v>1179</v>
      </c>
      <c r="O389" t="s">
        <v>1180</v>
      </c>
      <c r="P389" t="s">
        <v>20</v>
      </c>
      <c r="Q389">
        <f t="shared" si="18"/>
        <v>390.98400003276765</v>
      </c>
      <c r="R389">
        <f t="shared" si="19"/>
        <v>5.041847332862761E-2</v>
      </c>
      <c r="S389">
        <f t="shared" si="20"/>
        <v>0.36553393163255016</v>
      </c>
    </row>
    <row r="390" spans="1:19" hidden="1" x14ac:dyDescent="0.2">
      <c r="A390">
        <v>71</v>
      </c>
      <c r="B390" t="s">
        <v>21</v>
      </c>
      <c r="C390">
        <v>15</v>
      </c>
      <c r="D390">
        <v>3</v>
      </c>
      <c r="E390">
        <v>1014</v>
      </c>
      <c r="F390" t="b">
        <v>1</v>
      </c>
      <c r="G390">
        <v>134.02000000000001</v>
      </c>
      <c r="H390">
        <v>30</v>
      </c>
      <c r="I390">
        <v>16</v>
      </c>
      <c r="J390">
        <v>2.34</v>
      </c>
      <c r="K390" t="s">
        <v>1187</v>
      </c>
      <c r="L390">
        <v>0</v>
      </c>
      <c r="N390" t="s">
        <v>1188</v>
      </c>
      <c r="O390" t="s">
        <v>1189</v>
      </c>
      <c r="P390" t="s">
        <v>20</v>
      </c>
      <c r="Q390">
        <f t="shared" si="18"/>
        <v>569.3570002913475</v>
      </c>
      <c r="R390">
        <f t="shared" si="19"/>
        <v>0.11938516639307566</v>
      </c>
      <c r="S390">
        <f t="shared" si="20"/>
        <v>0.22384718698701683</v>
      </c>
    </row>
    <row r="391" spans="1:19" hidden="1" x14ac:dyDescent="0.2">
      <c r="A391">
        <v>74</v>
      </c>
      <c r="B391" t="s">
        <v>21</v>
      </c>
      <c r="C391">
        <v>20</v>
      </c>
      <c r="D391">
        <v>3</v>
      </c>
      <c r="E391">
        <v>1014</v>
      </c>
      <c r="F391" t="b">
        <v>1</v>
      </c>
      <c r="G391">
        <v>76.147999999999996</v>
      </c>
      <c r="H391">
        <v>30</v>
      </c>
      <c r="I391">
        <v>7</v>
      </c>
      <c r="J391">
        <v>3.06</v>
      </c>
      <c r="K391" t="s">
        <v>1196</v>
      </c>
      <c r="L391">
        <v>0</v>
      </c>
      <c r="N391" t="s">
        <v>1197</v>
      </c>
      <c r="O391" t="s">
        <v>1198</v>
      </c>
      <c r="P391" t="s">
        <v>20</v>
      </c>
      <c r="Q391">
        <f t="shared" si="18"/>
        <v>355.06799966096878</v>
      </c>
      <c r="R391">
        <f t="shared" si="19"/>
        <v>9.1926248883752698E-2</v>
      </c>
      <c r="S391">
        <f t="shared" si="20"/>
        <v>0.39396963807322583</v>
      </c>
    </row>
    <row r="392" spans="1:19" hidden="1" x14ac:dyDescent="0.2">
      <c r="A392">
        <v>77</v>
      </c>
      <c r="B392" t="s">
        <v>21</v>
      </c>
      <c r="C392">
        <v>50</v>
      </c>
      <c r="D392">
        <v>3</v>
      </c>
      <c r="E392">
        <v>1014</v>
      </c>
      <c r="F392" t="b">
        <v>1</v>
      </c>
      <c r="G392">
        <v>59.472000000000001</v>
      </c>
      <c r="H392">
        <v>31</v>
      </c>
      <c r="I392">
        <v>9</v>
      </c>
      <c r="J392">
        <v>0.84</v>
      </c>
      <c r="K392" t="s">
        <v>1205</v>
      </c>
      <c r="L392">
        <v>0</v>
      </c>
      <c r="N392" t="s">
        <v>1206</v>
      </c>
      <c r="O392" t="s">
        <v>1207</v>
      </c>
      <c r="P392" t="s">
        <v>20</v>
      </c>
      <c r="Q392">
        <f t="shared" si="18"/>
        <v>261.44099982921034</v>
      </c>
      <c r="R392">
        <f t="shared" si="19"/>
        <v>0.1513317191283293</v>
      </c>
      <c r="S392">
        <f t="shared" si="20"/>
        <v>0.52125369921980091</v>
      </c>
    </row>
    <row r="393" spans="1:19" hidden="1" x14ac:dyDescent="0.2">
      <c r="A393">
        <v>80</v>
      </c>
      <c r="B393" t="s">
        <v>21</v>
      </c>
      <c r="C393">
        <v>70</v>
      </c>
      <c r="D393">
        <v>3</v>
      </c>
      <c r="E393">
        <v>1014</v>
      </c>
      <c r="F393" t="b">
        <v>1</v>
      </c>
      <c r="G393">
        <v>52.783999999999999</v>
      </c>
      <c r="H393">
        <v>31</v>
      </c>
      <c r="I393">
        <v>9</v>
      </c>
      <c r="J393">
        <v>0.96</v>
      </c>
      <c r="K393" t="s">
        <v>1214</v>
      </c>
      <c r="L393">
        <v>0</v>
      </c>
      <c r="N393" t="s">
        <v>1215</v>
      </c>
      <c r="O393" t="s">
        <v>1216</v>
      </c>
      <c r="P393" t="s">
        <v>20</v>
      </c>
      <c r="Q393">
        <f t="shared" si="18"/>
        <v>272.96700035221875</v>
      </c>
      <c r="R393">
        <f t="shared" si="19"/>
        <v>0.17050621400424371</v>
      </c>
      <c r="S393">
        <f t="shared" si="20"/>
        <v>0.5872991815701728</v>
      </c>
    </row>
    <row r="394" spans="1:19" x14ac:dyDescent="0.2">
      <c r="A394">
        <v>57</v>
      </c>
      <c r="B394" t="s">
        <v>25</v>
      </c>
      <c r="C394">
        <v>-1</v>
      </c>
      <c r="D394">
        <v>3</v>
      </c>
      <c r="E394">
        <v>1014</v>
      </c>
      <c r="F394" t="b">
        <v>1</v>
      </c>
      <c r="G394">
        <v>27.268000000000001</v>
      </c>
      <c r="H394">
        <v>30</v>
      </c>
      <c r="I394">
        <v>6</v>
      </c>
      <c r="J394">
        <v>5.58</v>
      </c>
      <c r="K394" t="s">
        <v>1145</v>
      </c>
      <c r="L394">
        <v>0</v>
      </c>
      <c r="N394" t="s">
        <v>1146</v>
      </c>
      <c r="O394" t="s">
        <v>1147</v>
      </c>
      <c r="P394" t="s">
        <v>20</v>
      </c>
      <c r="Q394">
        <f t="shared" si="18"/>
        <v>134.9839999107644</v>
      </c>
      <c r="R394">
        <f t="shared" si="19"/>
        <v>0.220038139944257</v>
      </c>
      <c r="S394">
        <f t="shared" si="20"/>
        <v>1.1001906997212849</v>
      </c>
    </row>
    <row r="395" spans="1:19" x14ac:dyDescent="0.2">
      <c r="A395">
        <v>60</v>
      </c>
      <c r="B395" t="s">
        <v>25</v>
      </c>
      <c r="C395">
        <v>0</v>
      </c>
      <c r="D395">
        <v>3</v>
      </c>
      <c r="E395">
        <v>1014</v>
      </c>
      <c r="F395" t="b">
        <v>1</v>
      </c>
      <c r="G395">
        <v>49.116</v>
      </c>
      <c r="H395">
        <v>31</v>
      </c>
      <c r="I395">
        <v>0</v>
      </c>
      <c r="J395">
        <v>0</v>
      </c>
      <c r="K395" t="s">
        <v>1154</v>
      </c>
      <c r="L395">
        <v>0</v>
      </c>
      <c r="N395" t="s">
        <v>1155</v>
      </c>
      <c r="O395" t="s">
        <v>1156</v>
      </c>
      <c r="P395" t="s">
        <v>20</v>
      </c>
      <c r="Q395">
        <f t="shared" si="18"/>
        <v>220.85899994708598</v>
      </c>
      <c r="R395">
        <f t="shared" si="19"/>
        <v>0</v>
      </c>
      <c r="S395">
        <f t="shared" si="20"/>
        <v>0.63115888916035512</v>
      </c>
    </row>
    <row r="396" spans="1:19" x14ac:dyDescent="0.2">
      <c r="A396">
        <v>63</v>
      </c>
      <c r="B396" t="s">
        <v>25</v>
      </c>
      <c r="C396">
        <v>2</v>
      </c>
      <c r="D396">
        <v>3</v>
      </c>
      <c r="E396">
        <v>1014</v>
      </c>
      <c r="F396" t="b">
        <v>1</v>
      </c>
      <c r="G396">
        <v>45.064</v>
      </c>
      <c r="H396">
        <v>31</v>
      </c>
      <c r="I396">
        <v>0</v>
      </c>
      <c r="J396">
        <v>0</v>
      </c>
      <c r="K396" t="s">
        <v>1163</v>
      </c>
      <c r="L396">
        <v>0</v>
      </c>
      <c r="N396" t="s">
        <v>1164</v>
      </c>
      <c r="O396" t="s">
        <v>1165</v>
      </c>
      <c r="P396" t="s">
        <v>20</v>
      </c>
      <c r="Q396">
        <f t="shared" si="18"/>
        <v>252.62199968565255</v>
      </c>
      <c r="R396">
        <f t="shared" si="19"/>
        <v>0</v>
      </c>
      <c r="S396">
        <f t="shared" si="20"/>
        <v>0.68791052725013313</v>
      </c>
    </row>
    <row r="397" spans="1:19" x14ac:dyDescent="0.2">
      <c r="A397">
        <v>66</v>
      </c>
      <c r="B397" t="s">
        <v>25</v>
      </c>
      <c r="C397">
        <v>5</v>
      </c>
      <c r="D397">
        <v>3</v>
      </c>
      <c r="E397">
        <v>1014</v>
      </c>
      <c r="F397" t="b">
        <v>1</v>
      </c>
      <c r="G397">
        <v>42.98</v>
      </c>
      <c r="H397">
        <v>26</v>
      </c>
      <c r="I397">
        <v>3</v>
      </c>
      <c r="J397">
        <v>0.66</v>
      </c>
      <c r="K397" t="s">
        <v>1172</v>
      </c>
      <c r="L397">
        <v>0</v>
      </c>
      <c r="N397" t="s">
        <v>1173</v>
      </c>
      <c r="O397" t="s">
        <v>1174</v>
      </c>
      <c r="P397" t="s">
        <v>20</v>
      </c>
      <c r="Q397">
        <f t="shared" si="18"/>
        <v>182.10599964950234</v>
      </c>
      <c r="R397">
        <f t="shared" si="19"/>
        <v>6.9799906933457431E-2</v>
      </c>
      <c r="S397">
        <f t="shared" si="20"/>
        <v>0.60493252675663101</v>
      </c>
    </row>
    <row r="398" spans="1:19" hidden="1" x14ac:dyDescent="0.2">
      <c r="A398">
        <v>69</v>
      </c>
      <c r="B398" t="s">
        <v>25</v>
      </c>
      <c r="C398">
        <v>10</v>
      </c>
      <c r="D398">
        <v>3</v>
      </c>
      <c r="E398">
        <v>1014</v>
      </c>
      <c r="F398" t="b">
        <v>1</v>
      </c>
      <c r="G398">
        <v>48.923999999999999</v>
      </c>
      <c r="H398">
        <v>28</v>
      </c>
      <c r="I398">
        <v>3</v>
      </c>
      <c r="J398">
        <v>0.6</v>
      </c>
      <c r="K398" t="s">
        <v>1181</v>
      </c>
      <c r="L398">
        <v>0</v>
      </c>
      <c r="N398" t="s">
        <v>1182</v>
      </c>
      <c r="O398" t="s">
        <v>1183</v>
      </c>
      <c r="P398" t="s">
        <v>20</v>
      </c>
      <c r="Q398">
        <f t="shared" si="18"/>
        <v>228.72200044803321</v>
      </c>
      <c r="R398">
        <f t="shared" si="19"/>
        <v>6.1319597743438807E-2</v>
      </c>
      <c r="S398">
        <f t="shared" si="20"/>
        <v>0.57231624560542882</v>
      </c>
    </row>
    <row r="399" spans="1:19" hidden="1" x14ac:dyDescent="0.2">
      <c r="A399">
        <v>72</v>
      </c>
      <c r="B399" t="s">
        <v>25</v>
      </c>
      <c r="C399">
        <v>15</v>
      </c>
      <c r="D399">
        <v>3</v>
      </c>
      <c r="E399">
        <v>1014</v>
      </c>
      <c r="F399" t="b">
        <v>1</v>
      </c>
      <c r="G399">
        <v>53.271999999999998</v>
      </c>
      <c r="H399">
        <v>30</v>
      </c>
      <c r="I399">
        <v>2</v>
      </c>
      <c r="J399">
        <v>0.36</v>
      </c>
      <c r="K399" t="s">
        <v>1190</v>
      </c>
      <c r="L399">
        <v>0</v>
      </c>
      <c r="N399" t="s">
        <v>1191</v>
      </c>
      <c r="O399" t="s">
        <v>1192</v>
      </c>
      <c r="P399" t="s">
        <v>20</v>
      </c>
      <c r="Q399">
        <f t="shared" si="18"/>
        <v>231.72700011637062</v>
      </c>
      <c r="R399">
        <f t="shared" si="19"/>
        <v>3.7543174650848478E-2</v>
      </c>
      <c r="S399">
        <f t="shared" si="20"/>
        <v>0.5631476197627272</v>
      </c>
    </row>
    <row r="400" spans="1:19" hidden="1" x14ac:dyDescent="0.2">
      <c r="A400">
        <v>75</v>
      </c>
      <c r="B400" t="s">
        <v>25</v>
      </c>
      <c r="C400">
        <v>20</v>
      </c>
      <c r="D400">
        <v>3</v>
      </c>
      <c r="E400">
        <v>1014</v>
      </c>
      <c r="F400" t="b">
        <v>1</v>
      </c>
      <c r="G400">
        <v>42.896000000000001</v>
      </c>
      <c r="H400">
        <v>28</v>
      </c>
      <c r="I400">
        <v>9</v>
      </c>
      <c r="J400">
        <v>1.74</v>
      </c>
      <c r="K400" t="s">
        <v>1199</v>
      </c>
      <c r="L400">
        <v>0</v>
      </c>
      <c r="N400" t="s">
        <v>1200</v>
      </c>
      <c r="O400" t="s">
        <v>1201</v>
      </c>
      <c r="P400" t="s">
        <v>20</v>
      </c>
      <c r="Q400">
        <f t="shared" si="18"/>
        <v>196.13099964335561</v>
      </c>
      <c r="R400">
        <f t="shared" si="19"/>
        <v>0.20980977247295785</v>
      </c>
      <c r="S400">
        <f t="shared" si="20"/>
        <v>0.65274151436031336</v>
      </c>
    </row>
    <row r="401" spans="1:19" hidden="1" x14ac:dyDescent="0.2">
      <c r="A401">
        <v>78</v>
      </c>
      <c r="B401" t="s">
        <v>25</v>
      </c>
      <c r="C401">
        <v>50</v>
      </c>
      <c r="D401">
        <v>3</v>
      </c>
      <c r="E401">
        <v>1014</v>
      </c>
      <c r="F401" t="b">
        <v>1</v>
      </c>
      <c r="G401">
        <v>49.384</v>
      </c>
      <c r="H401">
        <v>29</v>
      </c>
      <c r="I401">
        <v>13</v>
      </c>
      <c r="J401">
        <v>1.86</v>
      </c>
      <c r="K401" t="s">
        <v>1208</v>
      </c>
      <c r="L401">
        <v>0</v>
      </c>
      <c r="N401" t="s">
        <v>1209</v>
      </c>
      <c r="O401" t="s">
        <v>1210</v>
      </c>
      <c r="P401" t="s">
        <v>20</v>
      </c>
      <c r="Q401">
        <f t="shared" si="18"/>
        <v>224.29800010286272</v>
      </c>
      <c r="R401">
        <f t="shared" si="19"/>
        <v>0.26324315567795237</v>
      </c>
      <c r="S401">
        <f t="shared" si="20"/>
        <v>0.58723473189697073</v>
      </c>
    </row>
    <row r="402" spans="1:19" hidden="1" x14ac:dyDescent="0.2">
      <c r="A402">
        <v>81</v>
      </c>
      <c r="B402" t="s">
        <v>25</v>
      </c>
      <c r="C402">
        <v>70</v>
      </c>
      <c r="D402">
        <v>3</v>
      </c>
      <c r="E402">
        <v>1014</v>
      </c>
      <c r="F402" t="b">
        <v>1</v>
      </c>
      <c r="G402">
        <v>46.624000000000002</v>
      </c>
      <c r="H402">
        <v>29</v>
      </c>
      <c r="I402">
        <v>4</v>
      </c>
      <c r="J402">
        <v>0.96</v>
      </c>
      <c r="K402" t="s">
        <v>1217</v>
      </c>
      <c r="L402">
        <v>0</v>
      </c>
      <c r="N402" t="s">
        <v>1218</v>
      </c>
      <c r="O402" t="s">
        <v>1219</v>
      </c>
      <c r="P402" t="s">
        <v>20</v>
      </c>
      <c r="Q402">
        <f t="shared" si="18"/>
        <v>228.51500033866614</v>
      </c>
      <c r="R402">
        <f t="shared" si="19"/>
        <v>8.5792724776938917E-2</v>
      </c>
      <c r="S402">
        <f t="shared" si="20"/>
        <v>0.62199725463280708</v>
      </c>
    </row>
    <row r="403" spans="1:19" x14ac:dyDescent="0.2">
      <c r="A403">
        <v>55</v>
      </c>
      <c r="B403" t="s">
        <v>16</v>
      </c>
      <c r="C403">
        <v>-1</v>
      </c>
      <c r="D403">
        <v>3</v>
      </c>
      <c r="E403">
        <v>1014</v>
      </c>
      <c r="F403" t="b">
        <v>1</v>
      </c>
      <c r="G403">
        <v>59.984000000000002</v>
      </c>
      <c r="H403">
        <v>31</v>
      </c>
      <c r="I403">
        <v>11</v>
      </c>
      <c r="J403">
        <v>9.6</v>
      </c>
      <c r="K403" t="s">
        <v>1139</v>
      </c>
      <c r="L403">
        <v>0</v>
      </c>
      <c r="N403" t="s">
        <v>1140</v>
      </c>
      <c r="O403" t="s">
        <v>1141</v>
      </c>
      <c r="P403" t="s">
        <v>20</v>
      </c>
      <c r="Q403">
        <f t="shared" si="18"/>
        <v>231.92099989391863</v>
      </c>
      <c r="R403">
        <f t="shared" si="19"/>
        <v>0.18338223526273673</v>
      </c>
      <c r="S403">
        <f t="shared" si="20"/>
        <v>0.51680448119498534</v>
      </c>
    </row>
    <row r="404" spans="1:19" x14ac:dyDescent="0.2">
      <c r="A404">
        <v>58</v>
      </c>
      <c r="B404" t="s">
        <v>16</v>
      </c>
      <c r="C404">
        <v>0</v>
      </c>
      <c r="D404">
        <v>3</v>
      </c>
      <c r="E404">
        <v>1014</v>
      </c>
      <c r="F404" t="b">
        <v>1</v>
      </c>
      <c r="G404">
        <v>97.096000000000004</v>
      </c>
      <c r="H404">
        <v>28</v>
      </c>
      <c r="I404">
        <v>3</v>
      </c>
      <c r="J404">
        <v>1.02</v>
      </c>
      <c r="K404" t="s">
        <v>1148</v>
      </c>
      <c r="L404">
        <v>0</v>
      </c>
      <c r="N404" t="s">
        <v>1149</v>
      </c>
      <c r="O404" t="s">
        <v>1150</v>
      </c>
      <c r="P404" t="s">
        <v>20</v>
      </c>
      <c r="Q404">
        <f t="shared" si="18"/>
        <v>376.21199958957732</v>
      </c>
      <c r="R404">
        <f t="shared" si="19"/>
        <v>3.0897256323638461E-2</v>
      </c>
      <c r="S404">
        <f t="shared" si="20"/>
        <v>0.28837439235395895</v>
      </c>
    </row>
    <row r="405" spans="1:19" x14ac:dyDescent="0.2">
      <c r="A405">
        <v>61</v>
      </c>
      <c r="B405" t="s">
        <v>16</v>
      </c>
      <c r="C405">
        <v>2</v>
      </c>
      <c r="D405">
        <v>3</v>
      </c>
      <c r="E405">
        <v>1014</v>
      </c>
      <c r="F405" t="b">
        <v>1</v>
      </c>
      <c r="G405">
        <v>117.88</v>
      </c>
      <c r="H405">
        <v>27</v>
      </c>
      <c r="I405">
        <v>2</v>
      </c>
      <c r="J405">
        <v>0.18</v>
      </c>
      <c r="K405" t="s">
        <v>1157</v>
      </c>
      <c r="L405">
        <v>0</v>
      </c>
      <c r="N405" t="s">
        <v>1158</v>
      </c>
      <c r="O405" t="s">
        <v>1159</v>
      </c>
      <c r="P405" t="s">
        <v>20</v>
      </c>
      <c r="Q405">
        <f t="shared" si="18"/>
        <v>407.92400005739182</v>
      </c>
      <c r="R405">
        <f t="shared" si="19"/>
        <v>1.6966406515100101E-2</v>
      </c>
      <c r="S405">
        <f t="shared" si="20"/>
        <v>0.22904648795385138</v>
      </c>
    </row>
    <row r="406" spans="1:19" x14ac:dyDescent="0.2">
      <c r="A406">
        <v>64</v>
      </c>
      <c r="B406" t="s">
        <v>16</v>
      </c>
      <c r="C406">
        <v>5</v>
      </c>
      <c r="D406">
        <v>3</v>
      </c>
      <c r="E406">
        <v>1014</v>
      </c>
      <c r="F406" t="b">
        <v>1</v>
      </c>
      <c r="G406">
        <v>88.736000000000004</v>
      </c>
      <c r="H406">
        <v>29</v>
      </c>
      <c r="I406">
        <v>2</v>
      </c>
      <c r="J406">
        <v>0.3</v>
      </c>
      <c r="K406" t="s">
        <v>1166</v>
      </c>
      <c r="L406">
        <v>0</v>
      </c>
      <c r="N406" t="s">
        <v>1167</v>
      </c>
      <c r="O406" t="s">
        <v>1168</v>
      </c>
      <c r="P406" t="s">
        <v>20</v>
      </c>
      <c r="Q406">
        <f t="shared" si="18"/>
        <v>401.76599998958409</v>
      </c>
      <c r="R406">
        <f t="shared" si="19"/>
        <v>2.2538766678687341E-2</v>
      </c>
      <c r="S406">
        <f t="shared" si="20"/>
        <v>0.32681211684096645</v>
      </c>
    </row>
    <row r="407" spans="1:19" hidden="1" x14ac:dyDescent="0.2">
      <c r="A407">
        <v>67</v>
      </c>
      <c r="B407" t="s">
        <v>16</v>
      </c>
      <c r="C407">
        <v>10</v>
      </c>
      <c r="D407">
        <v>3</v>
      </c>
      <c r="E407">
        <v>1014</v>
      </c>
      <c r="F407" t="b">
        <v>1</v>
      </c>
      <c r="G407">
        <v>80.86</v>
      </c>
      <c r="H407">
        <v>31</v>
      </c>
      <c r="I407">
        <v>2</v>
      </c>
      <c r="J407">
        <v>0.66</v>
      </c>
      <c r="K407" t="s">
        <v>1175</v>
      </c>
      <c r="L407">
        <v>0</v>
      </c>
      <c r="N407" t="s">
        <v>1176</v>
      </c>
      <c r="O407" t="s">
        <v>1177</v>
      </c>
      <c r="P407" t="s">
        <v>20</v>
      </c>
      <c r="Q407">
        <f t="shared" si="18"/>
        <v>365.91799990274012</v>
      </c>
      <c r="R407">
        <f t="shared" si="19"/>
        <v>2.4734108335394508E-2</v>
      </c>
      <c r="S407">
        <f t="shared" si="20"/>
        <v>0.3833786791986149</v>
      </c>
    </row>
    <row r="408" spans="1:19" hidden="1" x14ac:dyDescent="0.2">
      <c r="A408">
        <v>70</v>
      </c>
      <c r="B408" t="s">
        <v>16</v>
      </c>
      <c r="C408">
        <v>15</v>
      </c>
      <c r="D408">
        <v>3</v>
      </c>
      <c r="E408">
        <v>1014</v>
      </c>
      <c r="F408" t="b">
        <v>1</v>
      </c>
      <c r="G408">
        <v>86.424000000000007</v>
      </c>
      <c r="H408">
        <v>30</v>
      </c>
      <c r="I408">
        <v>10</v>
      </c>
      <c r="J408">
        <v>2.2200000000000002</v>
      </c>
      <c r="K408" t="s">
        <v>1184</v>
      </c>
      <c r="L408">
        <v>0</v>
      </c>
      <c r="N408" t="s">
        <v>1185</v>
      </c>
      <c r="O408" t="s">
        <v>1186</v>
      </c>
      <c r="P408" t="s">
        <v>20</v>
      </c>
      <c r="Q408">
        <f t="shared" si="18"/>
        <v>322.10599968675524</v>
      </c>
      <c r="R408">
        <f t="shared" si="19"/>
        <v>0.11570859946311209</v>
      </c>
      <c r="S408">
        <f t="shared" si="20"/>
        <v>0.34712579838933627</v>
      </c>
    </row>
    <row r="409" spans="1:19" hidden="1" x14ac:dyDescent="0.2">
      <c r="A409">
        <v>73</v>
      </c>
      <c r="B409" t="s">
        <v>16</v>
      </c>
      <c r="C409">
        <v>20</v>
      </c>
      <c r="D409">
        <v>3</v>
      </c>
      <c r="E409">
        <v>1014</v>
      </c>
      <c r="F409" t="b">
        <v>1</v>
      </c>
      <c r="G409">
        <v>86.727999999999994</v>
      </c>
      <c r="H409">
        <v>28</v>
      </c>
      <c r="I409">
        <v>4</v>
      </c>
      <c r="J409">
        <v>0.36</v>
      </c>
      <c r="K409" t="s">
        <v>1193</v>
      </c>
      <c r="L409">
        <v>0</v>
      </c>
      <c r="N409" t="s">
        <v>1194</v>
      </c>
      <c r="O409" t="s">
        <v>1195</v>
      </c>
      <c r="P409" t="s">
        <v>20</v>
      </c>
      <c r="Q409">
        <f t="shared" si="18"/>
        <v>300.55099942255765</v>
      </c>
      <c r="R409">
        <f t="shared" si="19"/>
        <v>4.6121206530762848E-2</v>
      </c>
      <c r="S409">
        <f t="shared" si="20"/>
        <v>0.32284844571533994</v>
      </c>
    </row>
    <row r="410" spans="1:19" hidden="1" x14ac:dyDescent="0.2">
      <c r="A410">
        <v>76</v>
      </c>
      <c r="B410" t="s">
        <v>16</v>
      </c>
      <c r="C410">
        <v>50</v>
      </c>
      <c r="D410">
        <v>3</v>
      </c>
      <c r="E410">
        <v>1014</v>
      </c>
      <c r="F410" t="b">
        <v>1</v>
      </c>
      <c r="G410">
        <v>70.971999999999994</v>
      </c>
      <c r="H410">
        <v>29</v>
      </c>
      <c r="I410">
        <v>5</v>
      </c>
      <c r="J410">
        <v>0.78</v>
      </c>
      <c r="K410" t="s">
        <v>1202</v>
      </c>
      <c r="L410">
        <v>0</v>
      </c>
      <c r="N410" t="s">
        <v>1203</v>
      </c>
      <c r="O410" t="s">
        <v>1204</v>
      </c>
      <c r="P410" t="s">
        <v>20</v>
      </c>
      <c r="Q410">
        <f t="shared" si="18"/>
        <v>303.59900014009327</v>
      </c>
      <c r="R410">
        <f t="shared" si="19"/>
        <v>7.0450318435439335E-2</v>
      </c>
      <c r="S410">
        <f t="shared" si="20"/>
        <v>0.40861184692554814</v>
      </c>
    </row>
    <row r="411" spans="1:19" hidden="1" x14ac:dyDescent="0.2">
      <c r="A411">
        <v>79</v>
      </c>
      <c r="B411" t="s">
        <v>16</v>
      </c>
      <c r="C411">
        <v>70</v>
      </c>
      <c r="D411">
        <v>3</v>
      </c>
      <c r="E411">
        <v>1014</v>
      </c>
      <c r="F411" t="b">
        <v>1</v>
      </c>
      <c r="G411">
        <v>60.332000000000001</v>
      </c>
      <c r="H411">
        <v>29</v>
      </c>
      <c r="I411">
        <v>5</v>
      </c>
      <c r="J411">
        <v>0.96</v>
      </c>
      <c r="K411" t="s">
        <v>1211</v>
      </c>
      <c r="L411">
        <v>0</v>
      </c>
      <c r="N411" t="s">
        <v>1212</v>
      </c>
      <c r="O411" t="s">
        <v>1213</v>
      </c>
      <c r="P411" t="s">
        <v>20</v>
      </c>
      <c r="Q411">
        <f t="shared" si="18"/>
        <v>222.01199987903237</v>
      </c>
      <c r="R411">
        <f t="shared" si="19"/>
        <v>8.2874759663196976E-2</v>
      </c>
      <c r="S411">
        <f t="shared" si="20"/>
        <v>0.48067360604654247</v>
      </c>
    </row>
    <row r="412" spans="1:19" x14ac:dyDescent="0.2">
      <c r="A412">
        <v>83</v>
      </c>
      <c r="B412" t="s">
        <v>21</v>
      </c>
      <c r="C412">
        <v>-1</v>
      </c>
      <c r="D412">
        <v>4</v>
      </c>
      <c r="E412">
        <v>1015</v>
      </c>
      <c r="F412" t="b">
        <v>1</v>
      </c>
      <c r="G412">
        <v>60.808</v>
      </c>
      <c r="H412">
        <v>28</v>
      </c>
      <c r="I412">
        <v>9</v>
      </c>
      <c r="J412">
        <v>8.8800000000000008</v>
      </c>
      <c r="K412" t="s">
        <v>1223</v>
      </c>
      <c r="L412">
        <v>0</v>
      </c>
      <c r="N412" t="s">
        <v>1224</v>
      </c>
      <c r="O412" t="s">
        <v>1225</v>
      </c>
      <c r="P412" t="s">
        <v>20</v>
      </c>
      <c r="Q412">
        <f t="shared" si="18"/>
        <v>321.94600005168468</v>
      </c>
      <c r="R412">
        <f t="shared" si="19"/>
        <v>0.1480068412051046</v>
      </c>
      <c r="S412">
        <f t="shared" si="20"/>
        <v>0.46046572819365872</v>
      </c>
    </row>
    <row r="413" spans="1:19" x14ac:dyDescent="0.2">
      <c r="A413">
        <v>86</v>
      </c>
      <c r="B413" t="s">
        <v>21</v>
      </c>
      <c r="C413">
        <v>0</v>
      </c>
      <c r="D413">
        <v>4</v>
      </c>
      <c r="E413">
        <v>1015</v>
      </c>
      <c r="F413" t="b">
        <v>1</v>
      </c>
      <c r="G413">
        <v>54.643999999999998</v>
      </c>
      <c r="H413">
        <v>23</v>
      </c>
      <c r="I413">
        <v>0</v>
      </c>
      <c r="J413">
        <v>0</v>
      </c>
      <c r="K413" t="s">
        <v>1232</v>
      </c>
      <c r="L413">
        <v>0</v>
      </c>
      <c r="N413" t="s">
        <v>1233</v>
      </c>
      <c r="O413" t="s">
        <v>1234</v>
      </c>
      <c r="P413" t="s">
        <v>20</v>
      </c>
      <c r="Q413">
        <f t="shared" si="18"/>
        <v>313.18999996874481</v>
      </c>
      <c r="R413">
        <f t="shared" si="19"/>
        <v>0</v>
      </c>
      <c r="S413">
        <f t="shared" si="20"/>
        <v>0.4209062294121953</v>
      </c>
    </row>
    <row r="414" spans="1:19" x14ac:dyDescent="0.2">
      <c r="A414">
        <v>89</v>
      </c>
      <c r="B414" t="s">
        <v>21</v>
      </c>
      <c r="C414">
        <v>2</v>
      </c>
      <c r="D414">
        <v>4</v>
      </c>
      <c r="E414">
        <v>1015</v>
      </c>
      <c r="F414" t="b">
        <v>1</v>
      </c>
      <c r="G414">
        <v>68.215999999999994</v>
      </c>
      <c r="H414">
        <v>23</v>
      </c>
      <c r="I414">
        <v>1</v>
      </c>
      <c r="J414">
        <v>0.06</v>
      </c>
      <c r="K414" t="s">
        <v>1241</v>
      </c>
      <c r="L414">
        <v>0</v>
      </c>
      <c r="N414" t="s">
        <v>1242</v>
      </c>
      <c r="O414" t="s">
        <v>1243</v>
      </c>
      <c r="P414" t="s">
        <v>20</v>
      </c>
      <c r="Q414">
        <f t="shared" si="18"/>
        <v>314.15499988943338</v>
      </c>
      <c r="R414">
        <f t="shared" si="19"/>
        <v>1.4659317462178962E-2</v>
      </c>
      <c r="S414">
        <f t="shared" si="20"/>
        <v>0.33716430163011613</v>
      </c>
    </row>
    <row r="415" spans="1:19" x14ac:dyDescent="0.2">
      <c r="A415">
        <v>92</v>
      </c>
      <c r="B415" t="s">
        <v>21</v>
      </c>
      <c r="C415">
        <v>5</v>
      </c>
      <c r="D415">
        <v>4</v>
      </c>
      <c r="E415">
        <v>1015</v>
      </c>
      <c r="F415" t="b">
        <v>1</v>
      </c>
      <c r="G415">
        <v>119.26</v>
      </c>
      <c r="H415">
        <v>23</v>
      </c>
      <c r="I415">
        <v>6</v>
      </c>
      <c r="J415">
        <v>2.2799999999999998</v>
      </c>
      <c r="K415" t="s">
        <v>1250</v>
      </c>
      <c r="L415">
        <v>0</v>
      </c>
      <c r="N415" t="s">
        <v>1251</v>
      </c>
      <c r="O415" t="s">
        <v>1252</v>
      </c>
      <c r="P415" t="s">
        <v>20</v>
      </c>
      <c r="Q415">
        <f t="shared" si="18"/>
        <v>567.26099979132414</v>
      </c>
      <c r="R415">
        <f t="shared" si="19"/>
        <v>5.0310246520207949E-2</v>
      </c>
      <c r="S415">
        <f t="shared" si="20"/>
        <v>0.19285594499413047</v>
      </c>
    </row>
    <row r="416" spans="1:19" hidden="1" x14ac:dyDescent="0.2">
      <c r="A416">
        <v>95</v>
      </c>
      <c r="B416" t="s">
        <v>21</v>
      </c>
      <c r="C416">
        <v>10</v>
      </c>
      <c r="D416">
        <v>4</v>
      </c>
      <c r="E416">
        <v>1015</v>
      </c>
      <c r="F416" t="b">
        <v>1</v>
      </c>
      <c r="G416">
        <v>89.98</v>
      </c>
      <c r="H416">
        <v>24</v>
      </c>
      <c r="I416">
        <v>7</v>
      </c>
      <c r="J416">
        <v>1.74</v>
      </c>
      <c r="K416" t="s">
        <v>1259</v>
      </c>
      <c r="L416">
        <v>0</v>
      </c>
      <c r="N416" t="s">
        <v>1260</v>
      </c>
      <c r="O416" t="s">
        <v>1261</v>
      </c>
      <c r="P416" t="s">
        <v>20</v>
      </c>
      <c r="Q416">
        <f t="shared" si="18"/>
        <v>388.26299977954477</v>
      </c>
      <c r="R416">
        <f t="shared" si="19"/>
        <v>7.7795065570126692E-2</v>
      </c>
      <c r="S416">
        <f t="shared" si="20"/>
        <v>0.26672593909757725</v>
      </c>
    </row>
    <row r="417" spans="1:19" hidden="1" x14ac:dyDescent="0.2">
      <c r="A417">
        <v>98</v>
      </c>
      <c r="B417" t="s">
        <v>21</v>
      </c>
      <c r="C417">
        <v>15</v>
      </c>
      <c r="D417">
        <v>4</v>
      </c>
      <c r="E417">
        <v>1015</v>
      </c>
      <c r="F417" t="b">
        <v>1</v>
      </c>
      <c r="G417">
        <v>93.727999999999994</v>
      </c>
      <c r="H417">
        <v>23</v>
      </c>
      <c r="I417">
        <v>13</v>
      </c>
      <c r="J417">
        <v>4.26</v>
      </c>
      <c r="K417" t="s">
        <v>1268</v>
      </c>
      <c r="L417">
        <v>0</v>
      </c>
      <c r="N417" t="s">
        <v>1269</v>
      </c>
      <c r="O417" t="s">
        <v>1270</v>
      </c>
      <c r="P417" t="s">
        <v>20</v>
      </c>
      <c r="Q417">
        <f t="shared" si="18"/>
        <v>403.4189997240901</v>
      </c>
      <c r="R417">
        <f t="shared" si="19"/>
        <v>0.13869921474906113</v>
      </c>
      <c r="S417">
        <f t="shared" si="20"/>
        <v>0.24539091840218505</v>
      </c>
    </row>
    <row r="418" spans="1:19" hidden="1" x14ac:dyDescent="0.2">
      <c r="A418">
        <v>101</v>
      </c>
      <c r="B418" t="s">
        <v>21</v>
      </c>
      <c r="C418">
        <v>20</v>
      </c>
      <c r="D418">
        <v>4</v>
      </c>
      <c r="E418">
        <v>1015</v>
      </c>
      <c r="F418" t="b">
        <v>1</v>
      </c>
      <c r="G418">
        <v>41.707999999999998</v>
      </c>
      <c r="H418">
        <v>25</v>
      </c>
      <c r="I418">
        <v>7</v>
      </c>
      <c r="J418">
        <v>1.62</v>
      </c>
      <c r="K418" t="s">
        <v>1277</v>
      </c>
      <c r="L418">
        <v>0</v>
      </c>
      <c r="N418" t="s">
        <v>1278</v>
      </c>
      <c r="O418" t="s">
        <v>1279</v>
      </c>
      <c r="P418" t="s">
        <v>20</v>
      </c>
      <c r="Q418">
        <f t="shared" si="18"/>
        <v>258.29600016586483</v>
      </c>
      <c r="R418">
        <f t="shared" si="19"/>
        <v>0.16783350915891437</v>
      </c>
      <c r="S418">
        <f t="shared" si="20"/>
        <v>0.59940538985326564</v>
      </c>
    </row>
    <row r="419" spans="1:19" hidden="1" x14ac:dyDescent="0.2">
      <c r="A419">
        <v>104</v>
      </c>
      <c r="B419" t="s">
        <v>21</v>
      </c>
      <c r="C419">
        <v>50</v>
      </c>
      <c r="D419">
        <v>4</v>
      </c>
      <c r="E419">
        <v>1015</v>
      </c>
      <c r="F419" t="b">
        <v>1</v>
      </c>
      <c r="G419">
        <v>57.235999999999997</v>
      </c>
      <c r="H419">
        <v>26</v>
      </c>
      <c r="I419">
        <v>10</v>
      </c>
      <c r="J419">
        <v>2.4</v>
      </c>
      <c r="K419" t="s">
        <v>1286</v>
      </c>
      <c r="L419">
        <v>0</v>
      </c>
      <c r="N419" t="s">
        <v>1287</v>
      </c>
      <c r="O419" t="s">
        <v>1288</v>
      </c>
      <c r="P419" t="s">
        <v>20</v>
      </c>
      <c r="Q419">
        <f t="shared" si="18"/>
        <v>234.38899973407388</v>
      </c>
      <c r="R419">
        <f t="shared" si="19"/>
        <v>0.17471521420085262</v>
      </c>
      <c r="S419">
        <f t="shared" si="20"/>
        <v>0.45425955692221681</v>
      </c>
    </row>
    <row r="420" spans="1:19" hidden="1" x14ac:dyDescent="0.2">
      <c r="A420">
        <v>107</v>
      </c>
      <c r="B420" t="s">
        <v>21</v>
      </c>
      <c r="C420">
        <v>70</v>
      </c>
      <c r="D420">
        <v>4</v>
      </c>
      <c r="E420">
        <v>1015</v>
      </c>
      <c r="F420" t="b">
        <v>1</v>
      </c>
      <c r="G420">
        <v>98.596000000000004</v>
      </c>
      <c r="H420">
        <v>27</v>
      </c>
      <c r="I420">
        <v>10</v>
      </c>
      <c r="J420">
        <v>2.04</v>
      </c>
      <c r="K420" t="s">
        <v>1295</v>
      </c>
      <c r="L420">
        <v>0</v>
      </c>
      <c r="N420" t="s">
        <v>1296</v>
      </c>
      <c r="O420" t="s">
        <v>1297</v>
      </c>
      <c r="P420" t="s">
        <v>20</v>
      </c>
      <c r="Q420">
        <f t="shared" si="18"/>
        <v>411.43300021067262</v>
      </c>
      <c r="R420">
        <f t="shared" si="19"/>
        <v>0.1014239928597509</v>
      </c>
      <c r="S420">
        <f t="shared" si="20"/>
        <v>0.27384478072132745</v>
      </c>
    </row>
    <row r="421" spans="1:19" x14ac:dyDescent="0.2">
      <c r="A421">
        <v>84</v>
      </c>
      <c r="B421" t="s">
        <v>25</v>
      </c>
      <c r="C421">
        <v>-1</v>
      </c>
      <c r="D421">
        <v>4</v>
      </c>
      <c r="E421">
        <v>1015</v>
      </c>
      <c r="F421" t="b">
        <v>1</v>
      </c>
      <c r="G421">
        <v>42.503999999999998</v>
      </c>
      <c r="H421">
        <v>26</v>
      </c>
      <c r="I421">
        <v>6</v>
      </c>
      <c r="J421">
        <v>3.18</v>
      </c>
      <c r="K421" t="s">
        <v>1226</v>
      </c>
      <c r="L421">
        <v>0</v>
      </c>
      <c r="N421" t="s">
        <v>1227</v>
      </c>
      <c r="O421" t="s">
        <v>1228</v>
      </c>
      <c r="P421" t="s">
        <v>20</v>
      </c>
      <c r="Q421">
        <f t="shared" si="18"/>
        <v>164.10999989602715</v>
      </c>
      <c r="R421">
        <f t="shared" si="19"/>
        <v>0.1411631846414455</v>
      </c>
      <c r="S421">
        <f t="shared" si="20"/>
        <v>0.61170713344626393</v>
      </c>
    </row>
    <row r="422" spans="1:19" x14ac:dyDescent="0.2">
      <c r="A422">
        <v>87</v>
      </c>
      <c r="B422" t="s">
        <v>25</v>
      </c>
      <c r="C422">
        <v>0</v>
      </c>
      <c r="D422">
        <v>4</v>
      </c>
      <c r="E422">
        <v>1015</v>
      </c>
      <c r="F422" t="b">
        <v>1</v>
      </c>
      <c r="G422">
        <v>58.18</v>
      </c>
      <c r="H422">
        <v>25</v>
      </c>
      <c r="I422">
        <v>1</v>
      </c>
      <c r="J422">
        <v>0.6</v>
      </c>
      <c r="K422" t="s">
        <v>1235</v>
      </c>
      <c r="L422">
        <v>0</v>
      </c>
      <c r="N422" t="s">
        <v>1236</v>
      </c>
      <c r="O422" t="s">
        <v>1237</v>
      </c>
      <c r="P422" t="s">
        <v>20</v>
      </c>
      <c r="Q422">
        <f t="shared" si="18"/>
        <v>292.75499966461211</v>
      </c>
      <c r="R422">
        <f t="shared" si="19"/>
        <v>1.7188037126160193E-2</v>
      </c>
      <c r="S422">
        <f t="shared" si="20"/>
        <v>0.42970092815400479</v>
      </c>
    </row>
    <row r="423" spans="1:19" x14ac:dyDescent="0.2">
      <c r="A423">
        <v>90</v>
      </c>
      <c r="B423" t="s">
        <v>25</v>
      </c>
      <c r="C423">
        <v>2</v>
      </c>
      <c r="D423">
        <v>4</v>
      </c>
      <c r="E423">
        <v>1015</v>
      </c>
      <c r="F423" t="b">
        <v>1</v>
      </c>
      <c r="G423">
        <v>50.06</v>
      </c>
      <c r="H423">
        <v>26</v>
      </c>
      <c r="I423">
        <v>1</v>
      </c>
      <c r="J423">
        <v>0.66</v>
      </c>
      <c r="K423" t="s">
        <v>1244</v>
      </c>
      <c r="L423">
        <v>0</v>
      </c>
      <c r="N423" t="s">
        <v>1245</v>
      </c>
      <c r="O423" t="s">
        <v>1246</v>
      </c>
      <c r="P423" t="s">
        <v>20</v>
      </c>
      <c r="Q423">
        <f t="shared" si="18"/>
        <v>280.94700006768107</v>
      </c>
      <c r="R423">
        <f t="shared" si="19"/>
        <v>1.9976028765481421E-2</v>
      </c>
      <c r="S423">
        <f t="shared" si="20"/>
        <v>0.51937674790251698</v>
      </c>
    </row>
    <row r="424" spans="1:19" x14ac:dyDescent="0.2">
      <c r="A424">
        <v>93</v>
      </c>
      <c r="B424" t="s">
        <v>25</v>
      </c>
      <c r="C424">
        <v>5</v>
      </c>
      <c r="D424">
        <v>4</v>
      </c>
      <c r="E424">
        <v>1015</v>
      </c>
      <c r="F424" t="b">
        <v>1</v>
      </c>
      <c r="G424">
        <v>40.136000000000003</v>
      </c>
      <c r="H424">
        <v>26</v>
      </c>
      <c r="I424">
        <v>1</v>
      </c>
      <c r="J424">
        <v>0.42</v>
      </c>
      <c r="K424" t="s">
        <v>1253</v>
      </c>
      <c r="L424">
        <v>0</v>
      </c>
      <c r="N424" t="s">
        <v>1254</v>
      </c>
      <c r="O424" t="s">
        <v>1255</v>
      </c>
      <c r="P424" t="s">
        <v>20</v>
      </c>
      <c r="Q424">
        <f t="shared" si="18"/>
        <v>155.37799950689077</v>
      </c>
      <c r="R424">
        <f t="shared" si="19"/>
        <v>2.491528802072952E-2</v>
      </c>
      <c r="S424">
        <f t="shared" si="20"/>
        <v>0.64779748853896746</v>
      </c>
    </row>
    <row r="425" spans="1:19" hidden="1" x14ac:dyDescent="0.2">
      <c r="A425">
        <v>96</v>
      </c>
      <c r="B425" t="s">
        <v>25</v>
      </c>
      <c r="C425">
        <v>10</v>
      </c>
      <c r="D425">
        <v>4</v>
      </c>
      <c r="E425">
        <v>1015</v>
      </c>
      <c r="F425" t="b">
        <v>1</v>
      </c>
      <c r="G425">
        <v>47.884</v>
      </c>
      <c r="H425">
        <v>25</v>
      </c>
      <c r="I425">
        <v>3</v>
      </c>
      <c r="J425">
        <v>1.2</v>
      </c>
      <c r="K425" t="s">
        <v>1262</v>
      </c>
      <c r="L425">
        <v>0</v>
      </c>
      <c r="N425" t="s">
        <v>1263</v>
      </c>
      <c r="O425" t="s">
        <v>1264</v>
      </c>
      <c r="P425" t="s">
        <v>20</v>
      </c>
      <c r="Q425">
        <f t="shared" si="18"/>
        <v>262.74100032169372</v>
      </c>
      <c r="R425">
        <f t="shared" si="19"/>
        <v>6.2651407568290032E-2</v>
      </c>
      <c r="S425">
        <f t="shared" si="20"/>
        <v>0.5220950630690836</v>
      </c>
    </row>
    <row r="426" spans="1:19" hidden="1" x14ac:dyDescent="0.2">
      <c r="A426">
        <v>99</v>
      </c>
      <c r="B426" t="s">
        <v>25</v>
      </c>
      <c r="C426">
        <v>15</v>
      </c>
      <c r="D426">
        <v>4</v>
      </c>
      <c r="E426">
        <v>1015</v>
      </c>
      <c r="F426" t="b">
        <v>1</v>
      </c>
      <c r="G426">
        <v>45.628</v>
      </c>
      <c r="H426">
        <v>25</v>
      </c>
      <c r="I426">
        <v>3</v>
      </c>
      <c r="J426">
        <v>1.1399999999999999</v>
      </c>
      <c r="K426" t="s">
        <v>1271</v>
      </c>
      <c r="L426">
        <v>0</v>
      </c>
      <c r="N426" t="s">
        <v>1272</v>
      </c>
      <c r="O426" t="s">
        <v>1273</v>
      </c>
      <c r="P426" t="s">
        <v>20</v>
      </c>
      <c r="Q426">
        <f t="shared" si="18"/>
        <v>207.13499975390732</v>
      </c>
      <c r="R426">
        <f t="shared" si="19"/>
        <v>6.5749101428947132E-2</v>
      </c>
      <c r="S426">
        <f t="shared" si="20"/>
        <v>0.54790917857455945</v>
      </c>
    </row>
    <row r="427" spans="1:19" hidden="1" x14ac:dyDescent="0.2">
      <c r="A427">
        <v>102</v>
      </c>
      <c r="B427" t="s">
        <v>25</v>
      </c>
      <c r="C427">
        <v>20</v>
      </c>
      <c r="D427">
        <v>4</v>
      </c>
      <c r="E427">
        <v>1015</v>
      </c>
      <c r="F427" t="b">
        <v>1</v>
      </c>
      <c r="G427">
        <v>48.72</v>
      </c>
      <c r="H427">
        <v>22</v>
      </c>
      <c r="I427">
        <v>3</v>
      </c>
      <c r="J427">
        <v>2.82</v>
      </c>
      <c r="K427" t="s">
        <v>1280</v>
      </c>
      <c r="L427">
        <v>0</v>
      </c>
      <c r="N427" t="s">
        <v>1281</v>
      </c>
      <c r="O427" t="s">
        <v>1282</v>
      </c>
      <c r="P427" t="s">
        <v>20</v>
      </c>
      <c r="Q427">
        <f t="shared" si="18"/>
        <v>194.61799990385771</v>
      </c>
      <c r="R427">
        <f t="shared" si="19"/>
        <v>6.1576354679802957E-2</v>
      </c>
      <c r="S427">
        <f t="shared" si="20"/>
        <v>0.45155993431855501</v>
      </c>
    </row>
    <row r="428" spans="1:19" hidden="1" x14ac:dyDescent="0.2">
      <c r="A428">
        <v>105</v>
      </c>
      <c r="B428" t="s">
        <v>25</v>
      </c>
      <c r="C428">
        <v>50</v>
      </c>
      <c r="D428">
        <v>4</v>
      </c>
      <c r="E428">
        <v>1015</v>
      </c>
      <c r="F428" t="b">
        <v>1</v>
      </c>
      <c r="G428">
        <v>55.968000000000004</v>
      </c>
      <c r="H428">
        <v>27</v>
      </c>
      <c r="I428">
        <v>6</v>
      </c>
      <c r="J428">
        <v>2.58</v>
      </c>
      <c r="K428" t="s">
        <v>1289</v>
      </c>
      <c r="L428">
        <v>0</v>
      </c>
      <c r="N428" t="s">
        <v>1290</v>
      </c>
      <c r="O428" t="s">
        <v>1291</v>
      </c>
      <c r="P428" t="s">
        <v>20</v>
      </c>
      <c r="Q428">
        <f t="shared" si="18"/>
        <v>233.65599978715181</v>
      </c>
      <c r="R428">
        <f t="shared" si="19"/>
        <v>0.1072041166380789</v>
      </c>
      <c r="S428">
        <f t="shared" si="20"/>
        <v>0.482418524871355</v>
      </c>
    </row>
    <row r="429" spans="1:19" hidden="1" x14ac:dyDescent="0.2">
      <c r="A429">
        <v>108</v>
      </c>
      <c r="B429" t="s">
        <v>25</v>
      </c>
      <c r="C429">
        <v>70</v>
      </c>
      <c r="D429">
        <v>4</v>
      </c>
      <c r="E429">
        <v>1015</v>
      </c>
      <c r="F429" t="b">
        <v>1</v>
      </c>
      <c r="G429">
        <v>39.667999999999999</v>
      </c>
      <c r="H429">
        <v>29</v>
      </c>
      <c r="I429">
        <v>2</v>
      </c>
      <c r="J429">
        <v>0.18</v>
      </c>
      <c r="K429" t="s">
        <v>1298</v>
      </c>
      <c r="L429">
        <v>0</v>
      </c>
      <c r="N429" t="s">
        <v>1299</v>
      </c>
      <c r="O429" t="s">
        <v>1300</v>
      </c>
      <c r="P429" t="s">
        <v>20</v>
      </c>
      <c r="Q429">
        <f t="shared" si="18"/>
        <v>179.72899961750954</v>
      </c>
      <c r="R429">
        <f t="shared" si="19"/>
        <v>5.041847332862761E-2</v>
      </c>
      <c r="S429">
        <f t="shared" si="20"/>
        <v>0.73106786326510032</v>
      </c>
    </row>
    <row r="430" spans="1:19" x14ac:dyDescent="0.2">
      <c r="A430">
        <v>82</v>
      </c>
      <c r="B430" t="s">
        <v>16</v>
      </c>
      <c r="C430">
        <v>-1</v>
      </c>
      <c r="D430">
        <v>4</v>
      </c>
      <c r="E430">
        <v>1015</v>
      </c>
      <c r="F430" t="b">
        <v>1</v>
      </c>
      <c r="G430">
        <v>71.727999999999994</v>
      </c>
      <c r="H430">
        <v>27</v>
      </c>
      <c r="I430">
        <v>8</v>
      </c>
      <c r="J430">
        <v>7.2</v>
      </c>
      <c r="K430" t="s">
        <v>1220</v>
      </c>
      <c r="L430">
        <v>0</v>
      </c>
      <c r="N430" t="s">
        <v>1221</v>
      </c>
      <c r="O430" t="s">
        <v>1222</v>
      </c>
      <c r="P430" t="s">
        <v>20</v>
      </c>
      <c r="Q430">
        <f t="shared" si="18"/>
        <v>236.71000027097762</v>
      </c>
      <c r="R430">
        <f t="shared" si="19"/>
        <v>0.11153245594467991</v>
      </c>
      <c r="S430">
        <f t="shared" si="20"/>
        <v>0.37642203881329472</v>
      </c>
    </row>
    <row r="431" spans="1:19" x14ac:dyDescent="0.2">
      <c r="A431">
        <v>85</v>
      </c>
      <c r="B431" t="s">
        <v>16</v>
      </c>
      <c r="C431">
        <v>0</v>
      </c>
      <c r="D431">
        <v>4</v>
      </c>
      <c r="E431">
        <v>1015</v>
      </c>
      <c r="F431" t="b">
        <v>1</v>
      </c>
      <c r="G431">
        <v>63.292000000000002</v>
      </c>
      <c r="H431">
        <v>21</v>
      </c>
      <c r="I431">
        <v>3</v>
      </c>
      <c r="J431">
        <v>0.54</v>
      </c>
      <c r="K431" t="s">
        <v>1229</v>
      </c>
      <c r="L431">
        <v>0</v>
      </c>
      <c r="N431" t="s">
        <v>1230</v>
      </c>
      <c r="O431" t="s">
        <v>1231</v>
      </c>
      <c r="P431" t="s">
        <v>20</v>
      </c>
      <c r="Q431">
        <f t="shared" si="18"/>
        <v>356.17899997159839</v>
      </c>
      <c r="R431">
        <f t="shared" si="19"/>
        <v>4.7399355368766986E-2</v>
      </c>
      <c r="S431">
        <f t="shared" si="20"/>
        <v>0.3317954875813689</v>
      </c>
    </row>
    <row r="432" spans="1:19" x14ac:dyDescent="0.2">
      <c r="A432">
        <v>88</v>
      </c>
      <c r="B432" t="s">
        <v>16</v>
      </c>
      <c r="C432">
        <v>2</v>
      </c>
      <c r="D432">
        <v>4</v>
      </c>
      <c r="E432">
        <v>1015</v>
      </c>
      <c r="F432" t="b">
        <v>1</v>
      </c>
      <c r="G432">
        <v>72.760000000000005</v>
      </c>
      <c r="H432">
        <v>24</v>
      </c>
      <c r="I432">
        <v>3</v>
      </c>
      <c r="J432">
        <v>0.42</v>
      </c>
      <c r="K432" t="s">
        <v>1238</v>
      </c>
      <c r="L432">
        <v>0</v>
      </c>
      <c r="N432" t="s">
        <v>1239</v>
      </c>
      <c r="O432" t="s">
        <v>1240</v>
      </c>
      <c r="P432" t="s">
        <v>20</v>
      </c>
      <c r="Q432">
        <f t="shared" si="18"/>
        <v>283.74600042589009</v>
      </c>
      <c r="R432">
        <f t="shared" si="19"/>
        <v>4.1231445849367783E-2</v>
      </c>
      <c r="S432">
        <f t="shared" si="20"/>
        <v>0.32985156679494226</v>
      </c>
    </row>
    <row r="433" spans="1:19" x14ac:dyDescent="0.2">
      <c r="A433">
        <v>91</v>
      </c>
      <c r="B433" t="s">
        <v>16</v>
      </c>
      <c r="C433">
        <v>5</v>
      </c>
      <c r="D433">
        <v>4</v>
      </c>
      <c r="E433">
        <v>1015</v>
      </c>
      <c r="F433" t="b">
        <v>1</v>
      </c>
      <c r="G433">
        <v>94.671999999999997</v>
      </c>
      <c r="H433">
        <v>23</v>
      </c>
      <c r="I433">
        <v>7</v>
      </c>
      <c r="J433">
        <v>1.56</v>
      </c>
      <c r="K433" t="s">
        <v>1247</v>
      </c>
      <c r="L433">
        <v>0</v>
      </c>
      <c r="N433" t="s">
        <v>1248</v>
      </c>
      <c r="O433" t="s">
        <v>1249</v>
      </c>
      <c r="P433" t="s">
        <v>20</v>
      </c>
      <c r="Q433">
        <f t="shared" si="18"/>
        <v>364.34100056067109</v>
      </c>
      <c r="R433">
        <f t="shared" si="19"/>
        <v>7.3939496366401888E-2</v>
      </c>
      <c r="S433">
        <f t="shared" si="20"/>
        <v>0.24294405948960623</v>
      </c>
    </row>
    <row r="434" spans="1:19" hidden="1" x14ac:dyDescent="0.2">
      <c r="A434">
        <v>94</v>
      </c>
      <c r="B434" t="s">
        <v>16</v>
      </c>
      <c r="C434">
        <v>10</v>
      </c>
      <c r="D434">
        <v>4</v>
      </c>
      <c r="E434">
        <v>1015</v>
      </c>
      <c r="F434" t="b">
        <v>1</v>
      </c>
      <c r="G434">
        <v>66.975999999999999</v>
      </c>
      <c r="H434">
        <v>20</v>
      </c>
      <c r="I434">
        <v>0</v>
      </c>
      <c r="J434">
        <v>0</v>
      </c>
      <c r="K434" t="s">
        <v>1256</v>
      </c>
      <c r="L434">
        <v>0</v>
      </c>
      <c r="N434" t="s">
        <v>1257</v>
      </c>
      <c r="O434" t="s">
        <v>1258</v>
      </c>
      <c r="P434" t="s">
        <v>20</v>
      </c>
      <c r="Q434">
        <f t="shared" si="18"/>
        <v>238.88000019360334</v>
      </c>
      <c r="R434">
        <f t="shared" si="19"/>
        <v>0</v>
      </c>
      <c r="S434">
        <f t="shared" si="20"/>
        <v>0.29861442904921165</v>
      </c>
    </row>
    <row r="435" spans="1:19" hidden="1" x14ac:dyDescent="0.2">
      <c r="A435">
        <v>97</v>
      </c>
      <c r="B435" t="s">
        <v>16</v>
      </c>
      <c r="C435">
        <v>15</v>
      </c>
      <c r="D435">
        <v>4</v>
      </c>
      <c r="E435">
        <v>1015</v>
      </c>
      <c r="F435" t="b">
        <v>1</v>
      </c>
      <c r="G435">
        <v>94.683999999999997</v>
      </c>
      <c r="H435">
        <v>22</v>
      </c>
      <c r="I435">
        <v>9</v>
      </c>
      <c r="J435">
        <v>2.58</v>
      </c>
      <c r="K435" t="s">
        <v>1265</v>
      </c>
      <c r="L435">
        <v>0</v>
      </c>
      <c r="N435" t="s">
        <v>1266</v>
      </c>
      <c r="O435" t="s">
        <v>1267</v>
      </c>
      <c r="P435" t="s">
        <v>20</v>
      </c>
      <c r="Q435">
        <f t="shared" si="18"/>
        <v>324.59799984935671</v>
      </c>
      <c r="R435">
        <f t="shared" si="19"/>
        <v>9.5053018461408484E-2</v>
      </c>
      <c r="S435">
        <f t="shared" si="20"/>
        <v>0.23235182290566517</v>
      </c>
    </row>
    <row r="436" spans="1:19" hidden="1" x14ac:dyDescent="0.2">
      <c r="A436">
        <v>100</v>
      </c>
      <c r="B436" t="s">
        <v>16</v>
      </c>
      <c r="C436">
        <v>20</v>
      </c>
      <c r="D436">
        <v>4</v>
      </c>
      <c r="E436">
        <v>1015</v>
      </c>
      <c r="F436" t="b">
        <v>1</v>
      </c>
      <c r="G436">
        <v>63.616</v>
      </c>
      <c r="H436">
        <v>22</v>
      </c>
      <c r="I436">
        <v>13</v>
      </c>
      <c r="J436">
        <v>1.98</v>
      </c>
      <c r="K436" t="s">
        <v>1274</v>
      </c>
      <c r="L436">
        <v>0</v>
      </c>
      <c r="N436" t="s">
        <v>1275</v>
      </c>
      <c r="O436" t="s">
        <v>1276</v>
      </c>
      <c r="P436" t="s">
        <v>20</v>
      </c>
      <c r="Q436">
        <f t="shared" si="18"/>
        <v>293.32600026391447</v>
      </c>
      <c r="R436">
        <f t="shared" si="19"/>
        <v>0.20435110663983905</v>
      </c>
      <c r="S436">
        <f t="shared" si="20"/>
        <v>0.34582494969818911</v>
      </c>
    </row>
    <row r="437" spans="1:19" hidden="1" x14ac:dyDescent="0.2">
      <c r="A437">
        <v>103</v>
      </c>
      <c r="B437" t="s">
        <v>16</v>
      </c>
      <c r="C437">
        <v>50</v>
      </c>
      <c r="D437">
        <v>4</v>
      </c>
      <c r="E437">
        <v>1015</v>
      </c>
      <c r="F437" t="b">
        <v>1</v>
      </c>
      <c r="G437">
        <v>70.703999999999994</v>
      </c>
      <c r="H437">
        <v>21</v>
      </c>
      <c r="I437">
        <v>8</v>
      </c>
      <c r="J437">
        <v>1.68</v>
      </c>
      <c r="K437" t="s">
        <v>1283</v>
      </c>
      <c r="L437">
        <v>0</v>
      </c>
      <c r="N437" t="s">
        <v>1284</v>
      </c>
      <c r="O437" t="s">
        <v>1285</v>
      </c>
      <c r="P437" t="s">
        <v>20</v>
      </c>
      <c r="Q437">
        <f t="shared" si="18"/>
        <v>305.42400029953569</v>
      </c>
      <c r="R437">
        <f t="shared" si="19"/>
        <v>0.11314777098891153</v>
      </c>
      <c r="S437">
        <f t="shared" si="20"/>
        <v>0.29701289884589277</v>
      </c>
    </row>
    <row r="438" spans="1:19" hidden="1" x14ac:dyDescent="0.2">
      <c r="A438">
        <v>106</v>
      </c>
      <c r="B438" t="s">
        <v>16</v>
      </c>
      <c r="C438">
        <v>70</v>
      </c>
      <c r="D438">
        <v>4</v>
      </c>
      <c r="E438">
        <v>1015</v>
      </c>
      <c r="F438" t="b">
        <v>1</v>
      </c>
      <c r="G438">
        <v>76.924000000000007</v>
      </c>
      <c r="H438">
        <v>23</v>
      </c>
      <c r="I438">
        <v>8</v>
      </c>
      <c r="J438">
        <v>1.86</v>
      </c>
      <c r="K438" t="s">
        <v>1292</v>
      </c>
      <c r="L438">
        <v>0</v>
      </c>
      <c r="N438" t="s">
        <v>1293</v>
      </c>
      <c r="O438" t="s">
        <v>1294</v>
      </c>
      <c r="P438" t="s">
        <v>20</v>
      </c>
      <c r="Q438">
        <f t="shared" si="18"/>
        <v>294.87899991218001</v>
      </c>
      <c r="R438">
        <f t="shared" si="19"/>
        <v>0.10399875201497581</v>
      </c>
      <c r="S438">
        <f t="shared" si="20"/>
        <v>0.29899641204305544</v>
      </c>
    </row>
    <row r="439" spans="1:19" x14ac:dyDescent="0.2">
      <c r="A439">
        <v>110</v>
      </c>
      <c r="B439" t="s">
        <v>21</v>
      </c>
      <c r="C439">
        <v>-1</v>
      </c>
      <c r="D439">
        <v>5</v>
      </c>
      <c r="E439">
        <v>1016</v>
      </c>
      <c r="F439" t="b">
        <v>1</v>
      </c>
      <c r="G439">
        <v>79.256</v>
      </c>
      <c r="H439">
        <v>28</v>
      </c>
      <c r="I439">
        <v>5</v>
      </c>
      <c r="J439">
        <v>3.12</v>
      </c>
      <c r="K439" t="s">
        <v>1304</v>
      </c>
      <c r="L439">
        <v>0</v>
      </c>
      <c r="N439" t="s">
        <v>1305</v>
      </c>
      <c r="O439" t="s">
        <v>1306</v>
      </c>
      <c r="P439" t="s">
        <v>20</v>
      </c>
      <c r="Q439">
        <f t="shared" si="18"/>
        <v>365.30500031076372</v>
      </c>
      <c r="R439">
        <f t="shared" si="19"/>
        <v>6.3086706369233872E-2</v>
      </c>
      <c r="S439">
        <f t="shared" si="20"/>
        <v>0.35328555566770969</v>
      </c>
    </row>
    <row r="440" spans="1:19" x14ac:dyDescent="0.2">
      <c r="A440">
        <v>113</v>
      </c>
      <c r="B440" t="s">
        <v>21</v>
      </c>
      <c r="C440">
        <v>0</v>
      </c>
      <c r="D440">
        <v>5</v>
      </c>
      <c r="E440">
        <v>1016</v>
      </c>
      <c r="F440" t="b">
        <v>1</v>
      </c>
      <c r="G440">
        <v>78.284000000000006</v>
      </c>
      <c r="H440">
        <v>27</v>
      </c>
      <c r="I440">
        <v>4</v>
      </c>
      <c r="J440">
        <v>3.3</v>
      </c>
      <c r="K440" t="s">
        <v>1313</v>
      </c>
      <c r="L440">
        <v>0</v>
      </c>
      <c r="N440" t="s">
        <v>1314</v>
      </c>
      <c r="O440" t="s">
        <v>1315</v>
      </c>
      <c r="P440" t="s">
        <v>20</v>
      </c>
      <c r="Q440">
        <f t="shared" si="18"/>
        <v>328.27999996952713</v>
      </c>
      <c r="R440">
        <f t="shared" si="19"/>
        <v>5.1096009401665726E-2</v>
      </c>
      <c r="S440">
        <f t="shared" si="20"/>
        <v>0.34489806346124363</v>
      </c>
    </row>
    <row r="441" spans="1:19" x14ac:dyDescent="0.2">
      <c r="A441">
        <v>116</v>
      </c>
      <c r="B441" t="s">
        <v>21</v>
      </c>
      <c r="C441">
        <v>2</v>
      </c>
      <c r="D441">
        <v>5</v>
      </c>
      <c r="E441">
        <v>1016</v>
      </c>
      <c r="F441" t="b">
        <v>1</v>
      </c>
      <c r="G441">
        <v>64.447999999999993</v>
      </c>
      <c r="H441">
        <v>28</v>
      </c>
      <c r="I441">
        <v>3</v>
      </c>
      <c r="J441">
        <v>0.66</v>
      </c>
      <c r="K441" t="s">
        <v>1322</v>
      </c>
      <c r="L441">
        <v>0</v>
      </c>
      <c r="N441" t="s">
        <v>1323</v>
      </c>
      <c r="O441" t="s">
        <v>1324</v>
      </c>
      <c r="P441" t="s">
        <v>20</v>
      </c>
      <c r="Q441">
        <f t="shared" si="18"/>
        <v>311.2699999473989</v>
      </c>
      <c r="R441">
        <f t="shared" si="19"/>
        <v>4.6549155908639527E-2</v>
      </c>
      <c r="S441">
        <f t="shared" si="20"/>
        <v>0.43445878848063557</v>
      </c>
    </row>
    <row r="442" spans="1:19" x14ac:dyDescent="0.2">
      <c r="A442">
        <v>119</v>
      </c>
      <c r="B442" t="s">
        <v>21</v>
      </c>
      <c r="C442">
        <v>5</v>
      </c>
      <c r="D442">
        <v>5</v>
      </c>
      <c r="E442">
        <v>1016</v>
      </c>
      <c r="F442" t="b">
        <v>1</v>
      </c>
      <c r="G442">
        <v>88.751999999999995</v>
      </c>
      <c r="H442">
        <v>29</v>
      </c>
      <c r="I442">
        <v>3</v>
      </c>
      <c r="J442">
        <v>1.26</v>
      </c>
      <c r="K442" t="s">
        <v>1331</v>
      </c>
      <c r="L442">
        <v>0</v>
      </c>
      <c r="N442" t="s">
        <v>1332</v>
      </c>
      <c r="O442" t="s">
        <v>1333</v>
      </c>
      <c r="P442" t="s">
        <v>20</v>
      </c>
      <c r="Q442">
        <f t="shared" si="18"/>
        <v>424.47599989827722</v>
      </c>
      <c r="R442">
        <f t="shared" si="19"/>
        <v>3.3802055164954034E-2</v>
      </c>
      <c r="S442">
        <f t="shared" si="20"/>
        <v>0.32675319992788898</v>
      </c>
    </row>
    <row r="443" spans="1:19" hidden="1" x14ac:dyDescent="0.2">
      <c r="A443">
        <v>122</v>
      </c>
      <c r="B443" t="s">
        <v>21</v>
      </c>
      <c r="C443">
        <v>10</v>
      </c>
      <c r="D443">
        <v>5</v>
      </c>
      <c r="E443">
        <v>1016</v>
      </c>
      <c r="F443" t="b">
        <v>1</v>
      </c>
      <c r="G443">
        <v>92.736000000000004</v>
      </c>
      <c r="H443">
        <v>28</v>
      </c>
      <c r="I443">
        <v>3</v>
      </c>
      <c r="J443">
        <v>0.54</v>
      </c>
      <c r="K443" t="s">
        <v>1340</v>
      </c>
      <c r="L443">
        <v>0</v>
      </c>
      <c r="N443" t="s">
        <v>1341</v>
      </c>
      <c r="O443" t="s">
        <v>1342</v>
      </c>
      <c r="P443" t="s">
        <v>20</v>
      </c>
      <c r="Q443">
        <f t="shared" si="18"/>
        <v>388.84100031573325</v>
      </c>
      <c r="R443">
        <f t="shared" si="19"/>
        <v>3.2349896480331264E-2</v>
      </c>
      <c r="S443">
        <f t="shared" si="20"/>
        <v>0.30193236714975846</v>
      </c>
    </row>
    <row r="444" spans="1:19" hidden="1" x14ac:dyDescent="0.2">
      <c r="A444">
        <v>125</v>
      </c>
      <c r="B444" t="s">
        <v>21</v>
      </c>
      <c r="C444">
        <v>15</v>
      </c>
      <c r="D444">
        <v>5</v>
      </c>
      <c r="E444">
        <v>1016</v>
      </c>
      <c r="F444" t="b">
        <v>1</v>
      </c>
      <c r="G444">
        <v>114.536</v>
      </c>
      <c r="H444">
        <v>27</v>
      </c>
      <c r="I444">
        <v>21</v>
      </c>
      <c r="J444">
        <v>3.12</v>
      </c>
      <c r="K444" t="s">
        <v>1349</v>
      </c>
      <c r="L444">
        <v>0</v>
      </c>
      <c r="N444" t="s">
        <v>1350</v>
      </c>
      <c r="O444" t="s">
        <v>1351</v>
      </c>
      <c r="P444" t="s">
        <v>20</v>
      </c>
      <c r="Q444">
        <f t="shared" si="18"/>
        <v>480.40900030173361</v>
      </c>
      <c r="R444">
        <f t="shared" si="19"/>
        <v>0.18334846685758188</v>
      </c>
      <c r="S444">
        <f t="shared" si="20"/>
        <v>0.23573374310260528</v>
      </c>
    </row>
    <row r="445" spans="1:19" hidden="1" x14ac:dyDescent="0.2">
      <c r="A445">
        <v>128</v>
      </c>
      <c r="B445" t="s">
        <v>21</v>
      </c>
      <c r="C445">
        <v>20</v>
      </c>
      <c r="D445">
        <v>5</v>
      </c>
      <c r="E445">
        <v>1016</v>
      </c>
      <c r="F445" t="b">
        <v>1</v>
      </c>
      <c r="G445">
        <v>78.703999999999994</v>
      </c>
      <c r="H445">
        <v>28</v>
      </c>
      <c r="I445">
        <v>7</v>
      </c>
      <c r="J445">
        <v>1.86</v>
      </c>
      <c r="K445" t="s">
        <v>1358</v>
      </c>
      <c r="L445">
        <v>0</v>
      </c>
      <c r="N445" t="s">
        <v>1359</v>
      </c>
      <c r="O445" t="s">
        <v>1360</v>
      </c>
      <c r="P445" t="s">
        <v>20</v>
      </c>
      <c r="Q445">
        <f t="shared" si="18"/>
        <v>377.84200042951852</v>
      </c>
      <c r="R445">
        <f t="shared" si="19"/>
        <v>8.894084163447856E-2</v>
      </c>
      <c r="S445">
        <f t="shared" si="20"/>
        <v>0.35576336653791424</v>
      </c>
    </row>
    <row r="446" spans="1:19" hidden="1" x14ac:dyDescent="0.2">
      <c r="A446">
        <v>131</v>
      </c>
      <c r="B446" t="s">
        <v>21</v>
      </c>
      <c r="C446">
        <v>50</v>
      </c>
      <c r="D446">
        <v>5</v>
      </c>
      <c r="E446">
        <v>1016</v>
      </c>
      <c r="F446" t="b">
        <v>1</v>
      </c>
      <c r="G446">
        <v>65.835999999999999</v>
      </c>
      <c r="H446">
        <v>30</v>
      </c>
      <c r="I446">
        <v>10</v>
      </c>
      <c r="J446">
        <v>3</v>
      </c>
      <c r="K446" t="s">
        <v>1367</v>
      </c>
      <c r="L446">
        <v>0</v>
      </c>
      <c r="N446" t="s">
        <v>1368</v>
      </c>
      <c r="O446" t="s">
        <v>1369</v>
      </c>
      <c r="P446" t="s">
        <v>20</v>
      </c>
      <c r="Q446">
        <f t="shared" si="18"/>
        <v>279.80900018010288</v>
      </c>
      <c r="R446">
        <f t="shared" si="19"/>
        <v>0.1518925815663163</v>
      </c>
      <c r="S446">
        <f t="shared" si="20"/>
        <v>0.45567774469894889</v>
      </c>
    </row>
    <row r="447" spans="1:19" hidden="1" x14ac:dyDescent="0.2">
      <c r="A447">
        <v>134</v>
      </c>
      <c r="B447" t="s">
        <v>21</v>
      </c>
      <c r="C447">
        <v>70</v>
      </c>
      <c r="D447">
        <v>5</v>
      </c>
      <c r="E447">
        <v>1016</v>
      </c>
      <c r="F447" t="b">
        <v>1</v>
      </c>
      <c r="G447">
        <v>55.88</v>
      </c>
      <c r="H447">
        <v>28</v>
      </c>
      <c r="I447">
        <v>5</v>
      </c>
      <c r="J447">
        <v>0.84</v>
      </c>
      <c r="K447" t="s">
        <v>1376</v>
      </c>
      <c r="L447">
        <v>0</v>
      </c>
      <c r="N447" t="s">
        <v>1377</v>
      </c>
      <c r="O447" t="s">
        <v>1378</v>
      </c>
      <c r="P447" t="s">
        <v>20</v>
      </c>
      <c r="Q447">
        <f t="shared" si="18"/>
        <v>307.25200034212321</v>
      </c>
      <c r="R447">
        <f t="shared" si="19"/>
        <v>8.9477451682176093E-2</v>
      </c>
      <c r="S447">
        <f t="shared" si="20"/>
        <v>0.50107372942018613</v>
      </c>
    </row>
    <row r="448" spans="1:19" x14ac:dyDescent="0.2">
      <c r="A448">
        <v>111</v>
      </c>
      <c r="B448" t="s">
        <v>25</v>
      </c>
      <c r="C448">
        <v>-1</v>
      </c>
      <c r="D448">
        <v>5</v>
      </c>
      <c r="E448">
        <v>1016</v>
      </c>
      <c r="F448" t="b">
        <v>1</v>
      </c>
      <c r="G448">
        <v>38.091999999999999</v>
      </c>
      <c r="H448">
        <v>29</v>
      </c>
      <c r="I448">
        <v>6</v>
      </c>
      <c r="J448">
        <v>7.56</v>
      </c>
      <c r="K448" t="s">
        <v>1307</v>
      </c>
      <c r="L448">
        <v>0</v>
      </c>
      <c r="N448" t="s">
        <v>1308</v>
      </c>
      <c r="O448" t="s">
        <v>1309</v>
      </c>
      <c r="P448" t="s">
        <v>20</v>
      </c>
      <c r="Q448">
        <f t="shared" si="18"/>
        <v>219.31200006511062</v>
      </c>
      <c r="R448">
        <f t="shared" si="19"/>
        <v>0.15751338863803424</v>
      </c>
      <c r="S448">
        <f t="shared" si="20"/>
        <v>0.76131471175049881</v>
      </c>
    </row>
    <row r="449" spans="1:19" x14ac:dyDescent="0.2">
      <c r="A449">
        <v>114</v>
      </c>
      <c r="B449" t="s">
        <v>25</v>
      </c>
      <c r="C449">
        <v>0</v>
      </c>
      <c r="D449">
        <v>5</v>
      </c>
      <c r="E449">
        <v>1016</v>
      </c>
      <c r="F449" t="b">
        <v>1</v>
      </c>
      <c r="G449">
        <v>43.116</v>
      </c>
      <c r="H449">
        <v>29</v>
      </c>
      <c r="I449">
        <v>1</v>
      </c>
      <c r="J449">
        <v>0.12</v>
      </c>
      <c r="K449" t="s">
        <v>1316</v>
      </c>
      <c r="L449">
        <v>0</v>
      </c>
      <c r="N449" t="s">
        <v>1317</v>
      </c>
      <c r="O449" t="s">
        <v>1318</v>
      </c>
      <c r="P449" t="s">
        <v>20</v>
      </c>
      <c r="Q449">
        <f t="shared" si="18"/>
        <v>199.41700010094792</v>
      </c>
      <c r="R449">
        <f t="shared" si="19"/>
        <v>2.3193246126727896E-2</v>
      </c>
      <c r="S449">
        <f t="shared" si="20"/>
        <v>0.67260413767510896</v>
      </c>
    </row>
    <row r="450" spans="1:19" x14ac:dyDescent="0.2">
      <c r="A450">
        <v>117</v>
      </c>
      <c r="B450" t="s">
        <v>25</v>
      </c>
      <c r="C450">
        <v>2</v>
      </c>
      <c r="D450">
        <v>5</v>
      </c>
      <c r="E450">
        <v>1016</v>
      </c>
      <c r="F450" t="b">
        <v>1</v>
      </c>
      <c r="G450">
        <v>40.667999999999999</v>
      </c>
      <c r="H450">
        <v>28</v>
      </c>
      <c r="I450">
        <v>2</v>
      </c>
      <c r="J450">
        <v>0.24</v>
      </c>
      <c r="K450" t="s">
        <v>1325</v>
      </c>
      <c r="L450">
        <v>0</v>
      </c>
      <c r="N450" t="s">
        <v>1326</v>
      </c>
      <c r="O450" t="s">
        <v>1327</v>
      </c>
      <c r="P450" t="s">
        <v>20</v>
      </c>
      <c r="Q450">
        <f t="shared" ref="Q450:Q513" si="21">(VALUE(LEFT(SUBSTITUTE(O450,"T"," "),23)) - VALUE(LEFT(SUBSTITUTE(N450,"T"," "),23))) * 86400</f>
        <v>238.84499988052994</v>
      </c>
      <c r="R450">
        <f t="shared" ref="R450:R513" si="22">I450/G450</f>
        <v>4.9178715451952397E-2</v>
      </c>
      <c r="S450">
        <f t="shared" ref="S450:S513" si="23">H450/G450</f>
        <v>0.68850201632733354</v>
      </c>
    </row>
    <row r="451" spans="1:19" x14ac:dyDescent="0.2">
      <c r="A451">
        <v>120</v>
      </c>
      <c r="B451" t="s">
        <v>25</v>
      </c>
      <c r="C451">
        <v>5</v>
      </c>
      <c r="D451">
        <v>5</v>
      </c>
      <c r="E451">
        <v>1016</v>
      </c>
      <c r="F451" t="b">
        <v>1</v>
      </c>
      <c r="G451">
        <v>38.991999999999997</v>
      </c>
      <c r="H451">
        <v>29</v>
      </c>
      <c r="I451">
        <v>2</v>
      </c>
      <c r="J451">
        <v>0.42</v>
      </c>
      <c r="K451" t="s">
        <v>1334</v>
      </c>
      <c r="L451">
        <v>0</v>
      </c>
      <c r="N451" t="s">
        <v>1335</v>
      </c>
      <c r="O451" t="s">
        <v>1336</v>
      </c>
      <c r="P451" t="s">
        <v>20</v>
      </c>
      <c r="Q451">
        <f t="shared" si="21"/>
        <v>171.84999953024089</v>
      </c>
      <c r="R451">
        <f t="shared" si="22"/>
        <v>5.129257283545343E-2</v>
      </c>
      <c r="S451">
        <f t="shared" si="23"/>
        <v>0.74374230611407477</v>
      </c>
    </row>
    <row r="452" spans="1:19" hidden="1" x14ac:dyDescent="0.2">
      <c r="A452">
        <v>123</v>
      </c>
      <c r="B452" t="s">
        <v>25</v>
      </c>
      <c r="C452">
        <v>10</v>
      </c>
      <c r="D452">
        <v>5</v>
      </c>
      <c r="E452">
        <v>1016</v>
      </c>
      <c r="F452" t="b">
        <v>1</v>
      </c>
      <c r="G452">
        <v>50.915999999999997</v>
      </c>
      <c r="H452">
        <v>31</v>
      </c>
      <c r="I452">
        <v>5</v>
      </c>
      <c r="J452">
        <v>0.84</v>
      </c>
      <c r="K452" t="s">
        <v>1343</v>
      </c>
      <c r="L452">
        <v>0</v>
      </c>
      <c r="N452" t="s">
        <v>1344</v>
      </c>
      <c r="O452" t="s">
        <v>1345</v>
      </c>
      <c r="P452" t="s">
        <v>20</v>
      </c>
      <c r="Q452">
        <f t="shared" si="21"/>
        <v>202.31899979989976</v>
      </c>
      <c r="R452">
        <f t="shared" si="22"/>
        <v>9.8200958441354388E-2</v>
      </c>
      <c r="S452">
        <f t="shared" si="23"/>
        <v>0.60884594233639722</v>
      </c>
    </row>
    <row r="453" spans="1:19" hidden="1" x14ac:dyDescent="0.2">
      <c r="A453">
        <v>126</v>
      </c>
      <c r="B453" t="s">
        <v>25</v>
      </c>
      <c r="C453">
        <v>15</v>
      </c>
      <c r="D453">
        <v>5</v>
      </c>
      <c r="E453">
        <v>1016</v>
      </c>
      <c r="F453" t="b">
        <v>1</v>
      </c>
      <c r="G453">
        <v>42.363999999999997</v>
      </c>
      <c r="H453">
        <v>31</v>
      </c>
      <c r="I453">
        <v>4</v>
      </c>
      <c r="J453">
        <v>1.02</v>
      </c>
      <c r="K453" t="s">
        <v>1352</v>
      </c>
      <c r="L453">
        <v>0</v>
      </c>
      <c r="N453" t="s">
        <v>1353</v>
      </c>
      <c r="O453" t="s">
        <v>1354</v>
      </c>
      <c r="P453" t="s">
        <v>20</v>
      </c>
      <c r="Q453">
        <f t="shared" si="21"/>
        <v>186.54700038023293</v>
      </c>
      <c r="R453">
        <f t="shared" si="22"/>
        <v>9.4419790388065347E-2</v>
      </c>
      <c r="S453">
        <f t="shared" si="23"/>
        <v>0.73175337550750641</v>
      </c>
    </row>
    <row r="454" spans="1:19" hidden="1" x14ac:dyDescent="0.2">
      <c r="A454">
        <v>129</v>
      </c>
      <c r="B454" t="s">
        <v>25</v>
      </c>
      <c r="C454">
        <v>20</v>
      </c>
      <c r="D454">
        <v>5</v>
      </c>
      <c r="E454">
        <v>1016</v>
      </c>
      <c r="F454" t="b">
        <v>1</v>
      </c>
      <c r="G454">
        <v>53.448</v>
      </c>
      <c r="H454">
        <v>33</v>
      </c>
      <c r="I454">
        <v>7</v>
      </c>
      <c r="J454">
        <v>0.6</v>
      </c>
      <c r="K454" t="s">
        <v>1361</v>
      </c>
      <c r="L454">
        <v>0</v>
      </c>
      <c r="N454" t="s">
        <v>1362</v>
      </c>
      <c r="O454" t="s">
        <v>1363</v>
      </c>
      <c r="P454" t="s">
        <v>20</v>
      </c>
      <c r="Q454">
        <f t="shared" si="21"/>
        <v>255.38100013509393</v>
      </c>
      <c r="R454">
        <f t="shared" si="22"/>
        <v>0.13096841790151176</v>
      </c>
      <c r="S454">
        <f t="shared" si="23"/>
        <v>0.6174225415356982</v>
      </c>
    </row>
    <row r="455" spans="1:19" hidden="1" x14ac:dyDescent="0.2">
      <c r="A455">
        <v>132</v>
      </c>
      <c r="B455" t="s">
        <v>25</v>
      </c>
      <c r="C455">
        <v>50</v>
      </c>
      <c r="D455">
        <v>5</v>
      </c>
      <c r="E455">
        <v>1016</v>
      </c>
      <c r="F455" t="b">
        <v>1</v>
      </c>
      <c r="G455">
        <v>33.375999999999998</v>
      </c>
      <c r="H455">
        <v>32</v>
      </c>
      <c r="I455">
        <v>6</v>
      </c>
      <c r="J455">
        <v>0.48</v>
      </c>
      <c r="K455" t="s">
        <v>1370</v>
      </c>
      <c r="L455">
        <v>0</v>
      </c>
      <c r="N455" t="s">
        <v>1371</v>
      </c>
      <c r="O455" t="s">
        <v>1372</v>
      </c>
      <c r="P455" t="s">
        <v>20</v>
      </c>
      <c r="Q455">
        <f t="shared" si="21"/>
        <v>193.65299998316914</v>
      </c>
      <c r="R455">
        <f t="shared" si="22"/>
        <v>0.17976989453499523</v>
      </c>
      <c r="S455">
        <f t="shared" si="23"/>
        <v>0.95877277085330781</v>
      </c>
    </row>
    <row r="456" spans="1:19" hidden="1" x14ac:dyDescent="0.2">
      <c r="A456">
        <v>135</v>
      </c>
      <c r="B456" t="s">
        <v>25</v>
      </c>
      <c r="C456">
        <v>70</v>
      </c>
      <c r="D456">
        <v>5</v>
      </c>
      <c r="E456">
        <v>1016</v>
      </c>
      <c r="F456" t="b">
        <v>1</v>
      </c>
      <c r="G456">
        <v>33.42</v>
      </c>
      <c r="H456">
        <v>32</v>
      </c>
      <c r="I456">
        <v>6</v>
      </c>
      <c r="J456">
        <v>0.48</v>
      </c>
      <c r="K456" t="s">
        <v>1379</v>
      </c>
      <c r="L456">
        <v>0</v>
      </c>
      <c r="N456" t="s">
        <v>1380</v>
      </c>
      <c r="O456" t="s">
        <v>1381</v>
      </c>
      <c r="P456" t="s">
        <v>20</v>
      </c>
      <c r="Q456">
        <f t="shared" si="21"/>
        <v>146.95800016634166</v>
      </c>
      <c r="R456">
        <f t="shared" si="22"/>
        <v>0.17953321364452424</v>
      </c>
      <c r="S456">
        <f t="shared" si="23"/>
        <v>0.95751047277079593</v>
      </c>
    </row>
    <row r="457" spans="1:19" x14ac:dyDescent="0.2">
      <c r="A457">
        <v>109</v>
      </c>
      <c r="B457" t="s">
        <v>16</v>
      </c>
      <c r="C457">
        <v>-1</v>
      </c>
      <c r="D457">
        <v>5</v>
      </c>
      <c r="E457">
        <v>1016</v>
      </c>
      <c r="F457" t="b">
        <v>1</v>
      </c>
      <c r="G457">
        <v>84.691999999999993</v>
      </c>
      <c r="H457">
        <v>25</v>
      </c>
      <c r="I457">
        <v>12</v>
      </c>
      <c r="J457">
        <v>9.7799999999999994</v>
      </c>
      <c r="K457" t="s">
        <v>1301</v>
      </c>
      <c r="L457">
        <v>0</v>
      </c>
      <c r="N457" t="s">
        <v>1302</v>
      </c>
      <c r="O457" t="s">
        <v>1303</v>
      </c>
      <c r="P457" t="s">
        <v>20</v>
      </c>
      <c r="Q457">
        <f t="shared" si="21"/>
        <v>355.97800025716424</v>
      </c>
      <c r="R457">
        <f t="shared" si="22"/>
        <v>0.14168988806498845</v>
      </c>
      <c r="S457">
        <f t="shared" si="23"/>
        <v>0.29518726680205926</v>
      </c>
    </row>
    <row r="458" spans="1:19" x14ac:dyDescent="0.2">
      <c r="A458">
        <v>112</v>
      </c>
      <c r="B458" t="s">
        <v>16</v>
      </c>
      <c r="C458">
        <v>0</v>
      </c>
      <c r="D458">
        <v>5</v>
      </c>
      <c r="E458">
        <v>1016</v>
      </c>
      <c r="F458" t="b">
        <v>1</v>
      </c>
      <c r="G458">
        <v>129.84</v>
      </c>
      <c r="H458">
        <v>25</v>
      </c>
      <c r="I458">
        <v>0</v>
      </c>
      <c r="J458">
        <v>0</v>
      </c>
      <c r="K458" t="s">
        <v>1310</v>
      </c>
      <c r="L458">
        <v>0</v>
      </c>
      <c r="N458" t="s">
        <v>1311</v>
      </c>
      <c r="O458" t="s">
        <v>1312</v>
      </c>
      <c r="P458" t="s">
        <v>20</v>
      </c>
      <c r="Q458">
        <f t="shared" si="21"/>
        <v>593.74800031073391</v>
      </c>
      <c r="R458">
        <f t="shared" si="22"/>
        <v>0</v>
      </c>
      <c r="S458">
        <f t="shared" si="23"/>
        <v>0.19254467036352432</v>
      </c>
    </row>
    <row r="459" spans="1:19" x14ac:dyDescent="0.2">
      <c r="A459">
        <v>115</v>
      </c>
      <c r="B459" t="s">
        <v>16</v>
      </c>
      <c r="C459">
        <v>2</v>
      </c>
      <c r="D459">
        <v>5</v>
      </c>
      <c r="E459">
        <v>1016</v>
      </c>
      <c r="F459" t="b">
        <v>1</v>
      </c>
      <c r="G459">
        <v>73.391999999999996</v>
      </c>
      <c r="H459">
        <v>23</v>
      </c>
      <c r="I459">
        <v>1</v>
      </c>
      <c r="J459">
        <v>0.06</v>
      </c>
      <c r="K459" t="s">
        <v>1319</v>
      </c>
      <c r="L459">
        <v>0</v>
      </c>
      <c r="N459" t="s">
        <v>1320</v>
      </c>
      <c r="O459" t="s">
        <v>1321</v>
      </c>
      <c r="P459" t="s">
        <v>20</v>
      </c>
      <c r="Q459">
        <f t="shared" si="21"/>
        <v>283.59199992846698</v>
      </c>
      <c r="R459">
        <f t="shared" si="22"/>
        <v>1.3625463265751037E-2</v>
      </c>
      <c r="S459">
        <f t="shared" si="23"/>
        <v>0.31338565511227384</v>
      </c>
    </row>
    <row r="460" spans="1:19" x14ac:dyDescent="0.2">
      <c r="A460">
        <v>118</v>
      </c>
      <c r="B460" t="s">
        <v>16</v>
      </c>
      <c r="C460">
        <v>5</v>
      </c>
      <c r="D460">
        <v>5</v>
      </c>
      <c r="E460">
        <v>1016</v>
      </c>
      <c r="F460" t="b">
        <v>1</v>
      </c>
      <c r="G460">
        <v>112.13200000000001</v>
      </c>
      <c r="H460">
        <v>25</v>
      </c>
      <c r="I460">
        <v>3</v>
      </c>
      <c r="J460">
        <v>1.08</v>
      </c>
      <c r="K460" t="s">
        <v>1328</v>
      </c>
      <c r="L460">
        <v>0</v>
      </c>
      <c r="N460" t="s">
        <v>1329</v>
      </c>
      <c r="O460" t="s">
        <v>1330</v>
      </c>
      <c r="P460" t="s">
        <v>20</v>
      </c>
      <c r="Q460">
        <f t="shared" si="21"/>
        <v>435.42799993883818</v>
      </c>
      <c r="R460">
        <f t="shared" si="22"/>
        <v>2.6754182570541862E-2</v>
      </c>
      <c r="S460">
        <f t="shared" si="23"/>
        <v>0.22295152142118216</v>
      </c>
    </row>
    <row r="461" spans="1:19" hidden="1" x14ac:dyDescent="0.2">
      <c r="A461">
        <v>121</v>
      </c>
      <c r="B461" t="s">
        <v>16</v>
      </c>
      <c r="C461">
        <v>10</v>
      </c>
      <c r="D461">
        <v>5</v>
      </c>
      <c r="E461">
        <v>1016</v>
      </c>
      <c r="F461" t="b">
        <v>1</v>
      </c>
      <c r="G461">
        <v>84.828000000000003</v>
      </c>
      <c r="H461">
        <v>28</v>
      </c>
      <c r="I461">
        <v>8</v>
      </c>
      <c r="J461">
        <v>3.06</v>
      </c>
      <c r="K461" t="s">
        <v>1337</v>
      </c>
      <c r="L461">
        <v>0</v>
      </c>
      <c r="N461" t="s">
        <v>1338</v>
      </c>
      <c r="O461" t="s">
        <v>1339</v>
      </c>
      <c r="P461" t="s">
        <v>20</v>
      </c>
      <c r="Q461">
        <f t="shared" si="21"/>
        <v>361.96399990003556</v>
      </c>
      <c r="R461">
        <f t="shared" si="22"/>
        <v>9.4308483048050173E-2</v>
      </c>
      <c r="S461">
        <f t="shared" si="23"/>
        <v>0.33007969066817561</v>
      </c>
    </row>
    <row r="462" spans="1:19" hidden="1" x14ac:dyDescent="0.2">
      <c r="A462">
        <v>124</v>
      </c>
      <c r="B462" t="s">
        <v>16</v>
      </c>
      <c r="C462">
        <v>15</v>
      </c>
      <c r="D462">
        <v>5</v>
      </c>
      <c r="E462">
        <v>1016</v>
      </c>
      <c r="F462" t="b">
        <v>1</v>
      </c>
      <c r="G462">
        <v>60.116</v>
      </c>
      <c r="H462">
        <v>25</v>
      </c>
      <c r="I462">
        <v>1</v>
      </c>
      <c r="J462">
        <v>0.24</v>
      </c>
      <c r="K462" t="s">
        <v>1346</v>
      </c>
      <c r="L462">
        <v>0</v>
      </c>
      <c r="N462" t="s">
        <v>1347</v>
      </c>
      <c r="O462" t="s">
        <v>1348</v>
      </c>
      <c r="P462" t="s">
        <v>20</v>
      </c>
      <c r="Q462">
        <f t="shared" si="21"/>
        <v>226.8059998517856</v>
      </c>
      <c r="R462">
        <f t="shared" si="22"/>
        <v>1.6634506620533635E-2</v>
      </c>
      <c r="S462">
        <f t="shared" si="23"/>
        <v>0.41586266551334089</v>
      </c>
    </row>
    <row r="463" spans="1:19" hidden="1" x14ac:dyDescent="0.2">
      <c r="A463">
        <v>127</v>
      </c>
      <c r="B463" t="s">
        <v>16</v>
      </c>
      <c r="C463">
        <v>20</v>
      </c>
      <c r="D463">
        <v>5</v>
      </c>
      <c r="E463">
        <v>1016</v>
      </c>
      <c r="F463" t="b">
        <v>1</v>
      </c>
      <c r="G463">
        <v>92.111999999999995</v>
      </c>
      <c r="H463">
        <v>26</v>
      </c>
      <c r="I463">
        <v>6</v>
      </c>
      <c r="J463">
        <v>1.02</v>
      </c>
      <c r="K463" t="s">
        <v>1355</v>
      </c>
      <c r="L463">
        <v>0</v>
      </c>
      <c r="N463" t="s">
        <v>1356</v>
      </c>
      <c r="O463" t="s">
        <v>1357</v>
      </c>
      <c r="P463" t="s">
        <v>20</v>
      </c>
      <c r="Q463">
        <f t="shared" si="21"/>
        <v>352.16700013261288</v>
      </c>
      <c r="R463">
        <f t="shared" si="22"/>
        <v>6.5138092756644089E-2</v>
      </c>
      <c r="S463">
        <f t="shared" si="23"/>
        <v>0.28226506861212436</v>
      </c>
    </row>
    <row r="464" spans="1:19" hidden="1" x14ac:dyDescent="0.2">
      <c r="A464">
        <v>130</v>
      </c>
      <c r="B464" t="s">
        <v>16</v>
      </c>
      <c r="C464">
        <v>50</v>
      </c>
      <c r="D464">
        <v>5</v>
      </c>
      <c r="E464">
        <v>1016</v>
      </c>
      <c r="F464" t="b">
        <v>1</v>
      </c>
      <c r="G464">
        <v>67.444000000000003</v>
      </c>
      <c r="H464">
        <v>25</v>
      </c>
      <c r="I464">
        <v>4</v>
      </c>
      <c r="J464">
        <v>1.68</v>
      </c>
      <c r="K464" t="s">
        <v>1364</v>
      </c>
      <c r="L464">
        <v>0</v>
      </c>
      <c r="N464" t="s">
        <v>1365</v>
      </c>
      <c r="O464" t="s">
        <v>1366</v>
      </c>
      <c r="P464" t="s">
        <v>20</v>
      </c>
      <c r="Q464">
        <f t="shared" si="21"/>
        <v>375.27600021567196</v>
      </c>
      <c r="R464">
        <f t="shared" si="22"/>
        <v>5.9308463317715436E-2</v>
      </c>
      <c r="S464">
        <f t="shared" si="23"/>
        <v>0.37067789573572146</v>
      </c>
    </row>
    <row r="465" spans="1:19" hidden="1" x14ac:dyDescent="0.2">
      <c r="A465">
        <v>133</v>
      </c>
      <c r="B465" t="s">
        <v>16</v>
      </c>
      <c r="C465">
        <v>70</v>
      </c>
      <c r="D465">
        <v>5</v>
      </c>
      <c r="E465">
        <v>1016</v>
      </c>
      <c r="F465" t="b">
        <v>1</v>
      </c>
      <c r="G465">
        <v>71.111999999999995</v>
      </c>
      <c r="H465">
        <v>24</v>
      </c>
      <c r="I465">
        <v>12</v>
      </c>
      <c r="J465">
        <v>2.82</v>
      </c>
      <c r="K465" t="s">
        <v>1373</v>
      </c>
      <c r="L465">
        <v>0</v>
      </c>
      <c r="N465" t="s">
        <v>1374</v>
      </c>
      <c r="O465" t="s">
        <v>1375</v>
      </c>
      <c r="P465" t="s">
        <v>20</v>
      </c>
      <c r="Q465">
        <f t="shared" si="21"/>
        <v>319.53699958976358</v>
      </c>
      <c r="R465">
        <f t="shared" si="22"/>
        <v>0.16874789065136686</v>
      </c>
      <c r="S465">
        <f t="shared" si="23"/>
        <v>0.33749578130273372</v>
      </c>
    </row>
    <row r="466" spans="1:19" x14ac:dyDescent="0.2">
      <c r="A466">
        <v>2</v>
      </c>
      <c r="B466" t="s">
        <v>21</v>
      </c>
      <c r="C466">
        <v>-1</v>
      </c>
      <c r="D466">
        <v>1</v>
      </c>
      <c r="E466">
        <v>1017</v>
      </c>
      <c r="F466" t="b">
        <v>1</v>
      </c>
      <c r="G466">
        <v>83.364000000000004</v>
      </c>
      <c r="H466">
        <v>27</v>
      </c>
      <c r="I466">
        <v>7</v>
      </c>
      <c r="J466">
        <v>7.68</v>
      </c>
      <c r="K466" t="s">
        <v>1383</v>
      </c>
      <c r="L466">
        <v>0</v>
      </c>
      <c r="N466" t="s">
        <v>2010</v>
      </c>
      <c r="O466" t="s">
        <v>2011</v>
      </c>
      <c r="P466" t="s">
        <v>20</v>
      </c>
      <c r="Q466">
        <f t="shared" si="21"/>
        <v>345.20799983292818</v>
      </c>
      <c r="R466">
        <f t="shared" si="22"/>
        <v>8.3969099371431308E-2</v>
      </c>
      <c r="S466">
        <f t="shared" si="23"/>
        <v>0.32388081186123507</v>
      </c>
    </row>
    <row r="467" spans="1:19" x14ac:dyDescent="0.2">
      <c r="A467">
        <v>5</v>
      </c>
      <c r="B467" t="s">
        <v>21</v>
      </c>
      <c r="C467">
        <v>0</v>
      </c>
      <c r="D467">
        <v>1</v>
      </c>
      <c r="E467">
        <v>1017</v>
      </c>
      <c r="F467" t="b">
        <v>1</v>
      </c>
      <c r="G467">
        <v>48.152000000000001</v>
      </c>
      <c r="H467">
        <v>26</v>
      </c>
      <c r="I467">
        <v>1</v>
      </c>
      <c r="J467">
        <v>1.8</v>
      </c>
      <c r="K467" t="s">
        <v>1386</v>
      </c>
      <c r="L467">
        <v>0</v>
      </c>
      <c r="N467" t="s">
        <v>2016</v>
      </c>
      <c r="O467" t="s">
        <v>2017</v>
      </c>
      <c r="P467" t="s">
        <v>20</v>
      </c>
      <c r="Q467">
        <f t="shared" si="21"/>
        <v>360.08999955374748</v>
      </c>
      <c r="R467">
        <f t="shared" si="22"/>
        <v>2.0767569363681675E-2</v>
      </c>
      <c r="S467">
        <f t="shared" si="23"/>
        <v>0.5399568034557235</v>
      </c>
    </row>
    <row r="468" spans="1:19" x14ac:dyDescent="0.2">
      <c r="A468">
        <v>8</v>
      </c>
      <c r="B468" t="s">
        <v>21</v>
      </c>
      <c r="C468">
        <v>2</v>
      </c>
      <c r="D468">
        <v>1</v>
      </c>
      <c r="E468">
        <v>1017</v>
      </c>
      <c r="F468" t="b">
        <v>1</v>
      </c>
      <c r="G468">
        <v>108.864</v>
      </c>
      <c r="H468">
        <v>26</v>
      </c>
      <c r="I468">
        <v>2</v>
      </c>
      <c r="J468">
        <v>1.44</v>
      </c>
      <c r="K468" t="s">
        <v>1389</v>
      </c>
      <c r="L468">
        <v>0</v>
      </c>
      <c r="N468" t="s">
        <v>2022</v>
      </c>
      <c r="O468" t="s">
        <v>2023</v>
      </c>
      <c r="P468" t="s">
        <v>20</v>
      </c>
      <c r="Q468">
        <f t="shared" si="21"/>
        <v>522.66899978276342</v>
      </c>
      <c r="R468">
        <f t="shared" si="22"/>
        <v>1.8371546149323927E-2</v>
      </c>
      <c r="S468">
        <f t="shared" si="23"/>
        <v>0.23883009994121104</v>
      </c>
    </row>
    <row r="469" spans="1:19" x14ac:dyDescent="0.2">
      <c r="A469">
        <v>11</v>
      </c>
      <c r="B469" t="s">
        <v>21</v>
      </c>
      <c r="C469">
        <v>5</v>
      </c>
      <c r="D469">
        <v>1</v>
      </c>
      <c r="E469">
        <v>1017</v>
      </c>
      <c r="F469" t="b">
        <v>1</v>
      </c>
      <c r="G469">
        <v>85.244</v>
      </c>
      <c r="H469">
        <v>27</v>
      </c>
      <c r="I469">
        <v>1</v>
      </c>
      <c r="J469">
        <v>0.12</v>
      </c>
      <c r="K469" t="s">
        <v>1392</v>
      </c>
      <c r="L469">
        <v>0</v>
      </c>
      <c r="N469" t="s">
        <v>2028</v>
      </c>
      <c r="O469" t="s">
        <v>2029</v>
      </c>
      <c r="P469" t="s">
        <v>20</v>
      </c>
      <c r="Q469">
        <f t="shared" si="21"/>
        <v>401.60300047136843</v>
      </c>
      <c r="R469">
        <f t="shared" si="22"/>
        <v>1.1731030922997513E-2</v>
      </c>
      <c r="S469">
        <f t="shared" si="23"/>
        <v>0.31673783492093283</v>
      </c>
    </row>
    <row r="470" spans="1:19" hidden="1" x14ac:dyDescent="0.2">
      <c r="A470">
        <v>14</v>
      </c>
      <c r="B470" t="s">
        <v>21</v>
      </c>
      <c r="C470">
        <v>10</v>
      </c>
      <c r="D470">
        <v>1</v>
      </c>
      <c r="E470">
        <v>1017</v>
      </c>
      <c r="F470" t="b">
        <v>1</v>
      </c>
      <c r="G470">
        <v>38.944000000000003</v>
      </c>
      <c r="H470">
        <v>27</v>
      </c>
      <c r="I470">
        <v>2</v>
      </c>
      <c r="J470">
        <v>0.12</v>
      </c>
      <c r="K470" t="s">
        <v>1395</v>
      </c>
      <c r="L470">
        <v>0</v>
      </c>
      <c r="N470" t="s">
        <v>2034</v>
      </c>
      <c r="O470" t="s">
        <v>2035</v>
      </c>
      <c r="P470" t="s">
        <v>20</v>
      </c>
      <c r="Q470">
        <f t="shared" si="21"/>
        <v>141.08099963050336</v>
      </c>
      <c r="R470">
        <f t="shared" si="22"/>
        <v>5.135579293344289E-2</v>
      </c>
      <c r="S470">
        <f t="shared" si="23"/>
        <v>0.69330320460147898</v>
      </c>
    </row>
    <row r="471" spans="1:19" hidden="1" x14ac:dyDescent="0.2">
      <c r="A471">
        <v>17</v>
      </c>
      <c r="B471" t="s">
        <v>21</v>
      </c>
      <c r="C471">
        <v>15</v>
      </c>
      <c r="D471">
        <v>1</v>
      </c>
      <c r="E471">
        <v>1017</v>
      </c>
      <c r="F471" t="b">
        <v>1</v>
      </c>
      <c r="G471">
        <v>90.68</v>
      </c>
      <c r="H471">
        <v>26</v>
      </c>
      <c r="I471">
        <v>2</v>
      </c>
      <c r="J471">
        <v>0.48</v>
      </c>
      <c r="K471" t="s">
        <v>2040</v>
      </c>
      <c r="L471">
        <v>0</v>
      </c>
      <c r="N471" t="s">
        <v>2041</v>
      </c>
      <c r="O471" t="s">
        <v>2042</v>
      </c>
      <c r="P471" t="s">
        <v>20</v>
      </c>
      <c r="Q471">
        <f t="shared" si="21"/>
        <v>287.56500002928078</v>
      </c>
      <c r="R471">
        <f t="shared" si="22"/>
        <v>2.2055580061755623E-2</v>
      </c>
      <c r="S471">
        <f t="shared" si="23"/>
        <v>0.28672254080282311</v>
      </c>
    </row>
    <row r="472" spans="1:19" hidden="1" x14ac:dyDescent="0.2">
      <c r="A472">
        <v>20</v>
      </c>
      <c r="B472" t="s">
        <v>21</v>
      </c>
      <c r="C472">
        <v>20</v>
      </c>
      <c r="D472">
        <v>1</v>
      </c>
      <c r="E472">
        <v>1017</v>
      </c>
      <c r="F472" t="b">
        <v>1</v>
      </c>
      <c r="G472">
        <v>51.515999999999998</v>
      </c>
      <c r="H472">
        <v>26</v>
      </c>
      <c r="I472">
        <v>3</v>
      </c>
      <c r="J472">
        <v>0.66</v>
      </c>
      <c r="K472" t="s">
        <v>2049</v>
      </c>
      <c r="L472">
        <v>0</v>
      </c>
      <c r="N472" t="s">
        <v>2050</v>
      </c>
      <c r="O472" t="s">
        <v>2051</v>
      </c>
      <c r="P472" t="s">
        <v>20</v>
      </c>
      <c r="Q472">
        <f t="shared" si="21"/>
        <v>175.96399979665875</v>
      </c>
      <c r="R472">
        <f t="shared" si="22"/>
        <v>5.8234334963894713E-2</v>
      </c>
      <c r="S472">
        <f t="shared" si="23"/>
        <v>0.50469756968708757</v>
      </c>
    </row>
    <row r="473" spans="1:19" hidden="1" x14ac:dyDescent="0.2">
      <c r="A473">
        <v>23</v>
      </c>
      <c r="B473" t="s">
        <v>21</v>
      </c>
      <c r="C473">
        <v>50</v>
      </c>
      <c r="D473">
        <v>1</v>
      </c>
      <c r="E473">
        <v>1017</v>
      </c>
      <c r="F473" t="b">
        <v>1</v>
      </c>
      <c r="G473">
        <v>72.94</v>
      </c>
      <c r="H473">
        <v>28</v>
      </c>
      <c r="I473">
        <v>7</v>
      </c>
      <c r="J473">
        <v>3.06</v>
      </c>
      <c r="K473" t="s">
        <v>2058</v>
      </c>
      <c r="L473">
        <v>0</v>
      </c>
      <c r="N473" t="s">
        <v>2059</v>
      </c>
      <c r="O473" t="s">
        <v>2060</v>
      </c>
      <c r="P473" t="s">
        <v>20</v>
      </c>
      <c r="Q473">
        <f t="shared" si="21"/>
        <v>224.47600029408932</v>
      </c>
      <c r="R473">
        <f t="shared" si="22"/>
        <v>9.5969289827255277E-2</v>
      </c>
      <c r="S473">
        <f t="shared" si="23"/>
        <v>0.38387715930902111</v>
      </c>
    </row>
    <row r="474" spans="1:19" hidden="1" x14ac:dyDescent="0.2">
      <c r="A474">
        <v>26</v>
      </c>
      <c r="B474" t="s">
        <v>21</v>
      </c>
      <c r="C474">
        <v>70</v>
      </c>
      <c r="D474">
        <v>1</v>
      </c>
      <c r="E474">
        <v>1017</v>
      </c>
      <c r="F474" t="b">
        <v>1</v>
      </c>
      <c r="G474">
        <v>84.468000000000004</v>
      </c>
      <c r="H474">
        <v>26</v>
      </c>
      <c r="I474">
        <v>7</v>
      </c>
      <c r="J474">
        <v>1.98</v>
      </c>
      <c r="K474" t="s">
        <v>2067</v>
      </c>
      <c r="L474">
        <v>0</v>
      </c>
      <c r="N474" t="s">
        <v>2068</v>
      </c>
      <c r="O474" t="s">
        <v>2069</v>
      </c>
      <c r="P474" t="s">
        <v>20</v>
      </c>
      <c r="Q474">
        <f t="shared" si="21"/>
        <v>200.61700050719082</v>
      </c>
      <c r="R474">
        <f t="shared" si="22"/>
        <v>8.2871620021783388E-2</v>
      </c>
      <c r="S474">
        <f t="shared" si="23"/>
        <v>0.30780887436662402</v>
      </c>
    </row>
    <row r="475" spans="1:19" x14ac:dyDescent="0.2">
      <c r="A475">
        <v>3</v>
      </c>
      <c r="B475" t="s">
        <v>25</v>
      </c>
      <c r="C475">
        <v>-1</v>
      </c>
      <c r="D475">
        <v>1</v>
      </c>
      <c r="E475">
        <v>1017</v>
      </c>
      <c r="F475" t="b">
        <v>1</v>
      </c>
      <c r="G475">
        <v>45.804000000000002</v>
      </c>
      <c r="H475">
        <v>32</v>
      </c>
      <c r="I475">
        <v>3</v>
      </c>
      <c r="J475">
        <v>3.24</v>
      </c>
      <c r="K475" t="s">
        <v>1384</v>
      </c>
      <c r="L475">
        <v>0</v>
      </c>
      <c r="N475" t="s">
        <v>2012</v>
      </c>
      <c r="O475" t="s">
        <v>2013</v>
      </c>
      <c r="P475" t="s">
        <v>20</v>
      </c>
      <c r="Q475">
        <f t="shared" si="21"/>
        <v>218.99799993261695</v>
      </c>
      <c r="R475">
        <f t="shared" si="22"/>
        <v>6.5496463190987689E-2</v>
      </c>
      <c r="S475">
        <f t="shared" si="23"/>
        <v>0.69862894070386861</v>
      </c>
    </row>
    <row r="476" spans="1:19" x14ac:dyDescent="0.2">
      <c r="A476">
        <v>6</v>
      </c>
      <c r="B476" t="s">
        <v>25</v>
      </c>
      <c r="C476">
        <v>0</v>
      </c>
      <c r="D476">
        <v>1</v>
      </c>
      <c r="E476">
        <v>1017</v>
      </c>
      <c r="F476" t="b">
        <v>1</v>
      </c>
      <c r="G476">
        <v>55.527999999999999</v>
      </c>
      <c r="H476">
        <v>28</v>
      </c>
      <c r="I476">
        <v>0</v>
      </c>
      <c r="J476">
        <v>0</v>
      </c>
      <c r="K476" t="s">
        <v>1387</v>
      </c>
      <c r="L476">
        <v>0</v>
      </c>
      <c r="N476" t="s">
        <v>2018</v>
      </c>
      <c r="O476" t="s">
        <v>2019</v>
      </c>
      <c r="P476" t="s">
        <v>20</v>
      </c>
      <c r="Q476">
        <f t="shared" si="21"/>
        <v>293.72700015082955</v>
      </c>
      <c r="R476">
        <f t="shared" si="22"/>
        <v>0</v>
      </c>
      <c r="S476">
        <f t="shared" si="23"/>
        <v>0.5042501080535946</v>
      </c>
    </row>
    <row r="477" spans="1:19" x14ac:dyDescent="0.2">
      <c r="A477">
        <v>9</v>
      </c>
      <c r="B477" t="s">
        <v>25</v>
      </c>
      <c r="C477">
        <v>2</v>
      </c>
      <c r="D477">
        <v>1</v>
      </c>
      <c r="E477">
        <v>1017</v>
      </c>
      <c r="F477" t="b">
        <v>1</v>
      </c>
      <c r="G477">
        <v>55.823999999999998</v>
      </c>
      <c r="H477">
        <v>29</v>
      </c>
      <c r="I477">
        <v>3</v>
      </c>
      <c r="J477">
        <v>1.38</v>
      </c>
      <c r="K477" t="s">
        <v>1390</v>
      </c>
      <c r="L477">
        <v>0</v>
      </c>
      <c r="N477" t="s">
        <v>2024</v>
      </c>
      <c r="O477" t="s">
        <v>2025</v>
      </c>
      <c r="P477" t="s">
        <v>20</v>
      </c>
      <c r="Q477">
        <f t="shared" si="21"/>
        <v>208.53599987458438</v>
      </c>
      <c r="R477">
        <f t="shared" si="22"/>
        <v>5.3740326741186589E-2</v>
      </c>
      <c r="S477">
        <f t="shared" si="23"/>
        <v>0.51948982516480369</v>
      </c>
    </row>
    <row r="478" spans="1:19" x14ac:dyDescent="0.2">
      <c r="A478">
        <v>12</v>
      </c>
      <c r="B478" t="s">
        <v>25</v>
      </c>
      <c r="C478">
        <v>5</v>
      </c>
      <c r="D478">
        <v>1</v>
      </c>
      <c r="E478">
        <v>1017</v>
      </c>
      <c r="F478" t="b">
        <v>1</v>
      </c>
      <c r="G478">
        <v>49.088000000000001</v>
      </c>
      <c r="H478">
        <v>24</v>
      </c>
      <c r="I478">
        <v>1</v>
      </c>
      <c r="J478">
        <v>0.3</v>
      </c>
      <c r="K478" t="s">
        <v>1393</v>
      </c>
      <c r="L478">
        <v>0</v>
      </c>
      <c r="N478" t="s">
        <v>2030</v>
      </c>
      <c r="O478" t="s">
        <v>2031</v>
      </c>
      <c r="P478" t="s">
        <v>20</v>
      </c>
      <c r="Q478">
        <f t="shared" si="21"/>
        <v>176.61800009664148</v>
      </c>
      <c r="R478">
        <f t="shared" si="22"/>
        <v>2.0371577574967405E-2</v>
      </c>
      <c r="S478">
        <f t="shared" si="23"/>
        <v>0.4889178617992177</v>
      </c>
    </row>
    <row r="479" spans="1:19" hidden="1" x14ac:dyDescent="0.2">
      <c r="A479">
        <v>15</v>
      </c>
      <c r="B479" t="s">
        <v>25</v>
      </c>
      <c r="C479">
        <v>10</v>
      </c>
      <c r="D479">
        <v>1</v>
      </c>
      <c r="E479">
        <v>1017</v>
      </c>
      <c r="F479" t="b">
        <v>1</v>
      </c>
      <c r="G479">
        <v>46.524000000000001</v>
      </c>
      <c r="H479">
        <v>26</v>
      </c>
      <c r="I479">
        <v>3</v>
      </c>
      <c r="J479">
        <v>0.48</v>
      </c>
      <c r="K479" t="s">
        <v>1396</v>
      </c>
      <c r="L479">
        <v>0</v>
      </c>
      <c r="N479" t="s">
        <v>2036</v>
      </c>
      <c r="O479" t="s">
        <v>2037</v>
      </c>
      <c r="P479" t="s">
        <v>20</v>
      </c>
      <c r="Q479">
        <f t="shared" si="21"/>
        <v>170.05699980072677</v>
      </c>
      <c r="R479">
        <f t="shared" si="22"/>
        <v>6.4482847562548365E-2</v>
      </c>
      <c r="S479">
        <f t="shared" si="23"/>
        <v>0.55885134554208582</v>
      </c>
    </row>
    <row r="480" spans="1:19" hidden="1" x14ac:dyDescent="0.2">
      <c r="A480">
        <v>18</v>
      </c>
      <c r="B480" t="s">
        <v>25</v>
      </c>
      <c r="C480">
        <v>15</v>
      </c>
      <c r="D480">
        <v>1</v>
      </c>
      <c r="E480">
        <v>1017</v>
      </c>
      <c r="F480" t="b">
        <v>1</v>
      </c>
      <c r="G480">
        <v>45.591999999999999</v>
      </c>
      <c r="H480">
        <v>28</v>
      </c>
      <c r="I480">
        <v>1</v>
      </c>
      <c r="J480">
        <v>0.12</v>
      </c>
      <c r="K480" t="s">
        <v>2043</v>
      </c>
      <c r="L480">
        <v>0</v>
      </c>
      <c r="N480" t="s">
        <v>2044</v>
      </c>
      <c r="O480" t="s">
        <v>2045</v>
      </c>
      <c r="P480" t="s">
        <v>20</v>
      </c>
      <c r="Q480">
        <f t="shared" si="21"/>
        <v>90.577000030316412</v>
      </c>
      <c r="R480">
        <f t="shared" si="22"/>
        <v>2.1933672574135813E-2</v>
      </c>
      <c r="S480">
        <f t="shared" si="23"/>
        <v>0.61414283207580278</v>
      </c>
    </row>
    <row r="481" spans="1:19" hidden="1" x14ac:dyDescent="0.2">
      <c r="A481">
        <v>21</v>
      </c>
      <c r="B481" t="s">
        <v>25</v>
      </c>
      <c r="C481">
        <v>20</v>
      </c>
      <c r="D481">
        <v>1</v>
      </c>
      <c r="E481">
        <v>1017</v>
      </c>
      <c r="F481" t="b">
        <v>1</v>
      </c>
      <c r="G481">
        <v>56.012</v>
      </c>
      <c r="H481">
        <v>26</v>
      </c>
      <c r="I481">
        <v>4</v>
      </c>
      <c r="J481">
        <v>1.38</v>
      </c>
      <c r="K481" t="s">
        <v>2052</v>
      </c>
      <c r="L481">
        <v>0</v>
      </c>
      <c r="N481" t="s">
        <v>2053</v>
      </c>
      <c r="O481" t="s">
        <v>2054</v>
      </c>
      <c r="P481" t="s">
        <v>20</v>
      </c>
      <c r="Q481">
        <f t="shared" si="21"/>
        <v>133.60700011253357</v>
      </c>
      <c r="R481">
        <f t="shared" si="22"/>
        <v>7.1413268585303155E-2</v>
      </c>
      <c r="S481">
        <f t="shared" si="23"/>
        <v>0.46418624580447049</v>
      </c>
    </row>
    <row r="482" spans="1:19" hidden="1" x14ac:dyDescent="0.2">
      <c r="A482">
        <v>24</v>
      </c>
      <c r="B482" t="s">
        <v>25</v>
      </c>
      <c r="C482">
        <v>50</v>
      </c>
      <c r="D482">
        <v>1</v>
      </c>
      <c r="E482">
        <v>1017</v>
      </c>
      <c r="F482" t="b">
        <v>1</v>
      </c>
      <c r="G482">
        <v>39.28</v>
      </c>
      <c r="H482">
        <v>29</v>
      </c>
      <c r="I482">
        <v>9</v>
      </c>
      <c r="J482">
        <v>1.8</v>
      </c>
      <c r="K482" t="s">
        <v>2061</v>
      </c>
      <c r="L482">
        <v>0</v>
      </c>
      <c r="N482" t="s">
        <v>2062</v>
      </c>
      <c r="O482" t="s">
        <v>2063</v>
      </c>
      <c r="P482" t="s">
        <v>20</v>
      </c>
      <c r="Q482">
        <f t="shared" si="21"/>
        <v>79.340999945998192</v>
      </c>
      <c r="R482">
        <f t="shared" si="22"/>
        <v>0.22912423625254583</v>
      </c>
      <c r="S482">
        <f t="shared" si="23"/>
        <v>0.73828920570264767</v>
      </c>
    </row>
    <row r="483" spans="1:19" hidden="1" x14ac:dyDescent="0.2">
      <c r="A483">
        <v>27</v>
      </c>
      <c r="B483" t="s">
        <v>25</v>
      </c>
      <c r="C483">
        <v>70</v>
      </c>
      <c r="D483">
        <v>1</v>
      </c>
      <c r="E483">
        <v>1017</v>
      </c>
      <c r="F483" t="b">
        <v>1</v>
      </c>
      <c r="G483">
        <v>38.072000000000003</v>
      </c>
      <c r="H483">
        <v>29</v>
      </c>
      <c r="I483">
        <v>2</v>
      </c>
      <c r="J483">
        <v>0.24</v>
      </c>
      <c r="K483" t="s">
        <v>2070</v>
      </c>
      <c r="L483">
        <v>0</v>
      </c>
      <c r="N483" t="s">
        <v>2071</v>
      </c>
      <c r="O483" t="s">
        <v>2072</v>
      </c>
      <c r="P483" t="s">
        <v>20</v>
      </c>
      <c r="Q483">
        <f t="shared" si="21"/>
        <v>139.94099940173328</v>
      </c>
      <c r="R483">
        <f t="shared" si="22"/>
        <v>5.2532044547173772E-2</v>
      </c>
      <c r="S483">
        <f t="shared" si="23"/>
        <v>0.76171464593401972</v>
      </c>
    </row>
    <row r="484" spans="1:19" x14ac:dyDescent="0.2">
      <c r="A484">
        <v>1</v>
      </c>
      <c r="B484" t="s">
        <v>16</v>
      </c>
      <c r="C484">
        <v>-1</v>
      </c>
      <c r="D484">
        <v>1</v>
      </c>
      <c r="E484">
        <v>1017</v>
      </c>
      <c r="F484" t="b">
        <v>1</v>
      </c>
      <c r="G484">
        <v>73.236000000000004</v>
      </c>
      <c r="H484">
        <v>28</v>
      </c>
      <c r="I484">
        <v>5</v>
      </c>
      <c r="J484">
        <v>6.78</v>
      </c>
      <c r="K484" t="s">
        <v>1382</v>
      </c>
      <c r="L484">
        <v>0</v>
      </c>
      <c r="N484" t="s">
        <v>2008</v>
      </c>
      <c r="O484" t="s">
        <v>2009</v>
      </c>
      <c r="P484" t="s">
        <v>20</v>
      </c>
      <c r="Q484">
        <f t="shared" si="21"/>
        <v>280.9929997427389</v>
      </c>
      <c r="R484">
        <f t="shared" si="22"/>
        <v>6.827243432191818E-2</v>
      </c>
      <c r="S484">
        <f t="shared" si="23"/>
        <v>0.38232563220274179</v>
      </c>
    </row>
    <row r="485" spans="1:19" x14ac:dyDescent="0.2">
      <c r="A485">
        <v>4</v>
      </c>
      <c r="B485" t="s">
        <v>16</v>
      </c>
      <c r="C485">
        <v>0</v>
      </c>
      <c r="D485">
        <v>1</v>
      </c>
      <c r="E485">
        <v>1017</v>
      </c>
      <c r="F485" t="b">
        <v>1</v>
      </c>
      <c r="G485">
        <v>92.891999999999996</v>
      </c>
      <c r="H485">
        <v>24</v>
      </c>
      <c r="I485">
        <v>0</v>
      </c>
      <c r="J485">
        <v>0</v>
      </c>
      <c r="K485" t="s">
        <v>1385</v>
      </c>
      <c r="L485">
        <v>0</v>
      </c>
      <c r="N485" t="s">
        <v>2014</v>
      </c>
      <c r="O485" t="s">
        <v>2015</v>
      </c>
      <c r="P485" t="s">
        <v>20</v>
      </c>
      <c r="Q485">
        <f t="shared" si="21"/>
        <v>386.48900014813989</v>
      </c>
      <c r="R485">
        <f t="shared" si="22"/>
        <v>0</v>
      </c>
      <c r="S485">
        <f t="shared" si="23"/>
        <v>0.25836455238341299</v>
      </c>
    </row>
    <row r="486" spans="1:19" x14ac:dyDescent="0.2">
      <c r="A486">
        <v>7</v>
      </c>
      <c r="B486" t="s">
        <v>16</v>
      </c>
      <c r="C486">
        <v>2</v>
      </c>
      <c r="D486">
        <v>1</v>
      </c>
      <c r="E486">
        <v>1017</v>
      </c>
      <c r="F486" t="b">
        <v>1</v>
      </c>
      <c r="G486">
        <v>73.62</v>
      </c>
      <c r="H486">
        <v>24</v>
      </c>
      <c r="I486">
        <v>0</v>
      </c>
      <c r="J486">
        <v>0</v>
      </c>
      <c r="K486" t="s">
        <v>1388</v>
      </c>
      <c r="L486">
        <v>0</v>
      </c>
      <c r="N486" t="s">
        <v>2020</v>
      </c>
      <c r="O486" t="s">
        <v>2021</v>
      </c>
      <c r="P486" t="s">
        <v>20</v>
      </c>
      <c r="Q486">
        <f t="shared" si="21"/>
        <v>396.20599946938455</v>
      </c>
      <c r="R486">
        <f t="shared" si="22"/>
        <v>0</v>
      </c>
      <c r="S486">
        <f t="shared" si="23"/>
        <v>0.32599837000814996</v>
      </c>
    </row>
    <row r="487" spans="1:19" x14ac:dyDescent="0.2">
      <c r="A487">
        <v>10</v>
      </c>
      <c r="B487" t="s">
        <v>16</v>
      </c>
      <c r="C487">
        <v>5</v>
      </c>
      <c r="D487">
        <v>1</v>
      </c>
      <c r="E487">
        <v>1017</v>
      </c>
      <c r="F487" t="b">
        <v>1</v>
      </c>
      <c r="G487">
        <v>94.415999999999997</v>
      </c>
      <c r="H487">
        <v>25</v>
      </c>
      <c r="I487">
        <v>1</v>
      </c>
      <c r="J487">
        <v>0.06</v>
      </c>
      <c r="K487" t="s">
        <v>1391</v>
      </c>
      <c r="L487">
        <v>0</v>
      </c>
      <c r="N487" t="s">
        <v>2026</v>
      </c>
      <c r="O487" t="s">
        <v>2027</v>
      </c>
      <c r="P487" t="s">
        <v>20</v>
      </c>
      <c r="Q487">
        <f t="shared" si="21"/>
        <v>366.08899952843785</v>
      </c>
      <c r="R487">
        <f t="shared" si="22"/>
        <v>1.0591425182172513E-2</v>
      </c>
      <c r="S487">
        <f t="shared" si="23"/>
        <v>0.26478562955431284</v>
      </c>
    </row>
    <row r="488" spans="1:19" hidden="1" x14ac:dyDescent="0.2">
      <c r="A488">
        <v>13</v>
      </c>
      <c r="B488" t="s">
        <v>16</v>
      </c>
      <c r="C488">
        <v>10</v>
      </c>
      <c r="D488">
        <v>1</v>
      </c>
      <c r="E488">
        <v>1017</v>
      </c>
      <c r="F488" t="b">
        <v>1</v>
      </c>
      <c r="G488">
        <v>112.248</v>
      </c>
      <c r="H488">
        <v>24</v>
      </c>
      <c r="I488">
        <v>6</v>
      </c>
      <c r="J488">
        <v>1.02</v>
      </c>
      <c r="K488" t="s">
        <v>1394</v>
      </c>
      <c r="L488">
        <v>0</v>
      </c>
      <c r="N488" t="s">
        <v>2032</v>
      </c>
      <c r="O488" t="s">
        <v>2033</v>
      </c>
      <c r="P488" t="s">
        <v>20</v>
      </c>
      <c r="Q488">
        <f t="shared" si="21"/>
        <v>254.70300014130771</v>
      </c>
      <c r="R488">
        <f t="shared" si="22"/>
        <v>5.3453068206115027E-2</v>
      </c>
      <c r="S488">
        <f t="shared" si="23"/>
        <v>0.21381227282446011</v>
      </c>
    </row>
    <row r="489" spans="1:19" hidden="1" x14ac:dyDescent="0.2">
      <c r="A489">
        <v>16</v>
      </c>
      <c r="B489" t="s">
        <v>16</v>
      </c>
      <c r="C489">
        <v>15</v>
      </c>
      <c r="D489">
        <v>1</v>
      </c>
      <c r="E489">
        <v>1017</v>
      </c>
      <c r="F489" t="b">
        <v>1</v>
      </c>
      <c r="G489">
        <v>93.775999999999996</v>
      </c>
      <c r="H489">
        <v>28</v>
      </c>
      <c r="I489">
        <v>4</v>
      </c>
      <c r="J489">
        <v>1.1399999999999999</v>
      </c>
      <c r="K489" t="s">
        <v>1397</v>
      </c>
      <c r="L489">
        <v>0</v>
      </c>
      <c r="N489" t="s">
        <v>2038</v>
      </c>
      <c r="O489" t="s">
        <v>2039</v>
      </c>
      <c r="P489" t="s">
        <v>20</v>
      </c>
      <c r="Q489">
        <f t="shared" si="21"/>
        <v>268.76899958588183</v>
      </c>
      <c r="R489">
        <f t="shared" si="22"/>
        <v>4.2654837058522438E-2</v>
      </c>
      <c r="S489">
        <f t="shared" si="23"/>
        <v>0.29858385940965709</v>
      </c>
    </row>
    <row r="490" spans="1:19" hidden="1" x14ac:dyDescent="0.2">
      <c r="A490">
        <v>19</v>
      </c>
      <c r="B490" t="s">
        <v>16</v>
      </c>
      <c r="C490">
        <v>20</v>
      </c>
      <c r="D490">
        <v>1</v>
      </c>
      <c r="E490">
        <v>1017</v>
      </c>
      <c r="F490" t="b">
        <v>1</v>
      </c>
      <c r="G490">
        <v>76.488</v>
      </c>
      <c r="H490">
        <v>27</v>
      </c>
      <c r="I490">
        <v>3</v>
      </c>
      <c r="J490">
        <v>0.9</v>
      </c>
      <c r="K490" t="s">
        <v>2046</v>
      </c>
      <c r="L490">
        <v>0</v>
      </c>
      <c r="N490" t="s">
        <v>2047</v>
      </c>
      <c r="O490" t="s">
        <v>2048</v>
      </c>
      <c r="P490" t="s">
        <v>20</v>
      </c>
      <c r="Q490">
        <f t="shared" si="21"/>
        <v>231.99799982830882</v>
      </c>
      <c r="R490">
        <f t="shared" si="22"/>
        <v>3.9221838719799187E-2</v>
      </c>
      <c r="S490">
        <f t="shared" si="23"/>
        <v>0.35299654847819267</v>
      </c>
    </row>
    <row r="491" spans="1:19" hidden="1" x14ac:dyDescent="0.2">
      <c r="A491">
        <v>22</v>
      </c>
      <c r="B491" t="s">
        <v>16</v>
      </c>
      <c r="C491">
        <v>50</v>
      </c>
      <c r="D491">
        <v>1</v>
      </c>
      <c r="E491">
        <v>1017</v>
      </c>
      <c r="F491" t="b">
        <v>1</v>
      </c>
      <c r="G491">
        <v>84.567999999999998</v>
      </c>
      <c r="H491">
        <v>27</v>
      </c>
      <c r="I491">
        <v>8</v>
      </c>
      <c r="J491">
        <v>6.06</v>
      </c>
      <c r="K491" t="s">
        <v>2055</v>
      </c>
      <c r="L491">
        <v>0</v>
      </c>
      <c r="N491" t="s">
        <v>2056</v>
      </c>
      <c r="O491" t="s">
        <v>2057</v>
      </c>
      <c r="P491" t="s">
        <v>20</v>
      </c>
      <c r="Q491">
        <f t="shared" si="21"/>
        <v>262.67100032418966</v>
      </c>
      <c r="R491">
        <f t="shared" si="22"/>
        <v>9.4598429666067546E-2</v>
      </c>
      <c r="S491">
        <f t="shared" si="23"/>
        <v>0.31926970012297795</v>
      </c>
    </row>
    <row r="492" spans="1:19" hidden="1" x14ac:dyDescent="0.2">
      <c r="A492">
        <v>25</v>
      </c>
      <c r="B492" t="s">
        <v>16</v>
      </c>
      <c r="C492">
        <v>70</v>
      </c>
      <c r="D492">
        <v>1</v>
      </c>
      <c r="E492">
        <v>1017</v>
      </c>
      <c r="F492" t="b">
        <v>1</v>
      </c>
      <c r="G492">
        <v>109.252</v>
      </c>
      <c r="H492">
        <v>27</v>
      </c>
      <c r="I492">
        <v>12</v>
      </c>
      <c r="J492">
        <v>7.08</v>
      </c>
      <c r="K492" t="s">
        <v>2064</v>
      </c>
      <c r="L492">
        <v>0</v>
      </c>
      <c r="N492" t="s">
        <v>2065</v>
      </c>
      <c r="O492" t="s">
        <v>2066</v>
      </c>
      <c r="P492" t="s">
        <v>20</v>
      </c>
      <c r="Q492">
        <f t="shared" si="21"/>
        <v>214.3720003310591</v>
      </c>
      <c r="R492">
        <f t="shared" si="22"/>
        <v>0.10983780617288472</v>
      </c>
      <c r="S492">
        <f t="shared" si="23"/>
        <v>0.24713506388899059</v>
      </c>
    </row>
    <row r="493" spans="1:19" x14ac:dyDescent="0.2">
      <c r="A493">
        <v>29</v>
      </c>
      <c r="B493" t="s">
        <v>21</v>
      </c>
      <c r="C493">
        <v>-1</v>
      </c>
      <c r="D493">
        <v>2</v>
      </c>
      <c r="E493">
        <v>1018</v>
      </c>
      <c r="F493" t="b">
        <v>1</v>
      </c>
      <c r="G493">
        <v>88.128</v>
      </c>
      <c r="H493">
        <v>31</v>
      </c>
      <c r="I493">
        <v>10</v>
      </c>
      <c r="J493">
        <v>9.1199999999999992</v>
      </c>
      <c r="K493" t="s">
        <v>2076</v>
      </c>
      <c r="L493">
        <v>0</v>
      </c>
      <c r="N493" t="s">
        <v>2077</v>
      </c>
      <c r="O493" t="s">
        <v>2078</v>
      </c>
      <c r="P493" t="s">
        <v>20</v>
      </c>
      <c r="Q493">
        <f t="shared" si="21"/>
        <v>213.21300000417978</v>
      </c>
      <c r="R493">
        <f t="shared" si="22"/>
        <v>0.11347131445170661</v>
      </c>
      <c r="S493">
        <f t="shared" si="23"/>
        <v>0.35176107480029051</v>
      </c>
    </row>
    <row r="494" spans="1:19" x14ac:dyDescent="0.2">
      <c r="A494">
        <v>32</v>
      </c>
      <c r="B494" t="s">
        <v>21</v>
      </c>
      <c r="C494">
        <v>0</v>
      </c>
      <c r="D494">
        <v>2</v>
      </c>
      <c r="E494">
        <v>1018</v>
      </c>
      <c r="F494" t="b">
        <v>1</v>
      </c>
      <c r="G494">
        <v>100.04</v>
      </c>
      <c r="H494">
        <v>27</v>
      </c>
      <c r="I494">
        <v>2</v>
      </c>
      <c r="J494">
        <v>0.18</v>
      </c>
      <c r="K494" t="s">
        <v>2085</v>
      </c>
      <c r="L494">
        <v>0</v>
      </c>
      <c r="N494" t="s">
        <v>2086</v>
      </c>
      <c r="O494" t="s">
        <v>2087</v>
      </c>
      <c r="P494" t="s">
        <v>20</v>
      </c>
      <c r="Q494">
        <f t="shared" si="21"/>
        <v>263.80499952938408</v>
      </c>
      <c r="R494">
        <f t="shared" si="22"/>
        <v>1.999200319872051E-2</v>
      </c>
      <c r="S494">
        <f t="shared" si="23"/>
        <v>0.26989204318272692</v>
      </c>
    </row>
    <row r="495" spans="1:19" x14ac:dyDescent="0.2">
      <c r="A495">
        <v>35</v>
      </c>
      <c r="B495" t="s">
        <v>21</v>
      </c>
      <c r="C495">
        <v>2</v>
      </c>
      <c r="D495">
        <v>2</v>
      </c>
      <c r="E495">
        <v>1018</v>
      </c>
      <c r="F495" t="b">
        <v>1</v>
      </c>
      <c r="G495">
        <v>47.271999999999998</v>
      </c>
      <c r="H495">
        <v>24</v>
      </c>
      <c r="I495">
        <v>2</v>
      </c>
      <c r="J495">
        <v>0.96</v>
      </c>
      <c r="K495" t="s">
        <v>2094</v>
      </c>
      <c r="L495">
        <v>0</v>
      </c>
      <c r="N495" t="s">
        <v>2095</v>
      </c>
      <c r="O495" t="s">
        <v>2096</v>
      </c>
      <c r="P495" t="s">
        <v>20</v>
      </c>
      <c r="Q495">
        <f t="shared" si="21"/>
        <v>171.3629994308576</v>
      </c>
      <c r="R495">
        <f t="shared" si="22"/>
        <v>4.2308343205280083E-2</v>
      </c>
      <c r="S495">
        <f t="shared" si="23"/>
        <v>0.50770011846336094</v>
      </c>
    </row>
    <row r="496" spans="1:19" x14ac:dyDescent="0.2">
      <c r="A496">
        <v>38</v>
      </c>
      <c r="B496" t="s">
        <v>21</v>
      </c>
      <c r="C496">
        <v>5</v>
      </c>
      <c r="D496">
        <v>2</v>
      </c>
      <c r="E496">
        <v>1018</v>
      </c>
      <c r="F496" t="b">
        <v>1</v>
      </c>
      <c r="G496">
        <v>66.751999999999995</v>
      </c>
      <c r="H496">
        <v>26</v>
      </c>
      <c r="I496">
        <v>1</v>
      </c>
      <c r="J496">
        <v>0.12</v>
      </c>
      <c r="K496" t="s">
        <v>2103</v>
      </c>
      <c r="L496">
        <v>0</v>
      </c>
      <c r="N496" t="s">
        <v>2104</v>
      </c>
      <c r="O496" t="s">
        <v>2105</v>
      </c>
      <c r="P496" t="s">
        <v>20</v>
      </c>
      <c r="Q496">
        <f t="shared" si="21"/>
        <v>159.59899979643524</v>
      </c>
      <c r="R496">
        <f t="shared" si="22"/>
        <v>1.4980824544582935E-2</v>
      </c>
      <c r="S496">
        <f t="shared" si="23"/>
        <v>0.38950143815915633</v>
      </c>
    </row>
    <row r="497" spans="1:19" hidden="1" x14ac:dyDescent="0.2">
      <c r="A497">
        <v>41</v>
      </c>
      <c r="B497" t="s">
        <v>21</v>
      </c>
      <c r="C497">
        <v>10</v>
      </c>
      <c r="D497">
        <v>2</v>
      </c>
      <c r="E497">
        <v>1018</v>
      </c>
      <c r="F497" t="b">
        <v>1</v>
      </c>
      <c r="G497">
        <v>64.239999999999995</v>
      </c>
      <c r="H497">
        <v>27</v>
      </c>
      <c r="I497">
        <v>10</v>
      </c>
      <c r="J497">
        <v>2.1</v>
      </c>
      <c r="K497" t="s">
        <v>2112</v>
      </c>
      <c r="L497">
        <v>0</v>
      </c>
      <c r="N497" t="s">
        <v>2113</v>
      </c>
      <c r="O497" t="s">
        <v>2114</v>
      </c>
      <c r="P497" t="s">
        <v>20</v>
      </c>
      <c r="Q497">
        <f t="shared" si="21"/>
        <v>162.82200019340962</v>
      </c>
      <c r="R497">
        <f t="shared" si="22"/>
        <v>0.15566625155666253</v>
      </c>
      <c r="S497">
        <f t="shared" si="23"/>
        <v>0.42029887920298881</v>
      </c>
    </row>
    <row r="498" spans="1:19" hidden="1" x14ac:dyDescent="0.2">
      <c r="A498">
        <v>44</v>
      </c>
      <c r="B498" t="s">
        <v>21</v>
      </c>
      <c r="C498">
        <v>15</v>
      </c>
      <c r="D498">
        <v>2</v>
      </c>
      <c r="E498">
        <v>1018</v>
      </c>
      <c r="F498" t="b">
        <v>1</v>
      </c>
      <c r="G498">
        <v>87.316000000000003</v>
      </c>
      <c r="H498">
        <v>24</v>
      </c>
      <c r="I498">
        <v>5</v>
      </c>
      <c r="J498">
        <v>1.02</v>
      </c>
      <c r="K498" t="s">
        <v>2121</v>
      </c>
      <c r="L498">
        <v>0</v>
      </c>
      <c r="N498" t="s">
        <v>2122</v>
      </c>
      <c r="O498" t="s">
        <v>2123</v>
      </c>
      <c r="P498" t="s">
        <v>20</v>
      </c>
      <c r="Q498">
        <f t="shared" si="21"/>
        <v>200.9350000647828</v>
      </c>
      <c r="R498">
        <f t="shared" si="22"/>
        <v>5.7263273626826698E-2</v>
      </c>
      <c r="S498">
        <f t="shared" si="23"/>
        <v>0.27486371340876814</v>
      </c>
    </row>
    <row r="499" spans="1:19" hidden="1" x14ac:dyDescent="0.2">
      <c r="A499">
        <v>47</v>
      </c>
      <c r="B499" t="s">
        <v>21</v>
      </c>
      <c r="C499">
        <v>20</v>
      </c>
      <c r="D499">
        <v>2</v>
      </c>
      <c r="E499">
        <v>1018</v>
      </c>
      <c r="F499" t="b">
        <v>1</v>
      </c>
      <c r="G499">
        <v>48.456000000000003</v>
      </c>
      <c r="H499">
        <v>27</v>
      </c>
      <c r="I499">
        <v>1</v>
      </c>
      <c r="J499">
        <v>0.3</v>
      </c>
      <c r="K499" t="s">
        <v>2130</v>
      </c>
      <c r="L499">
        <v>0</v>
      </c>
      <c r="N499" t="s">
        <v>2131</v>
      </c>
      <c r="O499" t="s">
        <v>2132</v>
      </c>
      <c r="P499" t="s">
        <v>20</v>
      </c>
      <c r="Q499">
        <f t="shared" si="21"/>
        <v>117.90399989113212</v>
      </c>
      <c r="R499">
        <f t="shared" si="22"/>
        <v>2.0637279181112762E-2</v>
      </c>
      <c r="S499">
        <f t="shared" si="23"/>
        <v>0.5572065378900446</v>
      </c>
    </row>
    <row r="500" spans="1:19" hidden="1" x14ac:dyDescent="0.2">
      <c r="A500">
        <v>50</v>
      </c>
      <c r="B500" t="s">
        <v>21</v>
      </c>
      <c r="C500">
        <v>50</v>
      </c>
      <c r="D500">
        <v>2</v>
      </c>
      <c r="E500">
        <v>1018</v>
      </c>
      <c r="F500" t="b">
        <v>1</v>
      </c>
      <c r="G500">
        <v>93.956000000000003</v>
      </c>
      <c r="H500">
        <v>30</v>
      </c>
      <c r="I500">
        <v>17</v>
      </c>
      <c r="J500">
        <v>4.62</v>
      </c>
      <c r="K500" t="s">
        <v>2139</v>
      </c>
      <c r="L500">
        <v>0</v>
      </c>
      <c r="N500" t="s">
        <v>2140</v>
      </c>
      <c r="O500" t="s">
        <v>2141</v>
      </c>
      <c r="P500" t="s">
        <v>20</v>
      </c>
      <c r="Q500">
        <f t="shared" si="21"/>
        <v>230.68099957890809</v>
      </c>
      <c r="R500">
        <f t="shared" si="22"/>
        <v>0.18093575716292731</v>
      </c>
      <c r="S500">
        <f t="shared" si="23"/>
        <v>0.31929839499340118</v>
      </c>
    </row>
    <row r="501" spans="1:19" hidden="1" x14ac:dyDescent="0.2">
      <c r="A501">
        <v>53</v>
      </c>
      <c r="B501" t="s">
        <v>21</v>
      </c>
      <c r="C501">
        <v>70</v>
      </c>
      <c r="D501">
        <v>2</v>
      </c>
      <c r="E501">
        <v>1018</v>
      </c>
      <c r="F501" t="b">
        <v>1</v>
      </c>
      <c r="G501">
        <v>59.671999999999997</v>
      </c>
      <c r="H501">
        <v>30</v>
      </c>
      <c r="I501">
        <v>8</v>
      </c>
      <c r="J501">
        <v>2.2799999999999998</v>
      </c>
      <c r="K501" t="s">
        <v>2148</v>
      </c>
      <c r="L501">
        <v>0</v>
      </c>
      <c r="N501" t="s">
        <v>2149</v>
      </c>
      <c r="O501" t="s">
        <v>2150</v>
      </c>
      <c r="P501" t="s">
        <v>20</v>
      </c>
      <c r="Q501">
        <f t="shared" si="21"/>
        <v>149.57999987527728</v>
      </c>
      <c r="R501">
        <f t="shared" si="22"/>
        <v>0.1340662287169862</v>
      </c>
      <c r="S501">
        <f t="shared" si="23"/>
        <v>0.50274835768869819</v>
      </c>
    </row>
    <row r="502" spans="1:19" x14ac:dyDescent="0.2">
      <c r="A502">
        <v>30</v>
      </c>
      <c r="B502" t="s">
        <v>25</v>
      </c>
      <c r="C502">
        <v>-1</v>
      </c>
      <c r="D502">
        <v>2</v>
      </c>
      <c r="E502">
        <v>1018</v>
      </c>
      <c r="F502" t="b">
        <v>1</v>
      </c>
      <c r="G502">
        <v>43.884</v>
      </c>
      <c r="H502">
        <v>33</v>
      </c>
      <c r="I502">
        <v>7</v>
      </c>
      <c r="J502">
        <v>6.18</v>
      </c>
      <c r="K502" t="s">
        <v>2079</v>
      </c>
      <c r="L502">
        <v>0</v>
      </c>
      <c r="N502" t="s">
        <v>2080</v>
      </c>
      <c r="O502" t="s">
        <v>2081</v>
      </c>
      <c r="P502" t="s">
        <v>20</v>
      </c>
      <c r="Q502">
        <f t="shared" si="21"/>
        <v>79.74000012036413</v>
      </c>
      <c r="R502">
        <f t="shared" si="22"/>
        <v>0.15951143924892899</v>
      </c>
      <c r="S502">
        <f t="shared" si="23"/>
        <v>0.7519824993163795</v>
      </c>
    </row>
    <row r="503" spans="1:19" x14ac:dyDescent="0.2">
      <c r="A503">
        <v>33</v>
      </c>
      <c r="B503" t="s">
        <v>25</v>
      </c>
      <c r="C503">
        <v>0</v>
      </c>
      <c r="D503">
        <v>2</v>
      </c>
      <c r="E503">
        <v>1018</v>
      </c>
      <c r="F503" t="b">
        <v>1</v>
      </c>
      <c r="G503">
        <v>65.364000000000004</v>
      </c>
      <c r="H503">
        <v>31</v>
      </c>
      <c r="I503">
        <v>1</v>
      </c>
      <c r="J503">
        <v>0.06</v>
      </c>
      <c r="K503" t="s">
        <v>2088</v>
      </c>
      <c r="L503">
        <v>0</v>
      </c>
      <c r="N503" t="s">
        <v>2089</v>
      </c>
      <c r="O503" t="s">
        <v>2090</v>
      </c>
      <c r="P503" t="s">
        <v>20</v>
      </c>
      <c r="Q503">
        <f t="shared" si="21"/>
        <v>213.09000039473176</v>
      </c>
      <c r="R503">
        <f t="shared" si="22"/>
        <v>1.5298941313261122E-2</v>
      </c>
      <c r="S503">
        <f t="shared" si="23"/>
        <v>0.47426718071109475</v>
      </c>
    </row>
    <row r="504" spans="1:19" x14ac:dyDescent="0.2">
      <c r="A504">
        <v>36</v>
      </c>
      <c r="B504" t="s">
        <v>25</v>
      </c>
      <c r="C504">
        <v>2</v>
      </c>
      <c r="D504">
        <v>2</v>
      </c>
      <c r="E504">
        <v>1018</v>
      </c>
      <c r="F504" t="b">
        <v>1</v>
      </c>
      <c r="G504">
        <v>50.231999999999999</v>
      </c>
      <c r="H504">
        <v>28</v>
      </c>
      <c r="I504">
        <v>1</v>
      </c>
      <c r="J504">
        <v>0.06</v>
      </c>
      <c r="K504" t="s">
        <v>2097</v>
      </c>
      <c r="L504">
        <v>0</v>
      </c>
      <c r="N504" t="s">
        <v>2098</v>
      </c>
      <c r="O504" t="s">
        <v>2099</v>
      </c>
      <c r="P504" t="s">
        <v>20</v>
      </c>
      <c r="Q504">
        <f t="shared" si="21"/>
        <v>126.56600028276443</v>
      </c>
      <c r="R504">
        <f t="shared" si="22"/>
        <v>1.9907628603280776E-2</v>
      </c>
      <c r="S504">
        <f t="shared" si="23"/>
        <v>0.55741360089186176</v>
      </c>
    </row>
    <row r="505" spans="1:19" x14ac:dyDescent="0.2">
      <c r="A505">
        <v>39</v>
      </c>
      <c r="B505" t="s">
        <v>25</v>
      </c>
      <c r="C505">
        <v>5</v>
      </c>
      <c r="D505">
        <v>2</v>
      </c>
      <c r="E505">
        <v>1018</v>
      </c>
      <c r="F505" t="b">
        <v>1</v>
      </c>
      <c r="G505">
        <v>48.463999999999999</v>
      </c>
      <c r="H505">
        <v>28</v>
      </c>
      <c r="I505">
        <v>1</v>
      </c>
      <c r="J505">
        <v>0.48</v>
      </c>
      <c r="K505" t="s">
        <v>2106</v>
      </c>
      <c r="L505">
        <v>0</v>
      </c>
      <c r="N505" t="s">
        <v>2107</v>
      </c>
      <c r="O505" t="s">
        <v>2108</v>
      </c>
      <c r="P505" t="s">
        <v>20</v>
      </c>
      <c r="Q505">
        <f t="shared" si="21"/>
        <v>114.11400020588189</v>
      </c>
      <c r="R505">
        <f t="shared" si="22"/>
        <v>2.0633872565203038E-2</v>
      </c>
      <c r="S505">
        <f t="shared" si="23"/>
        <v>0.57774843182568503</v>
      </c>
    </row>
    <row r="506" spans="1:19" hidden="1" x14ac:dyDescent="0.2">
      <c r="A506">
        <v>42</v>
      </c>
      <c r="B506" t="s">
        <v>25</v>
      </c>
      <c r="C506">
        <v>10</v>
      </c>
      <c r="D506">
        <v>2</v>
      </c>
      <c r="E506">
        <v>1018</v>
      </c>
      <c r="F506" t="b">
        <v>1</v>
      </c>
      <c r="G506">
        <v>31.172000000000001</v>
      </c>
      <c r="H506">
        <v>33</v>
      </c>
      <c r="I506">
        <v>1</v>
      </c>
      <c r="J506">
        <v>0.06</v>
      </c>
      <c r="K506" t="s">
        <v>2115</v>
      </c>
      <c r="L506">
        <v>0</v>
      </c>
      <c r="N506" t="s">
        <v>2116</v>
      </c>
      <c r="O506" t="s">
        <v>2117</v>
      </c>
      <c r="P506" t="s">
        <v>20</v>
      </c>
      <c r="Q506">
        <f t="shared" si="21"/>
        <v>74.989999481476843</v>
      </c>
      <c r="R506">
        <f t="shared" si="22"/>
        <v>3.2080071859360966E-2</v>
      </c>
      <c r="S506">
        <f t="shared" si="23"/>
        <v>1.0586423713589119</v>
      </c>
    </row>
    <row r="507" spans="1:19" hidden="1" x14ac:dyDescent="0.2">
      <c r="A507">
        <v>45</v>
      </c>
      <c r="B507" t="s">
        <v>25</v>
      </c>
      <c r="C507">
        <v>15</v>
      </c>
      <c r="D507">
        <v>2</v>
      </c>
      <c r="E507">
        <v>1018</v>
      </c>
      <c r="F507" t="b">
        <v>1</v>
      </c>
      <c r="G507">
        <v>49.88</v>
      </c>
      <c r="H507">
        <v>26</v>
      </c>
      <c r="I507">
        <v>5</v>
      </c>
      <c r="J507">
        <v>1.1399999999999999</v>
      </c>
      <c r="K507" t="s">
        <v>2124</v>
      </c>
      <c r="L507">
        <v>0</v>
      </c>
      <c r="N507" t="s">
        <v>2125</v>
      </c>
      <c r="O507" t="s">
        <v>2126</v>
      </c>
      <c r="P507" t="s">
        <v>20</v>
      </c>
      <c r="Q507">
        <f t="shared" si="21"/>
        <v>103.31000026781112</v>
      </c>
      <c r="R507">
        <f t="shared" si="22"/>
        <v>0.10024057738572574</v>
      </c>
      <c r="S507">
        <f t="shared" si="23"/>
        <v>0.52125100240577382</v>
      </c>
    </row>
    <row r="508" spans="1:19" hidden="1" x14ac:dyDescent="0.2">
      <c r="A508">
        <v>48</v>
      </c>
      <c r="B508" t="s">
        <v>25</v>
      </c>
      <c r="C508">
        <v>20</v>
      </c>
      <c r="D508">
        <v>2</v>
      </c>
      <c r="E508">
        <v>1018</v>
      </c>
      <c r="F508" t="b">
        <v>1</v>
      </c>
      <c r="G508">
        <v>31.6</v>
      </c>
      <c r="H508">
        <v>32</v>
      </c>
      <c r="I508">
        <v>1</v>
      </c>
      <c r="J508">
        <v>0.42</v>
      </c>
      <c r="K508" t="s">
        <v>2133</v>
      </c>
      <c r="L508">
        <v>0</v>
      </c>
      <c r="N508" t="s">
        <v>2134</v>
      </c>
      <c r="O508" t="s">
        <v>2135</v>
      </c>
      <c r="P508" t="s">
        <v>20</v>
      </c>
      <c r="Q508">
        <f t="shared" si="21"/>
        <v>74.131999583914876</v>
      </c>
      <c r="R508">
        <f t="shared" si="22"/>
        <v>3.164556962025316E-2</v>
      </c>
      <c r="S508">
        <f t="shared" si="23"/>
        <v>1.0126582278481011</v>
      </c>
    </row>
    <row r="509" spans="1:19" hidden="1" x14ac:dyDescent="0.2">
      <c r="A509">
        <v>51</v>
      </c>
      <c r="B509" t="s">
        <v>25</v>
      </c>
      <c r="C509">
        <v>50</v>
      </c>
      <c r="D509">
        <v>2</v>
      </c>
      <c r="E509">
        <v>1018</v>
      </c>
      <c r="F509" t="b">
        <v>1</v>
      </c>
      <c r="G509">
        <v>48</v>
      </c>
      <c r="H509">
        <v>28</v>
      </c>
      <c r="I509">
        <v>5</v>
      </c>
      <c r="J509">
        <v>2.1</v>
      </c>
      <c r="K509" t="s">
        <v>2142</v>
      </c>
      <c r="L509">
        <v>0</v>
      </c>
      <c r="N509" t="s">
        <v>2143</v>
      </c>
      <c r="O509" t="s">
        <v>2144</v>
      </c>
      <c r="P509" t="s">
        <v>20</v>
      </c>
      <c r="Q509">
        <f t="shared" si="21"/>
        <v>95.000999746844172</v>
      </c>
      <c r="R509">
        <f t="shared" si="22"/>
        <v>0.10416666666666667</v>
      </c>
      <c r="S509">
        <f t="shared" si="23"/>
        <v>0.58333333333333337</v>
      </c>
    </row>
    <row r="510" spans="1:19" hidden="1" x14ac:dyDescent="0.2">
      <c r="A510">
        <v>54</v>
      </c>
      <c r="B510" t="s">
        <v>25</v>
      </c>
      <c r="C510">
        <v>70</v>
      </c>
      <c r="D510">
        <v>2</v>
      </c>
      <c r="E510">
        <v>1018</v>
      </c>
      <c r="F510" t="b">
        <v>1</v>
      </c>
      <c r="G510">
        <v>41.256</v>
      </c>
      <c r="H510">
        <v>32</v>
      </c>
      <c r="I510">
        <v>8</v>
      </c>
      <c r="J510">
        <v>2.16</v>
      </c>
      <c r="K510" t="s">
        <v>2151</v>
      </c>
      <c r="L510">
        <v>0</v>
      </c>
      <c r="N510" t="s">
        <v>2152</v>
      </c>
      <c r="O510" t="s">
        <v>2153</v>
      </c>
      <c r="P510" t="s">
        <v>20</v>
      </c>
      <c r="Q510">
        <f t="shared" si="21"/>
        <v>117.100999946706</v>
      </c>
      <c r="R510">
        <f t="shared" si="22"/>
        <v>0.19391118867558657</v>
      </c>
      <c r="S510">
        <f t="shared" si="23"/>
        <v>0.77564475470234628</v>
      </c>
    </row>
    <row r="511" spans="1:19" x14ac:dyDescent="0.2">
      <c r="A511">
        <v>28</v>
      </c>
      <c r="B511" t="s">
        <v>16</v>
      </c>
      <c r="C511">
        <v>-1</v>
      </c>
      <c r="D511">
        <v>2</v>
      </c>
      <c r="E511">
        <v>1018</v>
      </c>
      <c r="F511" t="b">
        <v>1</v>
      </c>
      <c r="G511">
        <v>54.271999999999998</v>
      </c>
      <c r="H511">
        <v>27</v>
      </c>
      <c r="I511">
        <v>7</v>
      </c>
      <c r="J511">
        <v>5.82</v>
      </c>
      <c r="K511" t="s">
        <v>2073</v>
      </c>
      <c r="L511">
        <v>0</v>
      </c>
      <c r="N511" t="s">
        <v>2074</v>
      </c>
      <c r="O511" t="s">
        <v>2075</v>
      </c>
      <c r="P511" t="s">
        <v>20</v>
      </c>
      <c r="Q511">
        <f t="shared" si="21"/>
        <v>139.46899997536093</v>
      </c>
      <c r="R511">
        <f t="shared" si="22"/>
        <v>0.12897995283018868</v>
      </c>
      <c r="S511">
        <f t="shared" si="23"/>
        <v>0.49749410377358494</v>
      </c>
    </row>
    <row r="512" spans="1:19" x14ac:dyDescent="0.2">
      <c r="A512">
        <v>31</v>
      </c>
      <c r="B512" t="s">
        <v>16</v>
      </c>
      <c r="C512">
        <v>0</v>
      </c>
      <c r="D512">
        <v>2</v>
      </c>
      <c r="E512">
        <v>1018</v>
      </c>
      <c r="F512" t="b">
        <v>1</v>
      </c>
      <c r="G512">
        <v>60.512</v>
      </c>
      <c r="H512">
        <v>26</v>
      </c>
      <c r="I512">
        <v>2</v>
      </c>
      <c r="J512">
        <v>0.54</v>
      </c>
      <c r="K512" t="s">
        <v>2082</v>
      </c>
      <c r="L512">
        <v>0</v>
      </c>
      <c r="N512" t="s">
        <v>2083</v>
      </c>
      <c r="O512" t="s">
        <v>2084</v>
      </c>
      <c r="P512" t="s">
        <v>20</v>
      </c>
      <c r="Q512">
        <f t="shared" si="21"/>
        <v>221.08899957966059</v>
      </c>
      <c r="R512">
        <f t="shared" si="22"/>
        <v>3.3051295610787942E-2</v>
      </c>
      <c r="S512">
        <f t="shared" si="23"/>
        <v>0.42966684294024327</v>
      </c>
    </row>
    <row r="513" spans="1:19" x14ac:dyDescent="0.2">
      <c r="A513">
        <v>34</v>
      </c>
      <c r="B513" t="s">
        <v>16</v>
      </c>
      <c r="C513">
        <v>2</v>
      </c>
      <c r="D513">
        <v>2</v>
      </c>
      <c r="E513">
        <v>1018</v>
      </c>
      <c r="F513" t="b">
        <v>1</v>
      </c>
      <c r="G513">
        <v>51.612000000000002</v>
      </c>
      <c r="H513">
        <v>27</v>
      </c>
      <c r="I513">
        <v>0</v>
      </c>
      <c r="J513">
        <v>0</v>
      </c>
      <c r="K513" t="s">
        <v>2091</v>
      </c>
      <c r="L513">
        <v>0</v>
      </c>
      <c r="N513" t="s">
        <v>2092</v>
      </c>
      <c r="O513" t="s">
        <v>2093</v>
      </c>
      <c r="P513" t="s">
        <v>20</v>
      </c>
      <c r="Q513">
        <f t="shared" si="21"/>
        <v>108.9859998319298</v>
      </c>
      <c r="R513">
        <f t="shared" si="22"/>
        <v>0</v>
      </c>
      <c r="S513">
        <f t="shared" si="23"/>
        <v>0.52313415484770986</v>
      </c>
    </row>
    <row r="514" spans="1:19" x14ac:dyDescent="0.2">
      <c r="A514">
        <v>37</v>
      </c>
      <c r="B514" t="s">
        <v>16</v>
      </c>
      <c r="C514">
        <v>5</v>
      </c>
      <c r="D514">
        <v>2</v>
      </c>
      <c r="E514">
        <v>1018</v>
      </c>
      <c r="F514" t="b">
        <v>1</v>
      </c>
      <c r="G514">
        <v>59.472000000000001</v>
      </c>
      <c r="H514">
        <v>29</v>
      </c>
      <c r="I514">
        <v>0</v>
      </c>
      <c r="J514">
        <v>0</v>
      </c>
      <c r="K514" t="s">
        <v>2100</v>
      </c>
      <c r="L514">
        <v>0</v>
      </c>
      <c r="N514" t="s">
        <v>2101</v>
      </c>
      <c r="O514" t="s">
        <v>2102</v>
      </c>
      <c r="P514" t="s">
        <v>20</v>
      </c>
      <c r="Q514">
        <f t="shared" ref="Q514:Q577" si="24">(VALUE(LEFT(SUBSTITUTE(O514,"T"," "),23)) - VALUE(LEFT(SUBSTITUTE(N514,"T"," "),23))) * 86400</f>
        <v>198.5400001052767</v>
      </c>
      <c r="R514">
        <f t="shared" ref="R514:R577" si="25">I514/G514</f>
        <v>0</v>
      </c>
      <c r="S514">
        <f t="shared" ref="S514:S577" si="26">H514/G514</f>
        <v>0.48762442830239439</v>
      </c>
    </row>
    <row r="515" spans="1:19" hidden="1" x14ac:dyDescent="0.2">
      <c r="A515">
        <v>40</v>
      </c>
      <c r="B515" t="s">
        <v>16</v>
      </c>
      <c r="C515">
        <v>10</v>
      </c>
      <c r="D515">
        <v>2</v>
      </c>
      <c r="E515">
        <v>1018</v>
      </c>
      <c r="F515" t="b">
        <v>1</v>
      </c>
      <c r="G515">
        <v>80.391999999999996</v>
      </c>
      <c r="H515">
        <v>25</v>
      </c>
      <c r="I515">
        <v>3</v>
      </c>
      <c r="J515">
        <v>0.66</v>
      </c>
      <c r="K515" t="s">
        <v>2109</v>
      </c>
      <c r="L515">
        <v>0</v>
      </c>
      <c r="N515" t="s">
        <v>2110</v>
      </c>
      <c r="O515" t="s">
        <v>2111</v>
      </c>
      <c r="P515" t="s">
        <v>20</v>
      </c>
      <c r="Q515">
        <f t="shared" si="24"/>
        <v>232.14100033510476</v>
      </c>
      <c r="R515">
        <f t="shared" si="25"/>
        <v>3.7317145984675094E-2</v>
      </c>
      <c r="S515">
        <f t="shared" si="26"/>
        <v>0.31097621653895913</v>
      </c>
    </row>
    <row r="516" spans="1:19" hidden="1" x14ac:dyDescent="0.2">
      <c r="A516">
        <v>43</v>
      </c>
      <c r="B516" t="s">
        <v>16</v>
      </c>
      <c r="C516">
        <v>15</v>
      </c>
      <c r="D516">
        <v>2</v>
      </c>
      <c r="E516">
        <v>1018</v>
      </c>
      <c r="F516" t="b">
        <v>1</v>
      </c>
      <c r="G516">
        <v>39.968000000000004</v>
      </c>
      <c r="H516">
        <v>26</v>
      </c>
      <c r="I516">
        <v>12</v>
      </c>
      <c r="J516">
        <v>2.58</v>
      </c>
      <c r="K516" t="s">
        <v>2118</v>
      </c>
      <c r="L516">
        <v>0</v>
      </c>
      <c r="N516" t="s">
        <v>2119</v>
      </c>
      <c r="O516" t="s">
        <v>2120</v>
      </c>
      <c r="P516" t="s">
        <v>20</v>
      </c>
      <c r="Q516">
        <f t="shared" si="24"/>
        <v>232.25100024137646</v>
      </c>
      <c r="R516">
        <f t="shared" si="25"/>
        <v>0.30024019215372294</v>
      </c>
      <c r="S516">
        <f t="shared" si="26"/>
        <v>0.65052041633306634</v>
      </c>
    </row>
    <row r="517" spans="1:19" hidden="1" x14ac:dyDescent="0.2">
      <c r="A517">
        <v>46</v>
      </c>
      <c r="B517" t="s">
        <v>16</v>
      </c>
      <c r="C517">
        <v>20</v>
      </c>
      <c r="D517">
        <v>2</v>
      </c>
      <c r="E517">
        <v>1018</v>
      </c>
      <c r="F517" t="b">
        <v>1</v>
      </c>
      <c r="G517">
        <v>86.16</v>
      </c>
      <c r="H517">
        <v>25</v>
      </c>
      <c r="I517">
        <v>9</v>
      </c>
      <c r="J517">
        <v>1.98</v>
      </c>
      <c r="K517" t="s">
        <v>2127</v>
      </c>
      <c r="L517">
        <v>0</v>
      </c>
      <c r="N517" t="s">
        <v>2128</v>
      </c>
      <c r="O517" t="s">
        <v>2129</v>
      </c>
      <c r="P517" t="s">
        <v>20</v>
      </c>
      <c r="Q517">
        <f t="shared" si="24"/>
        <v>227.23299977369606</v>
      </c>
      <c r="R517">
        <f t="shared" si="25"/>
        <v>0.10445682451253482</v>
      </c>
      <c r="S517">
        <f t="shared" si="26"/>
        <v>0.2901578458681523</v>
      </c>
    </row>
    <row r="518" spans="1:19" hidden="1" x14ac:dyDescent="0.2">
      <c r="A518">
        <v>49</v>
      </c>
      <c r="B518" t="s">
        <v>16</v>
      </c>
      <c r="C518">
        <v>50</v>
      </c>
      <c r="D518">
        <v>2</v>
      </c>
      <c r="E518">
        <v>1018</v>
      </c>
      <c r="F518" t="b">
        <v>1</v>
      </c>
      <c r="G518">
        <v>76.900000000000006</v>
      </c>
      <c r="H518">
        <v>29</v>
      </c>
      <c r="I518">
        <v>4</v>
      </c>
      <c r="J518">
        <v>0.78</v>
      </c>
      <c r="K518" t="s">
        <v>2136</v>
      </c>
      <c r="L518">
        <v>0</v>
      </c>
      <c r="N518" t="s">
        <v>2137</v>
      </c>
      <c r="O518" t="s">
        <v>2138</v>
      </c>
      <c r="P518" t="s">
        <v>20</v>
      </c>
      <c r="Q518">
        <f t="shared" si="24"/>
        <v>243.85199972894043</v>
      </c>
      <c r="R518">
        <f t="shared" si="25"/>
        <v>5.2015604681404419E-2</v>
      </c>
      <c r="S518">
        <f t="shared" si="26"/>
        <v>0.37711313394018203</v>
      </c>
    </row>
    <row r="519" spans="1:19" hidden="1" x14ac:dyDescent="0.2">
      <c r="A519">
        <v>52</v>
      </c>
      <c r="B519" t="s">
        <v>16</v>
      </c>
      <c r="C519">
        <v>70</v>
      </c>
      <c r="D519">
        <v>2</v>
      </c>
      <c r="E519">
        <v>1018</v>
      </c>
      <c r="F519" t="b">
        <v>1</v>
      </c>
      <c r="G519">
        <v>74.06</v>
      </c>
      <c r="H519">
        <v>30</v>
      </c>
      <c r="I519">
        <v>7</v>
      </c>
      <c r="J519">
        <v>1.1399999999999999</v>
      </c>
      <c r="K519" t="s">
        <v>2145</v>
      </c>
      <c r="L519">
        <v>0</v>
      </c>
      <c r="N519" t="s">
        <v>2146</v>
      </c>
      <c r="O519" t="s">
        <v>2147</v>
      </c>
      <c r="P519" t="s">
        <v>20</v>
      </c>
      <c r="Q519">
        <f t="shared" si="24"/>
        <v>181.51799992192537</v>
      </c>
      <c r="R519">
        <f t="shared" si="25"/>
        <v>9.4517958412098299E-2</v>
      </c>
      <c r="S519">
        <f t="shared" si="26"/>
        <v>0.40507696462327841</v>
      </c>
    </row>
    <row r="520" spans="1:19" x14ac:dyDescent="0.2">
      <c r="A520">
        <v>56</v>
      </c>
      <c r="B520" t="s">
        <v>21</v>
      </c>
      <c r="C520">
        <v>-1</v>
      </c>
      <c r="D520">
        <v>3</v>
      </c>
      <c r="E520">
        <v>1019</v>
      </c>
      <c r="F520" t="b">
        <v>1</v>
      </c>
      <c r="G520">
        <v>70.436000000000007</v>
      </c>
      <c r="H520">
        <v>23</v>
      </c>
      <c r="I520">
        <v>7</v>
      </c>
      <c r="J520">
        <v>5.0999999999999996</v>
      </c>
      <c r="K520" t="s">
        <v>2157</v>
      </c>
      <c r="L520">
        <v>0</v>
      </c>
      <c r="N520" t="s">
        <v>2158</v>
      </c>
      <c r="O520" t="s">
        <v>2159</v>
      </c>
      <c r="P520" t="s">
        <v>20</v>
      </c>
      <c r="Q520">
        <f t="shared" si="24"/>
        <v>174.16199978906661</v>
      </c>
      <c r="R520">
        <f t="shared" si="25"/>
        <v>9.9380998353114869E-2</v>
      </c>
      <c r="S520">
        <f t="shared" si="26"/>
        <v>0.32653756601737743</v>
      </c>
    </row>
    <row r="521" spans="1:19" x14ac:dyDescent="0.2">
      <c r="A521">
        <v>59</v>
      </c>
      <c r="B521" t="s">
        <v>21</v>
      </c>
      <c r="C521">
        <v>0</v>
      </c>
      <c r="D521">
        <v>3</v>
      </c>
      <c r="E521">
        <v>1019</v>
      </c>
      <c r="F521" t="b">
        <v>1</v>
      </c>
      <c r="G521">
        <v>92.671999999999997</v>
      </c>
      <c r="H521">
        <v>21</v>
      </c>
      <c r="I521">
        <v>2</v>
      </c>
      <c r="J521">
        <v>1.2</v>
      </c>
      <c r="K521" t="s">
        <v>2166</v>
      </c>
      <c r="L521">
        <v>0</v>
      </c>
      <c r="N521" t="s">
        <v>2167</v>
      </c>
      <c r="O521" t="s">
        <v>2168</v>
      </c>
      <c r="P521" t="s">
        <v>20</v>
      </c>
      <c r="Q521">
        <f t="shared" si="24"/>
        <v>268.11299957334995</v>
      </c>
      <c r="R521">
        <f t="shared" si="25"/>
        <v>2.1581491712707183E-2</v>
      </c>
      <c r="S521">
        <f t="shared" si="26"/>
        <v>0.22660566298342541</v>
      </c>
    </row>
    <row r="522" spans="1:19" x14ac:dyDescent="0.2">
      <c r="A522">
        <v>62</v>
      </c>
      <c r="B522" t="s">
        <v>21</v>
      </c>
      <c r="C522">
        <v>2</v>
      </c>
      <c r="D522">
        <v>3</v>
      </c>
      <c r="E522">
        <v>1019</v>
      </c>
      <c r="F522" t="b">
        <v>1</v>
      </c>
      <c r="G522">
        <v>59.264000000000003</v>
      </c>
      <c r="H522">
        <v>24</v>
      </c>
      <c r="I522">
        <v>1</v>
      </c>
      <c r="J522">
        <v>0.12</v>
      </c>
      <c r="K522" t="s">
        <v>2175</v>
      </c>
      <c r="L522">
        <v>0</v>
      </c>
      <c r="N522" t="s">
        <v>2176</v>
      </c>
      <c r="O522" t="s">
        <v>2177</v>
      </c>
      <c r="P522" t="s">
        <v>20</v>
      </c>
      <c r="Q522">
        <f t="shared" si="24"/>
        <v>144.7699996875599</v>
      </c>
      <c r="R522">
        <f t="shared" si="25"/>
        <v>1.6873650107991359E-2</v>
      </c>
      <c r="S522">
        <f t="shared" si="26"/>
        <v>0.40496760259179265</v>
      </c>
    </row>
    <row r="523" spans="1:19" x14ac:dyDescent="0.2">
      <c r="A523">
        <v>65</v>
      </c>
      <c r="B523" t="s">
        <v>21</v>
      </c>
      <c r="C523">
        <v>5</v>
      </c>
      <c r="D523">
        <v>3</v>
      </c>
      <c r="E523">
        <v>1019</v>
      </c>
      <c r="F523" t="b">
        <v>1</v>
      </c>
      <c r="G523">
        <v>67.88</v>
      </c>
      <c r="H523">
        <v>27</v>
      </c>
      <c r="I523">
        <v>4</v>
      </c>
      <c r="J523">
        <v>0.78</v>
      </c>
      <c r="K523" t="s">
        <v>2184</v>
      </c>
      <c r="L523">
        <v>0</v>
      </c>
      <c r="N523" t="s">
        <v>2185</v>
      </c>
      <c r="O523" t="s">
        <v>2186</v>
      </c>
      <c r="P523" t="s">
        <v>20</v>
      </c>
      <c r="Q523">
        <f t="shared" si="24"/>
        <v>165.46999993734062</v>
      </c>
      <c r="R523">
        <f t="shared" si="25"/>
        <v>5.892751915144373E-2</v>
      </c>
      <c r="S523">
        <f t="shared" si="26"/>
        <v>0.39776075427224517</v>
      </c>
    </row>
    <row r="524" spans="1:19" hidden="1" x14ac:dyDescent="0.2">
      <c r="A524">
        <v>68</v>
      </c>
      <c r="B524" t="s">
        <v>21</v>
      </c>
      <c r="C524">
        <v>10</v>
      </c>
      <c r="D524">
        <v>3</v>
      </c>
      <c r="E524">
        <v>1019</v>
      </c>
      <c r="F524" t="b">
        <v>1</v>
      </c>
      <c r="G524">
        <v>82.908000000000001</v>
      </c>
      <c r="H524">
        <v>24</v>
      </c>
      <c r="I524">
        <v>13</v>
      </c>
      <c r="J524">
        <v>2.52</v>
      </c>
      <c r="K524" t="s">
        <v>2193</v>
      </c>
      <c r="L524">
        <v>0</v>
      </c>
      <c r="N524" t="s">
        <v>2194</v>
      </c>
      <c r="O524" t="s">
        <v>2195</v>
      </c>
      <c r="P524" t="s">
        <v>20</v>
      </c>
      <c r="Q524">
        <f t="shared" si="24"/>
        <v>220.35899951588362</v>
      </c>
      <c r="R524">
        <f t="shared" si="25"/>
        <v>0.15680030877599266</v>
      </c>
      <c r="S524">
        <f t="shared" si="26"/>
        <v>0.28947749312490956</v>
      </c>
    </row>
    <row r="525" spans="1:19" hidden="1" x14ac:dyDescent="0.2">
      <c r="A525">
        <v>71</v>
      </c>
      <c r="B525" t="s">
        <v>21</v>
      </c>
      <c r="C525">
        <v>15</v>
      </c>
      <c r="D525">
        <v>3</v>
      </c>
      <c r="E525">
        <v>1019</v>
      </c>
      <c r="F525" t="b">
        <v>1</v>
      </c>
      <c r="G525">
        <v>104.836</v>
      </c>
      <c r="H525">
        <v>29</v>
      </c>
      <c r="I525">
        <v>8</v>
      </c>
      <c r="J525">
        <v>2.4</v>
      </c>
      <c r="K525" t="s">
        <v>2202</v>
      </c>
      <c r="L525">
        <v>0</v>
      </c>
      <c r="N525" t="s">
        <v>2203</v>
      </c>
      <c r="O525" t="s">
        <v>2204</v>
      </c>
      <c r="P525" t="s">
        <v>20</v>
      </c>
      <c r="Q525">
        <f t="shared" si="24"/>
        <v>294.43499960470945</v>
      </c>
      <c r="R525">
        <f t="shared" si="25"/>
        <v>7.6309664619023998E-2</v>
      </c>
      <c r="S525">
        <f t="shared" si="26"/>
        <v>0.27662253424396199</v>
      </c>
    </row>
    <row r="526" spans="1:19" hidden="1" x14ac:dyDescent="0.2">
      <c r="A526">
        <v>74</v>
      </c>
      <c r="B526" t="s">
        <v>21</v>
      </c>
      <c r="C526">
        <v>20</v>
      </c>
      <c r="D526">
        <v>3</v>
      </c>
      <c r="E526">
        <v>1019</v>
      </c>
      <c r="F526" t="b">
        <v>1</v>
      </c>
      <c r="G526">
        <v>122.11199999999999</v>
      </c>
      <c r="H526">
        <v>24</v>
      </c>
      <c r="I526">
        <v>9</v>
      </c>
      <c r="J526">
        <v>2.1</v>
      </c>
      <c r="K526" t="s">
        <v>2211</v>
      </c>
      <c r="L526">
        <v>0</v>
      </c>
      <c r="N526" t="s">
        <v>2212</v>
      </c>
      <c r="O526" t="s">
        <v>2213</v>
      </c>
      <c r="P526" t="s">
        <v>20</v>
      </c>
      <c r="Q526">
        <f t="shared" si="24"/>
        <v>224.17499986477196</v>
      </c>
      <c r="R526">
        <f t="shared" si="25"/>
        <v>7.370283018867925E-2</v>
      </c>
      <c r="S526">
        <f t="shared" si="26"/>
        <v>0.19654088050314467</v>
      </c>
    </row>
    <row r="527" spans="1:19" hidden="1" x14ac:dyDescent="0.2">
      <c r="A527">
        <v>77</v>
      </c>
      <c r="B527" t="s">
        <v>21</v>
      </c>
      <c r="C527">
        <v>50</v>
      </c>
      <c r="D527">
        <v>3</v>
      </c>
      <c r="E527">
        <v>1019</v>
      </c>
      <c r="F527" t="b">
        <v>1</v>
      </c>
      <c r="G527">
        <v>60.944000000000003</v>
      </c>
      <c r="H527">
        <v>25</v>
      </c>
      <c r="I527">
        <v>10</v>
      </c>
      <c r="J527">
        <v>1.92</v>
      </c>
      <c r="K527" t="s">
        <v>2220</v>
      </c>
      <c r="L527">
        <v>0</v>
      </c>
      <c r="N527" t="s">
        <v>2221</v>
      </c>
      <c r="O527" t="s">
        <v>2222</v>
      </c>
      <c r="P527" t="s">
        <v>20</v>
      </c>
      <c r="Q527">
        <f t="shared" si="24"/>
        <v>169.58999997004867</v>
      </c>
      <c r="R527">
        <f t="shared" si="25"/>
        <v>0.16408506169598319</v>
      </c>
      <c r="S527">
        <f t="shared" si="26"/>
        <v>0.41021265423995795</v>
      </c>
    </row>
    <row r="528" spans="1:19" hidden="1" x14ac:dyDescent="0.2">
      <c r="A528">
        <v>80</v>
      </c>
      <c r="B528" t="s">
        <v>21</v>
      </c>
      <c r="C528">
        <v>70</v>
      </c>
      <c r="D528">
        <v>3</v>
      </c>
      <c r="E528">
        <v>1019</v>
      </c>
      <c r="F528" t="b">
        <v>1</v>
      </c>
      <c r="G528">
        <v>42.756</v>
      </c>
      <c r="H528">
        <v>25</v>
      </c>
      <c r="I528">
        <v>4</v>
      </c>
      <c r="J528">
        <v>1.2</v>
      </c>
      <c r="K528" t="s">
        <v>2229</v>
      </c>
      <c r="L528">
        <v>0</v>
      </c>
      <c r="N528" t="s">
        <v>2230</v>
      </c>
      <c r="O528" t="s">
        <v>2231</v>
      </c>
      <c r="P528" t="s">
        <v>20</v>
      </c>
      <c r="Q528">
        <f t="shared" si="24"/>
        <v>94.646000163629651</v>
      </c>
      <c r="R528">
        <f t="shared" si="25"/>
        <v>9.3554121059032644E-2</v>
      </c>
      <c r="S528">
        <f t="shared" si="26"/>
        <v>0.58471325661895401</v>
      </c>
    </row>
    <row r="529" spans="1:19" x14ac:dyDescent="0.2">
      <c r="A529">
        <v>57</v>
      </c>
      <c r="B529" t="s">
        <v>25</v>
      </c>
      <c r="C529">
        <v>-1</v>
      </c>
      <c r="D529">
        <v>3</v>
      </c>
      <c r="E529">
        <v>1019</v>
      </c>
      <c r="F529" t="b">
        <v>1</v>
      </c>
      <c r="G529">
        <v>49.875999999999998</v>
      </c>
      <c r="H529">
        <v>29</v>
      </c>
      <c r="I529">
        <v>5</v>
      </c>
      <c r="J529">
        <v>4.74</v>
      </c>
      <c r="K529" t="s">
        <v>2160</v>
      </c>
      <c r="L529">
        <v>0</v>
      </c>
      <c r="N529" t="s">
        <v>2161</v>
      </c>
      <c r="O529" t="s">
        <v>2162</v>
      </c>
      <c r="P529" t="s">
        <v>20</v>
      </c>
      <c r="Q529">
        <f t="shared" si="24"/>
        <v>129.17299994733185</v>
      </c>
      <c r="R529">
        <f t="shared" si="25"/>
        <v>0.10024861656909136</v>
      </c>
      <c r="S529">
        <f t="shared" si="26"/>
        <v>0.58144197610072978</v>
      </c>
    </row>
    <row r="530" spans="1:19" x14ac:dyDescent="0.2">
      <c r="A530">
        <v>60</v>
      </c>
      <c r="B530" t="s">
        <v>25</v>
      </c>
      <c r="C530">
        <v>0</v>
      </c>
      <c r="D530">
        <v>3</v>
      </c>
      <c r="E530">
        <v>1019</v>
      </c>
      <c r="F530" t="b">
        <v>1</v>
      </c>
      <c r="G530">
        <v>50.08</v>
      </c>
      <c r="H530">
        <v>26</v>
      </c>
      <c r="I530">
        <v>1</v>
      </c>
      <c r="J530">
        <v>0.12</v>
      </c>
      <c r="K530" t="s">
        <v>2169</v>
      </c>
      <c r="L530">
        <v>0</v>
      </c>
      <c r="N530" t="s">
        <v>2170</v>
      </c>
      <c r="O530" t="s">
        <v>2171</v>
      </c>
      <c r="P530" t="s">
        <v>20</v>
      </c>
      <c r="Q530">
        <f t="shared" si="24"/>
        <v>135.16900003887713</v>
      </c>
      <c r="R530">
        <f t="shared" si="25"/>
        <v>1.9968051118210862E-2</v>
      </c>
      <c r="S530">
        <f t="shared" si="26"/>
        <v>0.51916932907348246</v>
      </c>
    </row>
    <row r="531" spans="1:19" x14ac:dyDescent="0.2">
      <c r="A531">
        <v>63</v>
      </c>
      <c r="B531" t="s">
        <v>25</v>
      </c>
      <c r="C531">
        <v>2</v>
      </c>
      <c r="D531">
        <v>3</v>
      </c>
      <c r="E531">
        <v>1019</v>
      </c>
      <c r="F531" t="b">
        <v>1</v>
      </c>
      <c r="G531">
        <v>57.323999999999998</v>
      </c>
      <c r="H531">
        <v>25</v>
      </c>
      <c r="I531">
        <v>1</v>
      </c>
      <c r="J531">
        <v>0.06</v>
      </c>
      <c r="K531" t="s">
        <v>2178</v>
      </c>
      <c r="L531">
        <v>0</v>
      </c>
      <c r="N531" t="s">
        <v>2179</v>
      </c>
      <c r="O531" t="s">
        <v>2180</v>
      </c>
      <c r="P531" t="s">
        <v>20</v>
      </c>
      <c r="Q531">
        <f t="shared" si="24"/>
        <v>101.51999979279935</v>
      </c>
      <c r="R531">
        <f t="shared" si="25"/>
        <v>1.7444700300048847E-2</v>
      </c>
      <c r="S531">
        <f t="shared" si="26"/>
        <v>0.43611750750122114</v>
      </c>
    </row>
    <row r="532" spans="1:19" x14ac:dyDescent="0.2">
      <c r="A532">
        <v>66</v>
      </c>
      <c r="B532" t="s">
        <v>25</v>
      </c>
      <c r="C532">
        <v>5</v>
      </c>
      <c r="D532">
        <v>3</v>
      </c>
      <c r="E532">
        <v>1019</v>
      </c>
      <c r="F532" t="b">
        <v>1</v>
      </c>
      <c r="G532">
        <v>49.408000000000001</v>
      </c>
      <c r="H532">
        <v>26</v>
      </c>
      <c r="I532">
        <v>2</v>
      </c>
      <c r="J532">
        <v>0.3</v>
      </c>
      <c r="K532" t="s">
        <v>2187</v>
      </c>
      <c r="L532">
        <v>0</v>
      </c>
      <c r="N532" t="s">
        <v>2188</v>
      </c>
      <c r="O532" t="s">
        <v>2189</v>
      </c>
      <c r="P532" t="s">
        <v>20</v>
      </c>
      <c r="Q532">
        <f t="shared" si="24"/>
        <v>168.20500006433576</v>
      </c>
      <c r="R532">
        <f t="shared" si="25"/>
        <v>4.0479274611398962E-2</v>
      </c>
      <c r="S532">
        <f t="shared" si="26"/>
        <v>0.52623056994818651</v>
      </c>
    </row>
    <row r="533" spans="1:19" hidden="1" x14ac:dyDescent="0.2">
      <c r="A533">
        <v>69</v>
      </c>
      <c r="B533" t="s">
        <v>25</v>
      </c>
      <c r="C533">
        <v>10</v>
      </c>
      <c r="D533">
        <v>3</v>
      </c>
      <c r="E533">
        <v>1019</v>
      </c>
      <c r="F533" t="b">
        <v>1</v>
      </c>
      <c r="G533">
        <v>58.756</v>
      </c>
      <c r="H533">
        <v>27</v>
      </c>
      <c r="I533">
        <v>4</v>
      </c>
      <c r="J533">
        <v>1.44</v>
      </c>
      <c r="K533" t="s">
        <v>2196</v>
      </c>
      <c r="L533">
        <v>0</v>
      </c>
      <c r="N533" t="s">
        <v>2197</v>
      </c>
      <c r="O533" t="s">
        <v>2198</v>
      </c>
      <c r="P533" t="s">
        <v>20</v>
      </c>
      <c r="Q533">
        <f t="shared" si="24"/>
        <v>200.06599954795092</v>
      </c>
      <c r="R533">
        <f t="shared" si="25"/>
        <v>6.8078153720471102E-2</v>
      </c>
      <c r="S533">
        <f t="shared" si="26"/>
        <v>0.45952753761317994</v>
      </c>
    </row>
    <row r="534" spans="1:19" hidden="1" x14ac:dyDescent="0.2">
      <c r="A534">
        <v>72</v>
      </c>
      <c r="B534" t="s">
        <v>25</v>
      </c>
      <c r="C534">
        <v>15</v>
      </c>
      <c r="D534">
        <v>3</v>
      </c>
      <c r="E534">
        <v>1019</v>
      </c>
      <c r="F534" t="b">
        <v>1</v>
      </c>
      <c r="G534">
        <v>58.171999999999997</v>
      </c>
      <c r="H534">
        <v>26</v>
      </c>
      <c r="I534">
        <v>10</v>
      </c>
      <c r="J534">
        <v>1.38</v>
      </c>
      <c r="K534" t="s">
        <v>2205</v>
      </c>
      <c r="L534">
        <v>0</v>
      </c>
      <c r="N534" t="s">
        <v>2206</v>
      </c>
      <c r="O534" t="s">
        <v>2207</v>
      </c>
      <c r="P534" t="s">
        <v>20</v>
      </c>
      <c r="Q534">
        <f t="shared" si="24"/>
        <v>132.19900005497038</v>
      </c>
      <c r="R534">
        <f t="shared" si="25"/>
        <v>0.17190400880148526</v>
      </c>
      <c r="S534">
        <f t="shared" si="26"/>
        <v>0.44695042288386166</v>
      </c>
    </row>
    <row r="535" spans="1:19" hidden="1" x14ac:dyDescent="0.2">
      <c r="A535">
        <v>75</v>
      </c>
      <c r="B535" t="s">
        <v>25</v>
      </c>
      <c r="C535">
        <v>20</v>
      </c>
      <c r="D535">
        <v>3</v>
      </c>
      <c r="E535">
        <v>1019</v>
      </c>
      <c r="F535" t="b">
        <v>1</v>
      </c>
      <c r="G535">
        <v>46.9</v>
      </c>
      <c r="H535">
        <v>31</v>
      </c>
      <c r="I535">
        <v>2</v>
      </c>
      <c r="J535">
        <v>0.78</v>
      </c>
      <c r="K535" t="s">
        <v>2214</v>
      </c>
      <c r="L535">
        <v>0</v>
      </c>
      <c r="N535" t="s">
        <v>2215</v>
      </c>
      <c r="O535" t="s">
        <v>2216</v>
      </c>
      <c r="P535" t="s">
        <v>20</v>
      </c>
      <c r="Q535">
        <f t="shared" si="24"/>
        <v>101.18800036143512</v>
      </c>
      <c r="R535">
        <f t="shared" si="25"/>
        <v>4.2643923240938165E-2</v>
      </c>
      <c r="S535">
        <f t="shared" si="26"/>
        <v>0.66098081023454158</v>
      </c>
    </row>
    <row r="536" spans="1:19" hidden="1" x14ac:dyDescent="0.2">
      <c r="A536">
        <v>78</v>
      </c>
      <c r="B536" t="s">
        <v>25</v>
      </c>
      <c r="C536">
        <v>50</v>
      </c>
      <c r="D536">
        <v>3</v>
      </c>
      <c r="E536">
        <v>1019</v>
      </c>
      <c r="F536" t="b">
        <v>1</v>
      </c>
      <c r="G536">
        <v>51.384</v>
      </c>
      <c r="H536">
        <v>26</v>
      </c>
      <c r="I536">
        <v>6</v>
      </c>
      <c r="J536">
        <v>0.66</v>
      </c>
      <c r="K536" t="s">
        <v>2223</v>
      </c>
      <c r="L536">
        <v>0</v>
      </c>
      <c r="N536" t="s">
        <v>2224</v>
      </c>
      <c r="O536" t="s">
        <v>2225</v>
      </c>
      <c r="P536" t="s">
        <v>20</v>
      </c>
      <c r="Q536">
        <f t="shared" si="24"/>
        <v>89.000000059604645</v>
      </c>
      <c r="R536">
        <f t="shared" si="25"/>
        <v>0.11676786548341896</v>
      </c>
      <c r="S536">
        <f t="shared" si="26"/>
        <v>0.50599408376148214</v>
      </c>
    </row>
    <row r="537" spans="1:19" hidden="1" x14ac:dyDescent="0.2">
      <c r="A537">
        <v>81</v>
      </c>
      <c r="B537" t="s">
        <v>25</v>
      </c>
      <c r="C537">
        <v>70</v>
      </c>
      <c r="D537">
        <v>3</v>
      </c>
      <c r="E537">
        <v>1019</v>
      </c>
      <c r="F537" t="b">
        <v>1</v>
      </c>
      <c r="G537">
        <v>56.4</v>
      </c>
      <c r="H537">
        <v>24</v>
      </c>
      <c r="I537">
        <v>3</v>
      </c>
      <c r="J537">
        <v>1.02</v>
      </c>
      <c r="K537" t="s">
        <v>2232</v>
      </c>
      <c r="L537">
        <v>0</v>
      </c>
      <c r="N537" t="s">
        <v>2233</v>
      </c>
      <c r="O537" t="s">
        <v>2234</v>
      </c>
      <c r="P537" t="s">
        <v>20</v>
      </c>
      <c r="Q537">
        <f t="shared" si="24"/>
        <v>80.536000127904117</v>
      </c>
      <c r="R537">
        <f t="shared" si="25"/>
        <v>5.3191489361702128E-2</v>
      </c>
      <c r="S537">
        <f t="shared" si="26"/>
        <v>0.42553191489361702</v>
      </c>
    </row>
    <row r="538" spans="1:19" x14ac:dyDescent="0.2">
      <c r="A538">
        <v>55</v>
      </c>
      <c r="B538" t="s">
        <v>16</v>
      </c>
      <c r="C538">
        <v>-1</v>
      </c>
      <c r="D538">
        <v>3</v>
      </c>
      <c r="E538">
        <v>1019</v>
      </c>
      <c r="F538" t="b">
        <v>1</v>
      </c>
      <c r="G538">
        <v>34.276000000000003</v>
      </c>
      <c r="H538">
        <v>25</v>
      </c>
      <c r="I538">
        <v>7</v>
      </c>
      <c r="J538">
        <v>10.32</v>
      </c>
      <c r="K538" t="s">
        <v>2154</v>
      </c>
      <c r="L538">
        <v>0</v>
      </c>
      <c r="N538" t="s">
        <v>2155</v>
      </c>
      <c r="O538" t="s">
        <v>2156</v>
      </c>
      <c r="P538" t="s">
        <v>20</v>
      </c>
      <c r="Q538">
        <f t="shared" si="24"/>
        <v>103.92999979667366</v>
      </c>
      <c r="R538">
        <f t="shared" si="25"/>
        <v>0.20422453028358034</v>
      </c>
      <c r="S538">
        <f t="shared" si="26"/>
        <v>0.72937332244135833</v>
      </c>
    </row>
    <row r="539" spans="1:19" x14ac:dyDescent="0.2">
      <c r="A539">
        <v>58</v>
      </c>
      <c r="B539" t="s">
        <v>16</v>
      </c>
      <c r="C539">
        <v>0</v>
      </c>
      <c r="D539">
        <v>3</v>
      </c>
      <c r="E539">
        <v>1019</v>
      </c>
      <c r="F539" t="b">
        <v>1</v>
      </c>
      <c r="G539">
        <v>70.951999999999998</v>
      </c>
      <c r="H539">
        <v>25</v>
      </c>
      <c r="I539">
        <v>4</v>
      </c>
      <c r="J539">
        <v>1.02</v>
      </c>
      <c r="K539" t="s">
        <v>2163</v>
      </c>
      <c r="L539">
        <v>0</v>
      </c>
      <c r="N539" t="s">
        <v>2164</v>
      </c>
      <c r="O539" t="s">
        <v>2165</v>
      </c>
      <c r="P539" t="s">
        <v>20</v>
      </c>
      <c r="Q539">
        <f t="shared" si="24"/>
        <v>216.2449998781085</v>
      </c>
      <c r="R539">
        <f t="shared" si="25"/>
        <v>5.6376141616867742E-2</v>
      </c>
      <c r="S539">
        <f t="shared" si="26"/>
        <v>0.35235088510542339</v>
      </c>
    </row>
    <row r="540" spans="1:19" x14ac:dyDescent="0.2">
      <c r="A540">
        <v>61</v>
      </c>
      <c r="B540" t="s">
        <v>16</v>
      </c>
      <c r="C540">
        <v>2</v>
      </c>
      <c r="D540">
        <v>3</v>
      </c>
      <c r="E540">
        <v>1019</v>
      </c>
      <c r="F540" t="b">
        <v>1</v>
      </c>
      <c r="G540">
        <v>97.02</v>
      </c>
      <c r="H540">
        <v>24</v>
      </c>
      <c r="I540">
        <v>1</v>
      </c>
      <c r="J540">
        <v>0.06</v>
      </c>
      <c r="K540" t="s">
        <v>2172</v>
      </c>
      <c r="L540">
        <v>0</v>
      </c>
      <c r="N540" t="s">
        <v>2173</v>
      </c>
      <c r="O540" t="s">
        <v>2174</v>
      </c>
      <c r="P540" t="s">
        <v>20</v>
      </c>
      <c r="Q540">
        <f t="shared" si="24"/>
        <v>230.4399999557063</v>
      </c>
      <c r="R540">
        <f t="shared" si="25"/>
        <v>1.0307153164296022E-2</v>
      </c>
      <c r="S540">
        <f t="shared" si="26"/>
        <v>0.24737167594310452</v>
      </c>
    </row>
    <row r="541" spans="1:19" x14ac:dyDescent="0.2">
      <c r="A541">
        <v>64</v>
      </c>
      <c r="B541" t="s">
        <v>16</v>
      </c>
      <c r="C541">
        <v>5</v>
      </c>
      <c r="D541">
        <v>3</v>
      </c>
      <c r="E541">
        <v>1019</v>
      </c>
      <c r="F541" t="b">
        <v>1</v>
      </c>
      <c r="G541">
        <v>99.691999999999993</v>
      </c>
      <c r="H541">
        <v>24</v>
      </c>
      <c r="I541">
        <v>6</v>
      </c>
      <c r="J541">
        <v>2.88</v>
      </c>
      <c r="K541" t="s">
        <v>2181</v>
      </c>
      <c r="L541">
        <v>0</v>
      </c>
      <c r="N541" t="s">
        <v>2182</v>
      </c>
      <c r="O541" t="s">
        <v>2183</v>
      </c>
      <c r="P541" t="s">
        <v>20</v>
      </c>
      <c r="Q541">
        <f t="shared" si="24"/>
        <v>218.91000000759959</v>
      </c>
      <c r="R541">
        <f t="shared" si="25"/>
        <v>6.0185370942502911E-2</v>
      </c>
      <c r="S541">
        <f t="shared" si="26"/>
        <v>0.24074148377001164</v>
      </c>
    </row>
    <row r="542" spans="1:19" hidden="1" x14ac:dyDescent="0.2">
      <c r="A542">
        <v>67</v>
      </c>
      <c r="B542" t="s">
        <v>16</v>
      </c>
      <c r="C542">
        <v>10</v>
      </c>
      <c r="D542">
        <v>3</v>
      </c>
      <c r="E542">
        <v>1019</v>
      </c>
      <c r="F542" t="b">
        <v>1</v>
      </c>
      <c r="G542">
        <v>73.599999999999994</v>
      </c>
      <c r="H542">
        <v>26</v>
      </c>
      <c r="I542">
        <v>4</v>
      </c>
      <c r="J542">
        <v>1.74</v>
      </c>
      <c r="K542" t="s">
        <v>2190</v>
      </c>
      <c r="L542">
        <v>0</v>
      </c>
      <c r="N542" t="s">
        <v>2191</v>
      </c>
      <c r="O542" t="s">
        <v>2192</v>
      </c>
      <c r="P542" t="s">
        <v>20</v>
      </c>
      <c r="Q542">
        <f t="shared" si="24"/>
        <v>149.571000225842</v>
      </c>
      <c r="R542">
        <f t="shared" si="25"/>
        <v>5.4347826086956527E-2</v>
      </c>
      <c r="S542">
        <f t="shared" si="26"/>
        <v>0.35326086956521741</v>
      </c>
    </row>
    <row r="543" spans="1:19" hidden="1" x14ac:dyDescent="0.2">
      <c r="A543">
        <v>70</v>
      </c>
      <c r="B543" t="s">
        <v>16</v>
      </c>
      <c r="C543">
        <v>15</v>
      </c>
      <c r="D543">
        <v>3</v>
      </c>
      <c r="E543">
        <v>1019</v>
      </c>
      <c r="F543" t="b">
        <v>1</v>
      </c>
      <c r="G543">
        <v>60.204000000000001</v>
      </c>
      <c r="H543">
        <v>23</v>
      </c>
      <c r="I543">
        <v>5</v>
      </c>
      <c r="J543">
        <v>0.66</v>
      </c>
      <c r="K543" t="s">
        <v>2199</v>
      </c>
      <c r="L543">
        <v>0</v>
      </c>
      <c r="N543" t="s">
        <v>2200</v>
      </c>
      <c r="O543" t="s">
        <v>2201</v>
      </c>
      <c r="P543" t="s">
        <v>20</v>
      </c>
      <c r="Q543">
        <f t="shared" si="24"/>
        <v>217.94200020376593</v>
      </c>
      <c r="R543">
        <f t="shared" si="25"/>
        <v>8.3050960069098401E-2</v>
      </c>
      <c r="S543">
        <f t="shared" si="26"/>
        <v>0.38203441631785262</v>
      </c>
    </row>
    <row r="544" spans="1:19" hidden="1" x14ac:dyDescent="0.2">
      <c r="A544">
        <v>73</v>
      </c>
      <c r="B544" t="s">
        <v>16</v>
      </c>
      <c r="C544">
        <v>20</v>
      </c>
      <c r="D544">
        <v>3</v>
      </c>
      <c r="E544">
        <v>1019</v>
      </c>
      <c r="F544" t="b">
        <v>1</v>
      </c>
      <c r="G544">
        <v>56.832000000000001</v>
      </c>
      <c r="H544">
        <v>25</v>
      </c>
      <c r="I544">
        <v>4</v>
      </c>
      <c r="J544">
        <v>0.66</v>
      </c>
      <c r="K544" t="s">
        <v>2208</v>
      </c>
      <c r="L544">
        <v>0</v>
      </c>
      <c r="N544" t="s">
        <v>2209</v>
      </c>
      <c r="O544" t="s">
        <v>2210</v>
      </c>
      <c r="P544" t="s">
        <v>20</v>
      </c>
      <c r="Q544">
        <f t="shared" si="24"/>
        <v>183.93799974583089</v>
      </c>
      <c r="R544">
        <f t="shared" si="25"/>
        <v>7.0382882882882886E-2</v>
      </c>
      <c r="S544">
        <f t="shared" si="26"/>
        <v>0.439893018018018</v>
      </c>
    </row>
    <row r="545" spans="1:19" hidden="1" x14ac:dyDescent="0.2">
      <c r="A545">
        <v>76</v>
      </c>
      <c r="B545" t="s">
        <v>16</v>
      </c>
      <c r="C545">
        <v>50</v>
      </c>
      <c r="D545">
        <v>3</v>
      </c>
      <c r="E545">
        <v>1019</v>
      </c>
      <c r="F545" t="b">
        <v>1</v>
      </c>
      <c r="G545">
        <v>80.396000000000001</v>
      </c>
      <c r="H545">
        <v>25</v>
      </c>
      <c r="I545">
        <v>10</v>
      </c>
      <c r="J545">
        <v>1.56</v>
      </c>
      <c r="K545" t="s">
        <v>2217</v>
      </c>
      <c r="L545">
        <v>0</v>
      </c>
      <c r="N545" t="s">
        <v>2218</v>
      </c>
      <c r="O545" t="s">
        <v>2219</v>
      </c>
      <c r="P545" t="s">
        <v>20</v>
      </c>
      <c r="Q545">
        <f t="shared" si="24"/>
        <v>137.24899969529361</v>
      </c>
      <c r="R545">
        <f t="shared" si="25"/>
        <v>0.12438429772625503</v>
      </c>
      <c r="S545">
        <f t="shared" si="26"/>
        <v>0.31096074431563758</v>
      </c>
    </row>
    <row r="546" spans="1:19" hidden="1" x14ac:dyDescent="0.2">
      <c r="A546">
        <v>79</v>
      </c>
      <c r="B546" t="s">
        <v>16</v>
      </c>
      <c r="C546">
        <v>70</v>
      </c>
      <c r="D546">
        <v>3</v>
      </c>
      <c r="E546">
        <v>1019</v>
      </c>
      <c r="F546" t="b">
        <v>1</v>
      </c>
      <c r="G546">
        <v>63.567999999999998</v>
      </c>
      <c r="H546">
        <v>23</v>
      </c>
      <c r="I546">
        <v>5</v>
      </c>
      <c r="J546">
        <v>0.84</v>
      </c>
      <c r="K546" t="s">
        <v>2226</v>
      </c>
      <c r="L546">
        <v>0</v>
      </c>
      <c r="N546" t="s">
        <v>2227</v>
      </c>
      <c r="O546" t="s">
        <v>2228</v>
      </c>
      <c r="P546" t="s">
        <v>20</v>
      </c>
      <c r="Q546">
        <f t="shared" si="24"/>
        <v>122.04099968075752</v>
      </c>
      <c r="R546">
        <f t="shared" si="25"/>
        <v>7.8655927510697207E-2</v>
      </c>
      <c r="S546">
        <f t="shared" si="26"/>
        <v>0.36181726654920715</v>
      </c>
    </row>
    <row r="547" spans="1:19" x14ac:dyDescent="0.2">
      <c r="A547">
        <v>2</v>
      </c>
      <c r="B547" t="s">
        <v>21</v>
      </c>
      <c r="C547">
        <v>-1</v>
      </c>
      <c r="D547">
        <v>1</v>
      </c>
      <c r="E547">
        <v>1020</v>
      </c>
      <c r="F547" t="b">
        <v>1</v>
      </c>
      <c r="G547">
        <v>73.668000000000006</v>
      </c>
      <c r="H547">
        <v>28</v>
      </c>
      <c r="I547">
        <v>8</v>
      </c>
      <c r="J547">
        <v>9.84</v>
      </c>
      <c r="K547" t="s">
        <v>203</v>
      </c>
      <c r="L547">
        <v>0</v>
      </c>
      <c r="N547" t="s">
        <v>204</v>
      </c>
      <c r="O547" t="s">
        <v>205</v>
      </c>
      <c r="P547" t="s">
        <v>20</v>
      </c>
      <c r="Q547">
        <f t="shared" si="24"/>
        <v>298.78299955744296</v>
      </c>
      <c r="R547">
        <f t="shared" si="25"/>
        <v>0.10859531954172774</v>
      </c>
      <c r="S547">
        <f t="shared" si="26"/>
        <v>0.3800836183960471</v>
      </c>
    </row>
    <row r="548" spans="1:19" x14ac:dyDescent="0.2">
      <c r="A548">
        <v>5</v>
      </c>
      <c r="B548" t="s">
        <v>21</v>
      </c>
      <c r="C548">
        <v>0</v>
      </c>
      <c r="D548">
        <v>1</v>
      </c>
      <c r="E548">
        <v>1020</v>
      </c>
      <c r="F548" t="b">
        <v>1</v>
      </c>
      <c r="G548">
        <v>73.524000000000001</v>
      </c>
      <c r="H548">
        <v>23</v>
      </c>
      <c r="I548">
        <v>2</v>
      </c>
      <c r="J548">
        <v>1.92</v>
      </c>
      <c r="K548" t="s">
        <v>212</v>
      </c>
      <c r="L548">
        <v>0</v>
      </c>
      <c r="N548" t="s">
        <v>213</v>
      </c>
      <c r="O548" t="s">
        <v>214</v>
      </c>
      <c r="P548" t="s">
        <v>20</v>
      </c>
      <c r="Q548">
        <f t="shared" si="24"/>
        <v>390.11500014457852</v>
      </c>
      <c r="R548">
        <f t="shared" si="25"/>
        <v>2.7202002067352158E-2</v>
      </c>
      <c r="S548">
        <f t="shared" si="26"/>
        <v>0.31282302377454979</v>
      </c>
    </row>
    <row r="549" spans="1:19" x14ac:dyDescent="0.2">
      <c r="A549">
        <v>8</v>
      </c>
      <c r="B549" t="s">
        <v>21</v>
      </c>
      <c r="C549">
        <v>2</v>
      </c>
      <c r="D549">
        <v>1</v>
      </c>
      <c r="E549">
        <v>1020</v>
      </c>
      <c r="F549" t="b">
        <v>1</v>
      </c>
      <c r="G549">
        <v>75.084000000000003</v>
      </c>
      <c r="H549">
        <v>23</v>
      </c>
      <c r="I549">
        <v>3</v>
      </c>
      <c r="J549">
        <v>2.04</v>
      </c>
      <c r="K549" t="s">
        <v>221</v>
      </c>
      <c r="L549">
        <v>0</v>
      </c>
      <c r="N549" t="s">
        <v>222</v>
      </c>
      <c r="O549" t="s">
        <v>223</v>
      </c>
      <c r="P549" t="s">
        <v>20</v>
      </c>
      <c r="Q549">
        <f t="shared" si="24"/>
        <v>291.96200016885996</v>
      </c>
      <c r="R549">
        <f t="shared" si="25"/>
        <v>3.9955250119865747E-2</v>
      </c>
      <c r="S549">
        <f t="shared" si="26"/>
        <v>0.30632358425230405</v>
      </c>
    </row>
    <row r="550" spans="1:19" x14ac:dyDescent="0.2">
      <c r="A550">
        <v>11</v>
      </c>
      <c r="B550" t="s">
        <v>21</v>
      </c>
      <c r="C550">
        <v>5</v>
      </c>
      <c r="D550">
        <v>1</v>
      </c>
      <c r="E550">
        <v>1020</v>
      </c>
      <c r="F550" t="b">
        <v>1</v>
      </c>
      <c r="G550">
        <v>75.48</v>
      </c>
      <c r="H550">
        <v>23</v>
      </c>
      <c r="I550">
        <v>4</v>
      </c>
      <c r="J550">
        <v>2.2200000000000002</v>
      </c>
      <c r="K550" t="s">
        <v>230</v>
      </c>
      <c r="L550">
        <v>0</v>
      </c>
      <c r="N550" t="s">
        <v>231</v>
      </c>
      <c r="O550" t="s">
        <v>232</v>
      </c>
      <c r="P550" t="s">
        <v>20</v>
      </c>
      <c r="Q550">
        <f t="shared" si="24"/>
        <v>343.37100014090538</v>
      </c>
      <c r="R550">
        <f t="shared" si="25"/>
        <v>5.2994170641229459E-2</v>
      </c>
      <c r="S550">
        <f t="shared" si="26"/>
        <v>0.3047164811870694</v>
      </c>
    </row>
    <row r="551" spans="1:19" hidden="1" x14ac:dyDescent="0.2">
      <c r="A551">
        <v>14</v>
      </c>
      <c r="B551" t="s">
        <v>21</v>
      </c>
      <c r="C551">
        <v>10</v>
      </c>
      <c r="D551">
        <v>1</v>
      </c>
      <c r="E551">
        <v>1020</v>
      </c>
      <c r="F551" t="b">
        <v>1</v>
      </c>
      <c r="G551">
        <v>95.471999999999994</v>
      </c>
      <c r="H551">
        <v>23</v>
      </c>
      <c r="I551">
        <v>6</v>
      </c>
      <c r="J551">
        <v>3.18</v>
      </c>
      <c r="K551" t="s">
        <v>239</v>
      </c>
      <c r="L551">
        <v>0</v>
      </c>
      <c r="N551" t="s">
        <v>240</v>
      </c>
      <c r="O551" t="s">
        <v>241</v>
      </c>
      <c r="P551" t="s">
        <v>20</v>
      </c>
      <c r="Q551">
        <f t="shared" si="24"/>
        <v>438.76199978403747</v>
      </c>
      <c r="R551">
        <f t="shared" si="25"/>
        <v>6.2845651080945197E-2</v>
      </c>
      <c r="S551">
        <f t="shared" si="26"/>
        <v>0.24090832914362328</v>
      </c>
    </row>
    <row r="552" spans="1:19" hidden="1" x14ac:dyDescent="0.2">
      <c r="A552">
        <v>17</v>
      </c>
      <c r="B552" t="s">
        <v>21</v>
      </c>
      <c r="C552">
        <v>15</v>
      </c>
      <c r="D552">
        <v>1</v>
      </c>
      <c r="E552">
        <v>1020</v>
      </c>
      <c r="F552" t="b">
        <v>1</v>
      </c>
      <c r="G552">
        <v>68.024000000000001</v>
      </c>
      <c r="H552">
        <v>24</v>
      </c>
      <c r="I552">
        <v>5</v>
      </c>
      <c r="J552">
        <v>2.2200000000000002</v>
      </c>
      <c r="K552" t="s">
        <v>248</v>
      </c>
      <c r="L552">
        <v>0</v>
      </c>
      <c r="N552" t="s">
        <v>249</v>
      </c>
      <c r="O552" t="s">
        <v>250</v>
      </c>
      <c r="P552" t="s">
        <v>20</v>
      </c>
      <c r="Q552">
        <f t="shared" si="24"/>
        <v>318.1400001514703</v>
      </c>
      <c r="R552">
        <f t="shared" si="25"/>
        <v>7.3503469363753973E-2</v>
      </c>
      <c r="S552">
        <f t="shared" si="26"/>
        <v>0.35281665294601905</v>
      </c>
    </row>
    <row r="553" spans="1:19" hidden="1" x14ac:dyDescent="0.2">
      <c r="A553">
        <v>20</v>
      </c>
      <c r="B553" t="s">
        <v>21</v>
      </c>
      <c r="C553">
        <v>20</v>
      </c>
      <c r="D553">
        <v>1</v>
      </c>
      <c r="E553">
        <v>1020</v>
      </c>
      <c r="F553" t="b">
        <v>1</v>
      </c>
      <c r="G553">
        <v>55.723999999999997</v>
      </c>
      <c r="H553">
        <v>23</v>
      </c>
      <c r="I553">
        <v>6</v>
      </c>
      <c r="J553">
        <v>2.2799999999999998</v>
      </c>
      <c r="K553" t="s">
        <v>257</v>
      </c>
      <c r="L553">
        <v>0</v>
      </c>
      <c r="N553" t="s">
        <v>258</v>
      </c>
      <c r="O553" t="s">
        <v>259</v>
      </c>
      <c r="P553" t="s">
        <v>20</v>
      </c>
      <c r="Q553">
        <f t="shared" si="24"/>
        <v>262.27799991611391</v>
      </c>
      <c r="R553">
        <f t="shared" si="25"/>
        <v>0.10767353384538081</v>
      </c>
      <c r="S553">
        <f t="shared" si="26"/>
        <v>0.41274854640729314</v>
      </c>
    </row>
    <row r="554" spans="1:19" hidden="1" x14ac:dyDescent="0.2">
      <c r="A554">
        <v>23</v>
      </c>
      <c r="B554" t="s">
        <v>21</v>
      </c>
      <c r="C554">
        <v>50</v>
      </c>
      <c r="D554">
        <v>1</v>
      </c>
      <c r="E554">
        <v>1020</v>
      </c>
      <c r="F554" t="b">
        <v>1</v>
      </c>
      <c r="G554">
        <v>91.644000000000005</v>
      </c>
      <c r="H554">
        <v>24</v>
      </c>
      <c r="I554">
        <v>11</v>
      </c>
      <c r="J554">
        <v>3.3</v>
      </c>
      <c r="K554" t="s">
        <v>266</v>
      </c>
      <c r="L554">
        <v>0</v>
      </c>
      <c r="N554" t="s">
        <v>267</v>
      </c>
      <c r="O554" t="s">
        <v>268</v>
      </c>
      <c r="P554" t="s">
        <v>20</v>
      </c>
      <c r="Q554">
        <f t="shared" si="24"/>
        <v>402.92099963407964</v>
      </c>
      <c r="R554">
        <f t="shared" si="25"/>
        <v>0.12002968006634367</v>
      </c>
      <c r="S554">
        <f t="shared" si="26"/>
        <v>0.261882938326568</v>
      </c>
    </row>
    <row r="555" spans="1:19" hidden="1" x14ac:dyDescent="0.2">
      <c r="A555">
        <v>26</v>
      </c>
      <c r="B555" t="s">
        <v>21</v>
      </c>
      <c r="C555">
        <v>70</v>
      </c>
      <c r="D555">
        <v>1</v>
      </c>
      <c r="E555">
        <v>1020</v>
      </c>
      <c r="F555" t="b">
        <v>1</v>
      </c>
      <c r="G555">
        <v>80.536000000000001</v>
      </c>
      <c r="H555">
        <v>26</v>
      </c>
      <c r="I555">
        <v>15</v>
      </c>
      <c r="J555">
        <v>4.4400000000000004</v>
      </c>
      <c r="K555" t="s">
        <v>275</v>
      </c>
      <c r="L555">
        <v>0</v>
      </c>
      <c r="N555" t="s">
        <v>276</v>
      </c>
      <c r="O555" t="s">
        <v>277</v>
      </c>
      <c r="P555" t="s">
        <v>20</v>
      </c>
      <c r="Q555">
        <f t="shared" si="24"/>
        <v>316.08099967706949</v>
      </c>
      <c r="R555">
        <f t="shared" si="25"/>
        <v>0.18625211085725638</v>
      </c>
      <c r="S555">
        <f t="shared" si="26"/>
        <v>0.32283699215257772</v>
      </c>
    </row>
    <row r="556" spans="1:19" hidden="1" x14ac:dyDescent="0.2">
      <c r="A556">
        <v>29</v>
      </c>
      <c r="B556" t="s">
        <v>21</v>
      </c>
      <c r="C556">
        <v>100</v>
      </c>
      <c r="D556">
        <v>1</v>
      </c>
      <c r="E556">
        <v>1020</v>
      </c>
      <c r="F556" t="b">
        <v>1</v>
      </c>
      <c r="G556">
        <v>60.595999999999997</v>
      </c>
      <c r="H556">
        <v>23</v>
      </c>
      <c r="I556">
        <v>6</v>
      </c>
      <c r="J556">
        <v>2.76</v>
      </c>
      <c r="K556" t="s">
        <v>284</v>
      </c>
      <c r="L556">
        <v>0</v>
      </c>
      <c r="N556" t="s">
        <v>285</v>
      </c>
      <c r="O556" t="s">
        <v>286</v>
      </c>
      <c r="P556" t="s">
        <v>20</v>
      </c>
      <c r="Q556">
        <f t="shared" si="24"/>
        <v>123.39300024323165</v>
      </c>
      <c r="R556">
        <f t="shared" si="25"/>
        <v>9.9016436728496943E-2</v>
      </c>
      <c r="S556">
        <f t="shared" si="26"/>
        <v>0.37956300745923827</v>
      </c>
    </row>
    <row r="557" spans="1:19" x14ac:dyDescent="0.2">
      <c r="A557">
        <v>3</v>
      </c>
      <c r="B557" t="s">
        <v>25</v>
      </c>
      <c r="C557">
        <v>-1</v>
      </c>
      <c r="D557">
        <v>1</v>
      </c>
      <c r="E557">
        <v>1020</v>
      </c>
      <c r="F557" t="b">
        <v>1</v>
      </c>
      <c r="G557">
        <v>38.304000000000002</v>
      </c>
      <c r="H557">
        <v>33</v>
      </c>
      <c r="I557">
        <v>4</v>
      </c>
      <c r="J557">
        <v>5.82</v>
      </c>
      <c r="K557" t="s">
        <v>206</v>
      </c>
      <c r="L557">
        <v>0</v>
      </c>
      <c r="N557" t="s">
        <v>207</v>
      </c>
      <c r="O557" t="s">
        <v>208</v>
      </c>
      <c r="P557" t="s">
        <v>20</v>
      </c>
      <c r="Q557">
        <f t="shared" si="24"/>
        <v>167.99399990122765</v>
      </c>
      <c r="R557">
        <f t="shared" si="25"/>
        <v>0.10442773600668337</v>
      </c>
      <c r="S557">
        <f t="shared" si="26"/>
        <v>0.86152882205513781</v>
      </c>
    </row>
    <row r="558" spans="1:19" x14ac:dyDescent="0.2">
      <c r="A558">
        <v>6</v>
      </c>
      <c r="B558" t="s">
        <v>25</v>
      </c>
      <c r="C558">
        <v>0</v>
      </c>
      <c r="D558">
        <v>1</v>
      </c>
      <c r="E558">
        <v>1020</v>
      </c>
      <c r="F558" t="b">
        <v>1</v>
      </c>
      <c r="G558">
        <v>58.44</v>
      </c>
      <c r="H558">
        <v>30</v>
      </c>
      <c r="I558">
        <v>1</v>
      </c>
      <c r="J558">
        <v>0.78</v>
      </c>
      <c r="K558" t="s">
        <v>215</v>
      </c>
      <c r="L558">
        <v>0</v>
      </c>
      <c r="N558" t="s">
        <v>216</v>
      </c>
      <c r="O558" t="s">
        <v>217</v>
      </c>
      <c r="P558" t="s">
        <v>20</v>
      </c>
      <c r="Q558">
        <f t="shared" si="24"/>
        <v>218.24099966324866</v>
      </c>
      <c r="R558">
        <f t="shared" si="25"/>
        <v>1.7111567419575632E-2</v>
      </c>
      <c r="S558">
        <f t="shared" si="26"/>
        <v>0.51334702258726905</v>
      </c>
    </row>
    <row r="559" spans="1:19" x14ac:dyDescent="0.2">
      <c r="A559">
        <v>9</v>
      </c>
      <c r="B559" t="s">
        <v>25</v>
      </c>
      <c r="C559">
        <v>2</v>
      </c>
      <c r="D559">
        <v>1</v>
      </c>
      <c r="E559">
        <v>1020</v>
      </c>
      <c r="F559" t="b">
        <v>1</v>
      </c>
      <c r="G559">
        <v>41.06</v>
      </c>
      <c r="H559">
        <v>31</v>
      </c>
      <c r="I559">
        <v>0</v>
      </c>
      <c r="J559">
        <v>0</v>
      </c>
      <c r="K559" t="s">
        <v>224</v>
      </c>
      <c r="L559">
        <v>0</v>
      </c>
      <c r="N559" t="s">
        <v>225</v>
      </c>
      <c r="O559" t="s">
        <v>226</v>
      </c>
      <c r="P559" t="s">
        <v>20</v>
      </c>
      <c r="Q559">
        <f t="shared" si="24"/>
        <v>203.1990003073588</v>
      </c>
      <c r="R559">
        <f t="shared" si="25"/>
        <v>0</v>
      </c>
      <c r="S559">
        <f t="shared" si="26"/>
        <v>0.75499269361909394</v>
      </c>
    </row>
    <row r="560" spans="1:19" x14ac:dyDescent="0.2">
      <c r="A560">
        <v>12</v>
      </c>
      <c r="B560" t="s">
        <v>25</v>
      </c>
      <c r="C560">
        <v>5</v>
      </c>
      <c r="D560">
        <v>1</v>
      </c>
      <c r="E560">
        <v>1020</v>
      </c>
      <c r="F560" t="b">
        <v>1</v>
      </c>
      <c r="G560">
        <v>55.076000000000001</v>
      </c>
      <c r="H560">
        <v>31</v>
      </c>
      <c r="I560">
        <v>0</v>
      </c>
      <c r="J560">
        <v>0</v>
      </c>
      <c r="K560" t="s">
        <v>233</v>
      </c>
      <c r="L560">
        <v>0</v>
      </c>
      <c r="N560" t="s">
        <v>234</v>
      </c>
      <c r="O560" t="s">
        <v>235</v>
      </c>
      <c r="P560" t="s">
        <v>20</v>
      </c>
      <c r="Q560">
        <f t="shared" si="24"/>
        <v>285.83700007293373</v>
      </c>
      <c r="R560">
        <f t="shared" si="25"/>
        <v>0</v>
      </c>
      <c r="S560">
        <f t="shared" si="26"/>
        <v>0.56285859539545358</v>
      </c>
    </row>
    <row r="561" spans="1:19" hidden="1" x14ac:dyDescent="0.2">
      <c r="A561">
        <v>15</v>
      </c>
      <c r="B561" t="s">
        <v>25</v>
      </c>
      <c r="C561">
        <v>10</v>
      </c>
      <c r="D561">
        <v>1</v>
      </c>
      <c r="E561">
        <v>1020</v>
      </c>
      <c r="F561" t="b">
        <v>1</v>
      </c>
      <c r="G561">
        <v>42.872</v>
      </c>
      <c r="H561">
        <v>28</v>
      </c>
      <c r="I561">
        <v>2</v>
      </c>
      <c r="J561">
        <v>0.3</v>
      </c>
      <c r="K561" t="s">
        <v>242</v>
      </c>
      <c r="L561">
        <v>0</v>
      </c>
      <c r="N561" t="s">
        <v>243</v>
      </c>
      <c r="O561" t="s">
        <v>244</v>
      </c>
      <c r="P561" t="s">
        <v>20</v>
      </c>
      <c r="Q561">
        <f t="shared" si="24"/>
        <v>197.85100012086332</v>
      </c>
      <c r="R561">
        <f t="shared" si="25"/>
        <v>4.6650494495241647E-2</v>
      </c>
      <c r="S561">
        <f t="shared" si="26"/>
        <v>0.65310692293338313</v>
      </c>
    </row>
    <row r="562" spans="1:19" hidden="1" x14ac:dyDescent="0.2">
      <c r="A562">
        <v>18</v>
      </c>
      <c r="B562" t="s">
        <v>25</v>
      </c>
      <c r="C562">
        <v>15</v>
      </c>
      <c r="D562">
        <v>1</v>
      </c>
      <c r="E562">
        <v>1020</v>
      </c>
      <c r="F562" t="b">
        <v>1</v>
      </c>
      <c r="G562">
        <v>60.323999999999998</v>
      </c>
      <c r="H562">
        <v>30</v>
      </c>
      <c r="I562">
        <v>3</v>
      </c>
      <c r="J562">
        <v>0.48</v>
      </c>
      <c r="K562" t="s">
        <v>251</v>
      </c>
      <c r="L562">
        <v>0</v>
      </c>
      <c r="N562" t="s">
        <v>252</v>
      </c>
      <c r="O562" t="s">
        <v>253</v>
      </c>
      <c r="P562" t="s">
        <v>20</v>
      </c>
      <c r="Q562">
        <f t="shared" si="24"/>
        <v>265.00899998936802</v>
      </c>
      <c r="R562">
        <f t="shared" si="25"/>
        <v>4.9731450169086935E-2</v>
      </c>
      <c r="S562">
        <f t="shared" si="26"/>
        <v>0.49731450169086933</v>
      </c>
    </row>
    <row r="563" spans="1:19" hidden="1" x14ac:dyDescent="0.2">
      <c r="A563">
        <v>21</v>
      </c>
      <c r="B563" t="s">
        <v>25</v>
      </c>
      <c r="C563">
        <v>20</v>
      </c>
      <c r="D563">
        <v>1</v>
      </c>
      <c r="E563">
        <v>1020</v>
      </c>
      <c r="F563" t="b">
        <v>1</v>
      </c>
      <c r="G563">
        <v>44.244</v>
      </c>
      <c r="H563">
        <v>30</v>
      </c>
      <c r="I563">
        <v>2</v>
      </c>
      <c r="J563">
        <v>0.3</v>
      </c>
      <c r="K563" t="s">
        <v>260</v>
      </c>
      <c r="L563">
        <v>0</v>
      </c>
      <c r="N563" t="s">
        <v>261</v>
      </c>
      <c r="O563" t="s">
        <v>262</v>
      </c>
      <c r="P563" t="s">
        <v>20</v>
      </c>
      <c r="Q563">
        <f t="shared" si="24"/>
        <v>177.28500009980053</v>
      </c>
      <c r="R563">
        <f t="shared" si="25"/>
        <v>4.5203869451225023E-2</v>
      </c>
      <c r="S563">
        <f t="shared" si="26"/>
        <v>0.67805804176837536</v>
      </c>
    </row>
    <row r="564" spans="1:19" hidden="1" x14ac:dyDescent="0.2">
      <c r="A564">
        <v>24</v>
      </c>
      <c r="B564" t="s">
        <v>25</v>
      </c>
      <c r="C564">
        <v>50</v>
      </c>
      <c r="D564">
        <v>1</v>
      </c>
      <c r="E564">
        <v>1020</v>
      </c>
      <c r="F564" t="b">
        <v>1</v>
      </c>
      <c r="G564">
        <v>47.212000000000003</v>
      </c>
      <c r="H564">
        <v>31</v>
      </c>
      <c r="I564">
        <v>5</v>
      </c>
      <c r="J564">
        <v>1.74</v>
      </c>
      <c r="K564" t="s">
        <v>269</v>
      </c>
      <c r="L564">
        <v>0</v>
      </c>
      <c r="N564" t="s">
        <v>270</v>
      </c>
      <c r="O564" t="s">
        <v>271</v>
      </c>
      <c r="P564" t="s">
        <v>20</v>
      </c>
      <c r="Q564">
        <f t="shared" si="24"/>
        <v>166.53000034857541</v>
      </c>
      <c r="R564">
        <f t="shared" si="25"/>
        <v>0.10590527831907141</v>
      </c>
      <c r="S564">
        <f t="shared" si="26"/>
        <v>0.6566127255782428</v>
      </c>
    </row>
    <row r="565" spans="1:19" hidden="1" x14ac:dyDescent="0.2">
      <c r="A565">
        <v>27</v>
      </c>
      <c r="B565" t="s">
        <v>25</v>
      </c>
      <c r="C565">
        <v>70</v>
      </c>
      <c r="D565">
        <v>1</v>
      </c>
      <c r="E565">
        <v>1020</v>
      </c>
      <c r="F565" t="b">
        <v>1</v>
      </c>
      <c r="G565">
        <v>48.103999999999999</v>
      </c>
      <c r="H565">
        <v>26</v>
      </c>
      <c r="I565">
        <v>7</v>
      </c>
      <c r="J565">
        <v>1.56</v>
      </c>
      <c r="K565" t="s">
        <v>278</v>
      </c>
      <c r="L565">
        <v>0</v>
      </c>
      <c r="N565" t="s">
        <v>279</v>
      </c>
      <c r="O565" t="s">
        <v>280</v>
      </c>
      <c r="P565" t="s">
        <v>20</v>
      </c>
      <c r="Q565">
        <f t="shared" si="24"/>
        <v>133.63800037186593</v>
      </c>
      <c r="R565">
        <f t="shared" si="25"/>
        <v>0.14551804423748546</v>
      </c>
      <c r="S565">
        <f t="shared" si="26"/>
        <v>0.54049559288208882</v>
      </c>
    </row>
    <row r="566" spans="1:19" hidden="1" x14ac:dyDescent="0.2">
      <c r="A566">
        <v>30</v>
      </c>
      <c r="B566" t="s">
        <v>25</v>
      </c>
      <c r="C566">
        <v>100</v>
      </c>
      <c r="D566">
        <v>1</v>
      </c>
      <c r="E566">
        <v>1020</v>
      </c>
      <c r="F566" t="b">
        <v>1</v>
      </c>
      <c r="G566">
        <v>47.975999999999999</v>
      </c>
      <c r="H566">
        <v>26</v>
      </c>
      <c r="I566">
        <v>7</v>
      </c>
      <c r="J566">
        <v>1.56</v>
      </c>
      <c r="K566" t="s">
        <v>287</v>
      </c>
      <c r="L566">
        <v>0</v>
      </c>
      <c r="N566" t="s">
        <v>288</v>
      </c>
      <c r="O566" t="s">
        <v>289</v>
      </c>
      <c r="P566" t="s">
        <v>20</v>
      </c>
      <c r="Q566">
        <f t="shared" si="24"/>
        <v>68.336000293493271</v>
      </c>
      <c r="R566">
        <f t="shared" si="25"/>
        <v>0.14590628647657161</v>
      </c>
      <c r="S566">
        <f t="shared" si="26"/>
        <v>0.54193763548440888</v>
      </c>
    </row>
    <row r="567" spans="1:19" x14ac:dyDescent="0.2">
      <c r="A567">
        <v>1</v>
      </c>
      <c r="B567" t="s">
        <v>16</v>
      </c>
      <c r="C567">
        <v>-1</v>
      </c>
      <c r="D567">
        <v>1</v>
      </c>
      <c r="E567">
        <v>1020</v>
      </c>
      <c r="F567" t="b">
        <v>1</v>
      </c>
      <c r="G567">
        <v>65.731999999999999</v>
      </c>
      <c r="H567">
        <v>30</v>
      </c>
      <c r="I567">
        <v>7</v>
      </c>
      <c r="J567">
        <v>5.64</v>
      </c>
      <c r="K567" t="s">
        <v>200</v>
      </c>
      <c r="L567">
        <v>0</v>
      </c>
      <c r="N567" t="s">
        <v>201</v>
      </c>
      <c r="O567" t="s">
        <v>202</v>
      </c>
      <c r="P567" t="s">
        <v>20</v>
      </c>
      <c r="Q567">
        <f t="shared" si="24"/>
        <v>246.89599976409227</v>
      </c>
      <c r="R567">
        <f t="shared" si="25"/>
        <v>0.10649303231302866</v>
      </c>
      <c r="S567">
        <f t="shared" si="26"/>
        <v>0.45639870991297998</v>
      </c>
    </row>
    <row r="568" spans="1:19" x14ac:dyDescent="0.2">
      <c r="A568">
        <v>4</v>
      </c>
      <c r="B568" t="s">
        <v>16</v>
      </c>
      <c r="C568">
        <v>0</v>
      </c>
      <c r="D568">
        <v>1</v>
      </c>
      <c r="E568">
        <v>1020</v>
      </c>
      <c r="F568" t="b">
        <v>1</v>
      </c>
      <c r="G568">
        <v>62.072000000000003</v>
      </c>
      <c r="H568">
        <v>29</v>
      </c>
      <c r="I568">
        <v>1</v>
      </c>
      <c r="J568">
        <v>0.6</v>
      </c>
      <c r="K568" t="s">
        <v>209</v>
      </c>
      <c r="L568">
        <v>0</v>
      </c>
      <c r="N568" t="s">
        <v>210</v>
      </c>
      <c r="O568" t="s">
        <v>211</v>
      </c>
      <c r="P568" t="s">
        <v>20</v>
      </c>
      <c r="Q568">
        <f t="shared" si="24"/>
        <v>311.15799969993532</v>
      </c>
      <c r="R568">
        <f t="shared" si="25"/>
        <v>1.6110323495295786E-2</v>
      </c>
      <c r="S568">
        <f t="shared" si="26"/>
        <v>0.46719938136357775</v>
      </c>
    </row>
    <row r="569" spans="1:19" x14ac:dyDescent="0.2">
      <c r="A569">
        <v>7</v>
      </c>
      <c r="B569" t="s">
        <v>16</v>
      </c>
      <c r="C569">
        <v>2</v>
      </c>
      <c r="D569">
        <v>1</v>
      </c>
      <c r="E569">
        <v>1020</v>
      </c>
      <c r="F569" t="b">
        <v>1</v>
      </c>
      <c r="G569">
        <v>67.768000000000001</v>
      </c>
      <c r="H569">
        <v>29</v>
      </c>
      <c r="I569">
        <v>0</v>
      </c>
      <c r="J569">
        <v>0</v>
      </c>
      <c r="K569" t="s">
        <v>218</v>
      </c>
      <c r="L569">
        <v>0</v>
      </c>
      <c r="N569" t="s">
        <v>219</v>
      </c>
      <c r="O569" t="s">
        <v>220</v>
      </c>
      <c r="P569" t="s">
        <v>20</v>
      </c>
      <c r="Q569">
        <f t="shared" si="24"/>
        <v>289.10000037867576</v>
      </c>
      <c r="R569">
        <f t="shared" si="25"/>
        <v>0</v>
      </c>
      <c r="S569">
        <f t="shared" si="26"/>
        <v>0.4279305867075906</v>
      </c>
    </row>
    <row r="570" spans="1:19" x14ac:dyDescent="0.2">
      <c r="A570">
        <v>10</v>
      </c>
      <c r="B570" t="s">
        <v>16</v>
      </c>
      <c r="C570">
        <v>5</v>
      </c>
      <c r="D570">
        <v>1</v>
      </c>
      <c r="E570">
        <v>1020</v>
      </c>
      <c r="F570" t="b">
        <v>1</v>
      </c>
      <c r="G570">
        <v>89.48</v>
      </c>
      <c r="H570">
        <v>29</v>
      </c>
      <c r="I570">
        <v>1</v>
      </c>
      <c r="J570">
        <v>0.06</v>
      </c>
      <c r="K570" t="s">
        <v>227</v>
      </c>
      <c r="L570">
        <v>0</v>
      </c>
      <c r="N570" t="s">
        <v>228</v>
      </c>
      <c r="O570" t="s">
        <v>229</v>
      </c>
      <c r="P570" t="s">
        <v>20</v>
      </c>
      <c r="Q570">
        <f t="shared" si="24"/>
        <v>323.01599965430796</v>
      </c>
      <c r="R570">
        <f t="shared" si="25"/>
        <v>1.1175681716584712E-2</v>
      </c>
      <c r="S570">
        <f t="shared" si="26"/>
        <v>0.32409476978095664</v>
      </c>
    </row>
    <row r="571" spans="1:19" hidden="1" x14ac:dyDescent="0.2">
      <c r="A571">
        <v>13</v>
      </c>
      <c r="B571" t="s">
        <v>16</v>
      </c>
      <c r="C571">
        <v>10</v>
      </c>
      <c r="D571">
        <v>1</v>
      </c>
      <c r="E571">
        <v>1020</v>
      </c>
      <c r="F571" t="b">
        <v>1</v>
      </c>
      <c r="G571">
        <v>89.2</v>
      </c>
      <c r="H571">
        <v>29</v>
      </c>
      <c r="I571">
        <v>2</v>
      </c>
      <c r="J571">
        <v>0.54</v>
      </c>
      <c r="K571" t="s">
        <v>236</v>
      </c>
      <c r="L571">
        <v>0</v>
      </c>
      <c r="N571" t="s">
        <v>237</v>
      </c>
      <c r="O571" t="s">
        <v>238</v>
      </c>
      <c r="P571" t="s">
        <v>20</v>
      </c>
      <c r="Q571">
        <f t="shared" si="24"/>
        <v>377.08899958524853</v>
      </c>
      <c r="R571">
        <f t="shared" si="25"/>
        <v>2.2421524663677129E-2</v>
      </c>
      <c r="S571">
        <f t="shared" si="26"/>
        <v>0.32511210762331838</v>
      </c>
    </row>
    <row r="572" spans="1:19" hidden="1" x14ac:dyDescent="0.2">
      <c r="A572">
        <v>16</v>
      </c>
      <c r="B572" t="s">
        <v>16</v>
      </c>
      <c r="C572">
        <v>15</v>
      </c>
      <c r="D572">
        <v>1</v>
      </c>
      <c r="E572">
        <v>1020</v>
      </c>
      <c r="F572" t="b">
        <v>1</v>
      </c>
      <c r="G572">
        <v>93.123999999999995</v>
      </c>
      <c r="H572">
        <v>29</v>
      </c>
      <c r="I572">
        <v>15</v>
      </c>
      <c r="J572">
        <v>2.52</v>
      </c>
      <c r="K572" t="s">
        <v>245</v>
      </c>
      <c r="L572">
        <v>0</v>
      </c>
      <c r="N572" t="s">
        <v>246</v>
      </c>
      <c r="O572" t="s">
        <v>247</v>
      </c>
      <c r="P572" t="s">
        <v>20</v>
      </c>
      <c r="Q572">
        <f t="shared" si="24"/>
        <v>388.53099960833788</v>
      </c>
      <c r="R572">
        <f t="shared" si="25"/>
        <v>0.16107555517374683</v>
      </c>
      <c r="S572">
        <f t="shared" si="26"/>
        <v>0.31141274000257724</v>
      </c>
    </row>
    <row r="573" spans="1:19" hidden="1" x14ac:dyDescent="0.2">
      <c r="A573">
        <v>19</v>
      </c>
      <c r="B573" t="s">
        <v>16</v>
      </c>
      <c r="C573">
        <v>20</v>
      </c>
      <c r="D573">
        <v>1</v>
      </c>
      <c r="E573">
        <v>1020</v>
      </c>
      <c r="F573" t="b">
        <v>1</v>
      </c>
      <c r="G573">
        <v>111.884</v>
      </c>
      <c r="H573">
        <v>29</v>
      </c>
      <c r="I573">
        <v>13</v>
      </c>
      <c r="J573">
        <v>2.2799999999999998</v>
      </c>
      <c r="K573" t="s">
        <v>254</v>
      </c>
      <c r="L573">
        <v>0</v>
      </c>
      <c r="N573" t="s">
        <v>255</v>
      </c>
      <c r="O573" t="s">
        <v>256</v>
      </c>
      <c r="P573" t="s">
        <v>20</v>
      </c>
      <c r="Q573">
        <f t="shared" si="24"/>
        <v>465.52299989853054</v>
      </c>
      <c r="R573">
        <f t="shared" si="25"/>
        <v>0.11619177004754924</v>
      </c>
      <c r="S573">
        <f t="shared" si="26"/>
        <v>0.25919702549068679</v>
      </c>
    </row>
    <row r="574" spans="1:19" hidden="1" x14ac:dyDescent="0.2">
      <c r="A574">
        <v>22</v>
      </c>
      <c r="B574" t="s">
        <v>16</v>
      </c>
      <c r="C574">
        <v>50</v>
      </c>
      <c r="D574">
        <v>1</v>
      </c>
      <c r="E574">
        <v>1020</v>
      </c>
      <c r="F574" t="b">
        <v>1</v>
      </c>
      <c r="G574">
        <v>85.543999999999997</v>
      </c>
      <c r="H574">
        <v>30</v>
      </c>
      <c r="I574">
        <v>6</v>
      </c>
      <c r="J574">
        <v>1.08</v>
      </c>
      <c r="K574" t="s">
        <v>263</v>
      </c>
      <c r="L574">
        <v>0</v>
      </c>
      <c r="N574" t="s">
        <v>264</v>
      </c>
      <c r="O574" t="s">
        <v>265</v>
      </c>
      <c r="P574" t="s">
        <v>20</v>
      </c>
      <c r="Q574">
        <f t="shared" si="24"/>
        <v>332.93100006412715</v>
      </c>
      <c r="R574">
        <f t="shared" si="25"/>
        <v>7.0139343495744882E-2</v>
      </c>
      <c r="S574">
        <f t="shared" si="26"/>
        <v>0.35069671747872438</v>
      </c>
    </row>
    <row r="575" spans="1:19" hidden="1" x14ac:dyDescent="0.2">
      <c r="A575">
        <v>25</v>
      </c>
      <c r="B575" t="s">
        <v>16</v>
      </c>
      <c r="C575">
        <v>70</v>
      </c>
      <c r="D575">
        <v>1</v>
      </c>
      <c r="E575">
        <v>1020</v>
      </c>
      <c r="F575" t="b">
        <v>1</v>
      </c>
      <c r="G575">
        <v>89.695999999999998</v>
      </c>
      <c r="H575">
        <v>30</v>
      </c>
      <c r="I575">
        <v>14</v>
      </c>
      <c r="J575">
        <v>1.86</v>
      </c>
      <c r="K575" t="s">
        <v>272</v>
      </c>
      <c r="L575">
        <v>0</v>
      </c>
      <c r="N575" t="s">
        <v>273</v>
      </c>
      <c r="O575" t="s">
        <v>274</v>
      </c>
      <c r="P575" t="s">
        <v>20</v>
      </c>
      <c r="Q575">
        <f t="shared" si="24"/>
        <v>430.64800046849996</v>
      </c>
      <c r="R575">
        <f t="shared" si="25"/>
        <v>0.15608276846236177</v>
      </c>
      <c r="S575">
        <f t="shared" si="26"/>
        <v>0.3344630752764895</v>
      </c>
    </row>
    <row r="576" spans="1:19" hidden="1" x14ac:dyDescent="0.2">
      <c r="A576">
        <v>28</v>
      </c>
      <c r="B576" t="s">
        <v>16</v>
      </c>
      <c r="C576">
        <v>100</v>
      </c>
      <c r="D576">
        <v>1</v>
      </c>
      <c r="E576">
        <v>1020</v>
      </c>
      <c r="F576" t="b">
        <v>1</v>
      </c>
      <c r="G576">
        <v>89.756</v>
      </c>
      <c r="H576">
        <v>30</v>
      </c>
      <c r="I576">
        <v>14</v>
      </c>
      <c r="J576">
        <v>1.92</v>
      </c>
      <c r="K576" t="s">
        <v>281</v>
      </c>
      <c r="L576">
        <v>0</v>
      </c>
      <c r="N576" t="s">
        <v>282</v>
      </c>
      <c r="O576" t="s">
        <v>283</v>
      </c>
      <c r="P576" t="s">
        <v>20</v>
      </c>
      <c r="Q576">
        <f t="shared" si="24"/>
        <v>120.17399989999831</v>
      </c>
      <c r="R576">
        <f t="shared" si="25"/>
        <v>0.15597843041133741</v>
      </c>
      <c r="S576">
        <f t="shared" si="26"/>
        <v>0.33423949373858014</v>
      </c>
    </row>
    <row r="577" spans="1:19" x14ac:dyDescent="0.2">
      <c r="A577" s="1">
        <v>2</v>
      </c>
      <c r="B577" s="1" t="s">
        <v>21</v>
      </c>
      <c r="C577" s="1">
        <v>-1</v>
      </c>
      <c r="D577" s="1">
        <v>1</v>
      </c>
      <c r="E577" s="1">
        <v>1021</v>
      </c>
      <c r="F577" s="1" t="b">
        <v>1</v>
      </c>
      <c r="G577" s="1">
        <v>48.68</v>
      </c>
      <c r="H577" s="1">
        <v>27</v>
      </c>
      <c r="I577" s="1">
        <v>9</v>
      </c>
      <c r="J577" s="1">
        <v>15.96</v>
      </c>
      <c r="K577" s="1" t="s">
        <v>455</v>
      </c>
      <c r="L577" s="1">
        <v>0</v>
      </c>
      <c r="M577" s="1"/>
      <c r="N577" s="1" t="s">
        <v>456</v>
      </c>
      <c r="O577" s="1" t="s">
        <v>457</v>
      </c>
      <c r="P577" s="1" t="s">
        <v>20</v>
      </c>
      <c r="Q577">
        <f t="shared" si="24"/>
        <v>369.52400025911629</v>
      </c>
      <c r="R577">
        <f t="shared" si="25"/>
        <v>0.18488085456039441</v>
      </c>
      <c r="S577">
        <f t="shared" si="26"/>
        <v>0.55464256368118325</v>
      </c>
    </row>
    <row r="578" spans="1:19" x14ac:dyDescent="0.2">
      <c r="A578" s="1">
        <v>5</v>
      </c>
      <c r="B578" s="1" t="s">
        <v>21</v>
      </c>
      <c r="C578" s="1">
        <v>0</v>
      </c>
      <c r="D578" s="1">
        <v>1</v>
      </c>
      <c r="E578" s="1">
        <v>1021</v>
      </c>
      <c r="F578" s="1" t="b">
        <v>1</v>
      </c>
      <c r="G578" s="1">
        <v>54.084000000000003</v>
      </c>
      <c r="H578" s="1">
        <v>22</v>
      </c>
      <c r="I578" s="1">
        <v>0</v>
      </c>
      <c r="J578" s="1">
        <v>0</v>
      </c>
      <c r="K578" s="1" t="s">
        <v>464</v>
      </c>
      <c r="L578" s="1">
        <v>0</v>
      </c>
      <c r="M578" s="1"/>
      <c r="N578" s="1" t="s">
        <v>465</v>
      </c>
      <c r="O578" s="1" t="s">
        <v>466</v>
      </c>
      <c r="P578" s="1" t="s">
        <v>20</v>
      </c>
      <c r="Q578">
        <f t="shared" ref="Q578:Q641" si="27">(VALUE(LEFT(SUBSTITUTE(O578,"T"," "),23)) - VALUE(LEFT(SUBSTITUTE(N578,"T"," "),23))) * 86400</f>
        <v>223.45299990847707</v>
      </c>
      <c r="R578">
        <f t="shared" ref="R578:R641" si="28">I578/G578</f>
        <v>0</v>
      </c>
      <c r="S578">
        <f t="shared" ref="S578:S641" si="29">H578/G578</f>
        <v>0.40677464684564751</v>
      </c>
    </row>
    <row r="579" spans="1:19" x14ac:dyDescent="0.2">
      <c r="A579" s="1">
        <v>8</v>
      </c>
      <c r="B579" s="1" t="s">
        <v>21</v>
      </c>
      <c r="C579" s="1">
        <v>2</v>
      </c>
      <c r="D579" s="1">
        <v>1</v>
      </c>
      <c r="E579" s="1">
        <v>1021</v>
      </c>
      <c r="F579" s="1" t="b">
        <v>1</v>
      </c>
      <c r="G579" s="1">
        <v>100.232</v>
      </c>
      <c r="H579" s="1">
        <v>24</v>
      </c>
      <c r="I579" s="1">
        <v>6</v>
      </c>
      <c r="J579" s="1">
        <v>1.68</v>
      </c>
      <c r="K579" s="1" t="s">
        <v>473</v>
      </c>
      <c r="L579" s="1">
        <v>0</v>
      </c>
      <c r="M579" s="1"/>
      <c r="N579" s="1" t="s">
        <v>474</v>
      </c>
      <c r="O579" s="1" t="s">
        <v>475</v>
      </c>
      <c r="P579" s="1" t="s">
        <v>20</v>
      </c>
      <c r="Q579">
        <f t="shared" si="27"/>
        <v>490.48400034662336</v>
      </c>
      <c r="R579">
        <f t="shared" si="28"/>
        <v>5.9861122196504114E-2</v>
      </c>
      <c r="S579">
        <f t="shared" si="29"/>
        <v>0.23944448878601646</v>
      </c>
    </row>
    <row r="580" spans="1:19" x14ac:dyDescent="0.2">
      <c r="A580" s="1">
        <v>11</v>
      </c>
      <c r="B580" s="1" t="s">
        <v>21</v>
      </c>
      <c r="C580" s="1">
        <v>5</v>
      </c>
      <c r="D580" s="1">
        <v>1</v>
      </c>
      <c r="E580" s="1">
        <v>1021</v>
      </c>
      <c r="F580" s="1" t="b">
        <v>1</v>
      </c>
      <c r="G580" s="1">
        <v>55.508000000000003</v>
      </c>
      <c r="H580" s="1">
        <v>24</v>
      </c>
      <c r="I580" s="1">
        <v>2</v>
      </c>
      <c r="J580" s="1">
        <v>0.78</v>
      </c>
      <c r="K580" s="1" t="s">
        <v>482</v>
      </c>
      <c r="L580" s="1">
        <v>0</v>
      </c>
      <c r="M580" s="1"/>
      <c r="N580" s="1" t="s">
        <v>483</v>
      </c>
      <c r="O580" s="1" t="s">
        <v>484</v>
      </c>
      <c r="P580" s="1" t="s">
        <v>20</v>
      </c>
      <c r="Q580">
        <f t="shared" si="27"/>
        <v>322.906000376679</v>
      </c>
      <c r="R580">
        <f t="shared" si="28"/>
        <v>3.6030842401095338E-2</v>
      </c>
      <c r="S580">
        <f t="shared" si="29"/>
        <v>0.43237010881314403</v>
      </c>
    </row>
    <row r="581" spans="1:19" hidden="1" x14ac:dyDescent="0.2">
      <c r="A581" s="1">
        <v>14</v>
      </c>
      <c r="B581" s="1" t="s">
        <v>21</v>
      </c>
      <c r="C581" s="1">
        <v>10</v>
      </c>
      <c r="D581" s="1">
        <v>1</v>
      </c>
      <c r="E581" s="1">
        <v>1021</v>
      </c>
      <c r="F581" s="1" t="b">
        <v>1</v>
      </c>
      <c r="G581" s="1">
        <v>59.46</v>
      </c>
      <c r="H581" s="1">
        <v>25</v>
      </c>
      <c r="I581" s="1">
        <v>7</v>
      </c>
      <c r="J581" s="1">
        <v>0.78</v>
      </c>
      <c r="K581" s="1" t="s">
        <v>491</v>
      </c>
      <c r="L581" s="1">
        <v>0</v>
      </c>
      <c r="M581" s="1"/>
      <c r="N581" s="1" t="s">
        <v>492</v>
      </c>
      <c r="O581" s="1" t="s">
        <v>493</v>
      </c>
      <c r="P581" s="1" t="s">
        <v>20</v>
      </c>
      <c r="Q581">
        <f t="shared" si="27"/>
        <v>289.00400034617633</v>
      </c>
      <c r="R581">
        <f t="shared" si="28"/>
        <v>0.11772620248906827</v>
      </c>
      <c r="S581">
        <f t="shared" si="29"/>
        <v>0.42045072317524385</v>
      </c>
    </row>
    <row r="582" spans="1:19" hidden="1" x14ac:dyDescent="0.2">
      <c r="A582" s="1">
        <v>17</v>
      </c>
      <c r="B582" s="1" t="s">
        <v>21</v>
      </c>
      <c r="C582" s="1">
        <v>15</v>
      </c>
      <c r="D582" s="1">
        <v>1</v>
      </c>
      <c r="E582" s="1">
        <v>1021</v>
      </c>
      <c r="F582" s="1" t="b">
        <v>1</v>
      </c>
      <c r="G582" s="1">
        <v>74.52</v>
      </c>
      <c r="H582" s="1">
        <v>25</v>
      </c>
      <c r="I582" s="1">
        <v>14</v>
      </c>
      <c r="J582" s="1">
        <v>3.06</v>
      </c>
      <c r="K582" s="1" t="s">
        <v>500</v>
      </c>
      <c r="L582" s="1">
        <v>0</v>
      </c>
      <c r="M582" s="1"/>
      <c r="N582" s="1" t="s">
        <v>501</v>
      </c>
      <c r="O582" s="1" t="s">
        <v>502</v>
      </c>
      <c r="P582" s="1" t="s">
        <v>20</v>
      </c>
      <c r="Q582">
        <f t="shared" si="27"/>
        <v>265.32499983441085</v>
      </c>
      <c r="R582">
        <f t="shared" si="28"/>
        <v>0.1878690284487386</v>
      </c>
      <c r="S582">
        <f t="shared" si="29"/>
        <v>0.33548040794417605</v>
      </c>
    </row>
    <row r="583" spans="1:19" hidden="1" x14ac:dyDescent="0.2">
      <c r="A583" s="1">
        <v>20</v>
      </c>
      <c r="B583" s="1" t="s">
        <v>21</v>
      </c>
      <c r="C583" s="1">
        <v>20</v>
      </c>
      <c r="D583" s="1">
        <v>1</v>
      </c>
      <c r="E583" s="1">
        <v>1021</v>
      </c>
      <c r="F583" s="1" t="b">
        <v>1</v>
      </c>
      <c r="G583" s="1">
        <v>59.512</v>
      </c>
      <c r="H583" s="1">
        <v>27</v>
      </c>
      <c r="I583" s="1">
        <v>8</v>
      </c>
      <c r="J583" s="1">
        <v>1.38</v>
      </c>
      <c r="K583" s="1" t="s">
        <v>509</v>
      </c>
      <c r="L583" s="1">
        <v>0</v>
      </c>
      <c r="M583" s="1"/>
      <c r="N583" s="1" t="s">
        <v>510</v>
      </c>
      <c r="O583" s="1" t="s">
        <v>511</v>
      </c>
      <c r="P583" s="1" t="s">
        <v>20</v>
      </c>
      <c r="Q583">
        <f t="shared" si="27"/>
        <v>291.32900030817837</v>
      </c>
      <c r="R583">
        <f t="shared" si="28"/>
        <v>0.13442667025137786</v>
      </c>
      <c r="S583">
        <f t="shared" si="29"/>
        <v>0.45369001209840032</v>
      </c>
    </row>
    <row r="584" spans="1:19" hidden="1" x14ac:dyDescent="0.2">
      <c r="A584" s="1">
        <v>23</v>
      </c>
      <c r="B584" s="1" t="s">
        <v>21</v>
      </c>
      <c r="C584" s="1">
        <v>50</v>
      </c>
      <c r="D584" s="1">
        <v>1</v>
      </c>
      <c r="E584" s="1">
        <v>1021</v>
      </c>
      <c r="F584" s="1" t="b">
        <v>1</v>
      </c>
      <c r="G584" s="1">
        <v>73.647999999999996</v>
      </c>
      <c r="H584" s="1">
        <v>27</v>
      </c>
      <c r="I584" s="1">
        <v>18</v>
      </c>
      <c r="J584" s="1">
        <v>3.36</v>
      </c>
      <c r="K584" s="1" t="s">
        <v>518</v>
      </c>
      <c r="L584" s="1">
        <v>0</v>
      </c>
      <c r="M584" s="1"/>
      <c r="N584" s="1" t="s">
        <v>519</v>
      </c>
      <c r="O584" s="1" t="s">
        <v>520</v>
      </c>
      <c r="P584" s="1" t="s">
        <v>20</v>
      </c>
      <c r="Q584">
        <f t="shared" si="27"/>
        <v>184.44199960213155</v>
      </c>
      <c r="R584">
        <f t="shared" si="28"/>
        <v>0.244405822289811</v>
      </c>
      <c r="S584">
        <f t="shared" si="29"/>
        <v>0.3666087334347165</v>
      </c>
    </row>
    <row r="585" spans="1:19" hidden="1" x14ac:dyDescent="0.2">
      <c r="A585" s="1">
        <v>26</v>
      </c>
      <c r="B585" s="1" t="s">
        <v>21</v>
      </c>
      <c r="C585" s="1">
        <v>70</v>
      </c>
      <c r="D585" s="1">
        <v>1</v>
      </c>
      <c r="E585" s="1">
        <v>1021</v>
      </c>
      <c r="F585" s="1" t="b">
        <v>1</v>
      </c>
      <c r="G585" s="1">
        <v>88.352000000000004</v>
      </c>
      <c r="H585" s="1">
        <v>24</v>
      </c>
      <c r="I585" s="1">
        <v>12</v>
      </c>
      <c r="J585" s="1">
        <v>2.58</v>
      </c>
      <c r="K585" s="1" t="s">
        <v>527</v>
      </c>
      <c r="L585" s="1">
        <v>0</v>
      </c>
      <c r="M585" s="1"/>
      <c r="N585" s="1" t="s">
        <v>528</v>
      </c>
      <c r="O585" s="1" t="s">
        <v>529</v>
      </c>
      <c r="P585" s="1" t="s">
        <v>20</v>
      </c>
      <c r="Q585">
        <f t="shared" si="27"/>
        <v>134.45599973201752</v>
      </c>
      <c r="R585">
        <f t="shared" si="28"/>
        <v>0.13582035494386091</v>
      </c>
      <c r="S585">
        <f t="shared" si="29"/>
        <v>0.27164070988772182</v>
      </c>
    </row>
    <row r="586" spans="1:19" x14ac:dyDescent="0.2">
      <c r="A586" s="1">
        <v>3</v>
      </c>
      <c r="B586" s="1" t="s">
        <v>25</v>
      </c>
      <c r="C586" s="1">
        <v>-1</v>
      </c>
      <c r="D586" s="1">
        <v>1</v>
      </c>
      <c r="E586" s="1">
        <v>1021</v>
      </c>
      <c r="F586" s="1" t="b">
        <v>1</v>
      </c>
      <c r="G586" s="1">
        <v>32.975999999999999</v>
      </c>
      <c r="H586" s="1">
        <v>28</v>
      </c>
      <c r="I586" s="1">
        <v>2</v>
      </c>
      <c r="J586" s="1">
        <v>3.06</v>
      </c>
      <c r="K586" s="1" t="s">
        <v>458</v>
      </c>
      <c r="L586" s="1">
        <v>0</v>
      </c>
      <c r="M586" s="1"/>
      <c r="N586" s="1" t="s">
        <v>459</v>
      </c>
      <c r="O586" s="1" t="s">
        <v>460</v>
      </c>
      <c r="P586" s="1" t="s">
        <v>20</v>
      </c>
      <c r="Q586">
        <f t="shared" si="27"/>
        <v>147.5030001020059</v>
      </c>
      <c r="R586">
        <f t="shared" si="28"/>
        <v>6.0650169820475497E-2</v>
      </c>
      <c r="S586">
        <f t="shared" si="29"/>
        <v>0.84910237748665696</v>
      </c>
    </row>
    <row r="587" spans="1:19" x14ac:dyDescent="0.2">
      <c r="A587" s="1">
        <v>6</v>
      </c>
      <c r="B587" s="1" t="s">
        <v>25</v>
      </c>
      <c r="C587" s="1">
        <v>0</v>
      </c>
      <c r="D587" s="1">
        <v>1</v>
      </c>
      <c r="E587" s="1">
        <v>1021</v>
      </c>
      <c r="F587" s="1" t="b">
        <v>1</v>
      </c>
      <c r="G587" s="1">
        <v>48.588000000000001</v>
      </c>
      <c r="H587" s="1">
        <v>28</v>
      </c>
      <c r="I587" s="1">
        <v>3</v>
      </c>
      <c r="J587" s="1">
        <v>0.96</v>
      </c>
      <c r="K587" s="1" t="s">
        <v>467</v>
      </c>
      <c r="L587" s="1">
        <v>0</v>
      </c>
      <c r="M587" s="1"/>
      <c r="N587" s="1" t="s">
        <v>468</v>
      </c>
      <c r="O587" s="1" t="s">
        <v>469</v>
      </c>
      <c r="P587" s="1" t="s">
        <v>20</v>
      </c>
      <c r="Q587">
        <f t="shared" si="27"/>
        <v>270.72899951599538</v>
      </c>
      <c r="R587">
        <f t="shared" si="28"/>
        <v>6.1743640405038283E-2</v>
      </c>
      <c r="S587">
        <f t="shared" si="29"/>
        <v>0.57627397711369066</v>
      </c>
    </row>
    <row r="588" spans="1:19" x14ac:dyDescent="0.2">
      <c r="A588" s="1">
        <v>9</v>
      </c>
      <c r="B588" s="1" t="s">
        <v>25</v>
      </c>
      <c r="C588" s="1">
        <v>2</v>
      </c>
      <c r="D588" s="1">
        <v>1</v>
      </c>
      <c r="E588" s="1">
        <v>1021</v>
      </c>
      <c r="F588" s="1" t="b">
        <v>1</v>
      </c>
      <c r="G588" s="1">
        <v>66.932000000000002</v>
      </c>
      <c r="H588" s="1">
        <v>26</v>
      </c>
      <c r="I588" s="1">
        <v>1</v>
      </c>
      <c r="J588" s="1">
        <v>0.72</v>
      </c>
      <c r="K588" s="1" t="s">
        <v>476</v>
      </c>
      <c r="L588" s="1">
        <v>0</v>
      </c>
      <c r="M588" s="1"/>
      <c r="N588" s="1" t="s">
        <v>477</v>
      </c>
      <c r="O588" s="1" t="s">
        <v>478</v>
      </c>
      <c r="P588" s="1" t="s">
        <v>20</v>
      </c>
      <c r="Q588">
        <f t="shared" si="27"/>
        <v>262.32400021981448</v>
      </c>
      <c r="R588">
        <f t="shared" si="28"/>
        <v>1.4940536664076973E-2</v>
      </c>
      <c r="S588">
        <f t="shared" si="29"/>
        <v>0.3884539532660013</v>
      </c>
    </row>
    <row r="589" spans="1:19" x14ac:dyDescent="0.2">
      <c r="A589" s="1">
        <v>12</v>
      </c>
      <c r="B589" s="1" t="s">
        <v>25</v>
      </c>
      <c r="C589" s="1">
        <v>5</v>
      </c>
      <c r="D589" s="1">
        <v>1</v>
      </c>
      <c r="E589" s="1">
        <v>1021</v>
      </c>
      <c r="F589" s="1" t="b">
        <v>1</v>
      </c>
      <c r="G589" s="1">
        <v>58.256</v>
      </c>
      <c r="H589" s="1">
        <v>22</v>
      </c>
      <c r="I589" s="1">
        <v>2</v>
      </c>
      <c r="J589" s="1">
        <v>0.48</v>
      </c>
      <c r="K589" s="1" t="s">
        <v>485</v>
      </c>
      <c r="L589" s="1">
        <v>0</v>
      </c>
      <c r="M589" s="1"/>
      <c r="N589" s="1" t="s">
        <v>486</v>
      </c>
      <c r="O589" s="1" t="s">
        <v>487</v>
      </c>
      <c r="P589" s="1" t="s">
        <v>20</v>
      </c>
      <c r="Q589">
        <f t="shared" si="27"/>
        <v>267.70700009074062</v>
      </c>
      <c r="R589">
        <f t="shared" si="28"/>
        <v>3.4331227684702002E-2</v>
      </c>
      <c r="S589">
        <f t="shared" si="29"/>
        <v>0.37764350453172207</v>
      </c>
    </row>
    <row r="590" spans="1:19" hidden="1" x14ac:dyDescent="0.2">
      <c r="A590" s="1">
        <v>15</v>
      </c>
      <c r="B590" s="1" t="s">
        <v>25</v>
      </c>
      <c r="C590" s="1">
        <v>10</v>
      </c>
      <c r="D590" s="1">
        <v>1</v>
      </c>
      <c r="E590" s="1">
        <v>1021</v>
      </c>
      <c r="F590" s="1" t="b">
        <v>1</v>
      </c>
      <c r="G590" s="1">
        <v>47.264000000000003</v>
      </c>
      <c r="H590" s="1">
        <v>29</v>
      </c>
      <c r="I590" s="1">
        <v>3</v>
      </c>
      <c r="J590" s="1">
        <v>0.36</v>
      </c>
      <c r="K590" s="1" t="s">
        <v>494</v>
      </c>
      <c r="L590" s="1">
        <v>0</v>
      </c>
      <c r="M590" s="1"/>
      <c r="N590" s="1" t="s">
        <v>495</v>
      </c>
      <c r="O590" s="1" t="s">
        <v>496</v>
      </c>
      <c r="P590" s="1" t="s">
        <v>20</v>
      </c>
      <c r="Q590">
        <f t="shared" si="27"/>
        <v>215.09099977556616</v>
      </c>
      <c r="R590">
        <f t="shared" si="28"/>
        <v>6.3473256601218678E-2</v>
      </c>
      <c r="S590">
        <f t="shared" si="29"/>
        <v>0.61357481381178058</v>
      </c>
    </row>
    <row r="591" spans="1:19" hidden="1" x14ac:dyDescent="0.2">
      <c r="A591" s="1">
        <v>18</v>
      </c>
      <c r="B591" s="1" t="s">
        <v>25</v>
      </c>
      <c r="C591" s="1">
        <v>15</v>
      </c>
      <c r="D591" s="1">
        <v>1</v>
      </c>
      <c r="E591" s="1">
        <v>1021</v>
      </c>
      <c r="F591" s="1" t="b">
        <v>1</v>
      </c>
      <c r="G591" s="1">
        <v>58.448</v>
      </c>
      <c r="H591" s="1">
        <v>29</v>
      </c>
      <c r="I591" s="1">
        <v>5</v>
      </c>
      <c r="J591" s="1">
        <v>0.72</v>
      </c>
      <c r="K591" s="1" t="s">
        <v>503</v>
      </c>
      <c r="L591" s="1">
        <v>0</v>
      </c>
      <c r="M591" s="1"/>
      <c r="N591" s="1" t="s">
        <v>504</v>
      </c>
      <c r="O591" s="1" t="s">
        <v>505</v>
      </c>
      <c r="P591" s="1" t="s">
        <v>20</v>
      </c>
      <c r="Q591">
        <f t="shared" si="27"/>
        <v>315.78499947208911</v>
      </c>
      <c r="R591">
        <f t="shared" si="28"/>
        <v>8.5546126471393369E-2</v>
      </c>
      <c r="S591">
        <f t="shared" si="29"/>
        <v>0.49616753353408155</v>
      </c>
    </row>
    <row r="592" spans="1:19" hidden="1" x14ac:dyDescent="0.2">
      <c r="A592" s="1">
        <v>21</v>
      </c>
      <c r="B592" s="1" t="s">
        <v>25</v>
      </c>
      <c r="C592" s="1">
        <v>20</v>
      </c>
      <c r="D592" s="1">
        <v>1</v>
      </c>
      <c r="E592" s="1">
        <v>1021</v>
      </c>
      <c r="F592" s="1" t="b">
        <v>1</v>
      </c>
      <c r="G592" s="1">
        <v>46.956000000000003</v>
      </c>
      <c r="H592" s="1">
        <v>23</v>
      </c>
      <c r="I592" s="1">
        <v>7</v>
      </c>
      <c r="J592" s="1">
        <v>1.44</v>
      </c>
      <c r="K592" s="1" t="s">
        <v>512</v>
      </c>
      <c r="L592" s="1">
        <v>0</v>
      </c>
      <c r="M592" s="1"/>
      <c r="N592" s="1" t="s">
        <v>513</v>
      </c>
      <c r="O592" s="1" t="s">
        <v>514</v>
      </c>
      <c r="P592" s="1" t="s">
        <v>20</v>
      </c>
      <c r="Q592">
        <f t="shared" si="27"/>
        <v>253.3599998569116</v>
      </c>
      <c r="R592">
        <f t="shared" si="28"/>
        <v>0.1490757304710793</v>
      </c>
      <c r="S592">
        <f t="shared" si="29"/>
        <v>0.4898202572621177</v>
      </c>
    </row>
    <row r="593" spans="1:19" hidden="1" x14ac:dyDescent="0.2">
      <c r="A593" s="1">
        <v>24</v>
      </c>
      <c r="B593" s="1" t="s">
        <v>25</v>
      </c>
      <c r="C593" s="1">
        <v>50</v>
      </c>
      <c r="D593" s="1">
        <v>1</v>
      </c>
      <c r="E593" s="1">
        <v>1021</v>
      </c>
      <c r="F593" s="1" t="b">
        <v>1</v>
      </c>
      <c r="G593" s="1">
        <v>36.875999999999998</v>
      </c>
      <c r="H593" s="1">
        <v>27</v>
      </c>
      <c r="I593" s="1">
        <v>4</v>
      </c>
      <c r="J593" s="1">
        <v>1.1399999999999999</v>
      </c>
      <c r="K593" s="1" t="s">
        <v>521</v>
      </c>
      <c r="L593" s="1">
        <v>0</v>
      </c>
      <c r="M593" s="1"/>
      <c r="N593" s="1" t="s">
        <v>522</v>
      </c>
      <c r="O593" s="1" t="s">
        <v>523</v>
      </c>
      <c r="P593" s="1" t="s">
        <v>20</v>
      </c>
      <c r="Q593">
        <f t="shared" si="27"/>
        <v>92.713999981060624</v>
      </c>
      <c r="R593">
        <f t="shared" si="28"/>
        <v>0.10847163466753444</v>
      </c>
      <c r="S593">
        <f t="shared" si="29"/>
        <v>0.73218353400585756</v>
      </c>
    </row>
    <row r="594" spans="1:19" hidden="1" x14ac:dyDescent="0.2">
      <c r="A594" s="1">
        <v>27</v>
      </c>
      <c r="B594" s="1" t="s">
        <v>25</v>
      </c>
      <c r="C594" s="1">
        <v>70</v>
      </c>
      <c r="D594" s="1">
        <v>1</v>
      </c>
      <c r="E594" s="1">
        <v>1021</v>
      </c>
      <c r="F594" s="1" t="b">
        <v>1</v>
      </c>
      <c r="G594" s="1">
        <v>46.94</v>
      </c>
      <c r="H594" s="1">
        <v>28</v>
      </c>
      <c r="I594" s="1">
        <v>7</v>
      </c>
      <c r="J594" s="1">
        <v>1.08</v>
      </c>
      <c r="K594" s="1" t="s">
        <v>530</v>
      </c>
      <c r="L594" s="1">
        <v>0</v>
      </c>
      <c r="M594" s="1"/>
      <c r="N594" s="1" t="s">
        <v>531</v>
      </c>
      <c r="O594" s="1" t="s">
        <v>532</v>
      </c>
      <c r="P594" s="1" t="s">
        <v>20</v>
      </c>
      <c r="Q594">
        <f t="shared" si="27"/>
        <v>66.784000187180936</v>
      </c>
      <c r="R594">
        <f t="shared" si="28"/>
        <v>0.14912654452492544</v>
      </c>
      <c r="S594">
        <f t="shared" si="29"/>
        <v>0.59650617809970174</v>
      </c>
    </row>
    <row r="595" spans="1:19" x14ac:dyDescent="0.2">
      <c r="A595" s="1">
        <v>1</v>
      </c>
      <c r="B595" s="1" t="s">
        <v>16</v>
      </c>
      <c r="C595" s="1">
        <v>-1</v>
      </c>
      <c r="D595" s="1">
        <v>1</v>
      </c>
      <c r="E595" s="1">
        <v>1021</v>
      </c>
      <c r="F595" s="1" t="b">
        <v>1</v>
      </c>
      <c r="G595" s="1">
        <v>56.527999999999999</v>
      </c>
      <c r="H595" s="1">
        <v>27</v>
      </c>
      <c r="I595" s="1">
        <v>9</v>
      </c>
      <c r="J595" s="1">
        <v>7.26</v>
      </c>
      <c r="K595" s="1" t="s">
        <v>452</v>
      </c>
      <c r="L595" s="1">
        <v>0</v>
      </c>
      <c r="M595" s="1"/>
      <c r="N595" s="1" t="s">
        <v>453</v>
      </c>
      <c r="O595" s="1" t="s">
        <v>454</v>
      </c>
      <c r="P595" s="1" t="s">
        <v>20</v>
      </c>
      <c r="Q595">
        <f t="shared" si="27"/>
        <v>271.65199981536716</v>
      </c>
      <c r="R595">
        <f t="shared" si="28"/>
        <v>0.15921313331446363</v>
      </c>
      <c r="S595">
        <f t="shared" si="29"/>
        <v>0.47763939994339089</v>
      </c>
    </row>
    <row r="596" spans="1:19" x14ac:dyDescent="0.2">
      <c r="A596" s="1">
        <v>4</v>
      </c>
      <c r="B596" s="1" t="s">
        <v>16</v>
      </c>
      <c r="C596" s="1">
        <v>0</v>
      </c>
      <c r="D596" s="1">
        <v>1</v>
      </c>
      <c r="E596" s="1">
        <v>1021</v>
      </c>
      <c r="F596" s="1" t="b">
        <v>1</v>
      </c>
      <c r="G596" s="1">
        <v>72.56</v>
      </c>
      <c r="H596" s="1">
        <v>25</v>
      </c>
      <c r="I596" s="1">
        <v>4</v>
      </c>
      <c r="J596" s="1">
        <v>1.5</v>
      </c>
      <c r="K596" s="1" t="s">
        <v>461</v>
      </c>
      <c r="L596" s="1">
        <v>0</v>
      </c>
      <c r="M596" s="1"/>
      <c r="N596" s="1" t="s">
        <v>462</v>
      </c>
      <c r="O596" s="1" t="s">
        <v>463</v>
      </c>
      <c r="P596" s="1" t="s">
        <v>20</v>
      </c>
      <c r="Q596">
        <f t="shared" si="27"/>
        <v>338.70700034312904</v>
      </c>
      <c r="R596">
        <f t="shared" si="28"/>
        <v>5.5126791620727672E-2</v>
      </c>
      <c r="S596">
        <f t="shared" si="29"/>
        <v>0.34454244762954794</v>
      </c>
    </row>
    <row r="597" spans="1:19" x14ac:dyDescent="0.2">
      <c r="A597" s="1">
        <v>7</v>
      </c>
      <c r="B597" s="1" t="s">
        <v>16</v>
      </c>
      <c r="C597" s="1">
        <v>2</v>
      </c>
      <c r="D597" s="1">
        <v>1</v>
      </c>
      <c r="E597" s="1">
        <v>1021</v>
      </c>
      <c r="F597" s="1" t="b">
        <v>1</v>
      </c>
      <c r="G597" s="1">
        <v>135.16399999999999</v>
      </c>
      <c r="H597" s="1">
        <v>21</v>
      </c>
      <c r="I597" s="1">
        <v>1</v>
      </c>
      <c r="J597" s="1">
        <v>0.06</v>
      </c>
      <c r="K597" s="1" t="s">
        <v>470</v>
      </c>
      <c r="L597" s="1">
        <v>0</v>
      </c>
      <c r="M597" s="1"/>
      <c r="N597" s="1" t="s">
        <v>471</v>
      </c>
      <c r="O597" s="1" t="s">
        <v>472</v>
      </c>
      <c r="P597" s="1" t="s">
        <v>20</v>
      </c>
      <c r="Q597">
        <f t="shared" si="27"/>
        <v>600.00000006984919</v>
      </c>
      <c r="R597">
        <f t="shared" si="28"/>
        <v>7.3984196975526032E-3</v>
      </c>
      <c r="S597">
        <f t="shared" si="29"/>
        <v>0.15536681364860466</v>
      </c>
    </row>
    <row r="598" spans="1:19" x14ac:dyDescent="0.2">
      <c r="A598" s="1">
        <v>10</v>
      </c>
      <c r="B598" s="1" t="s">
        <v>16</v>
      </c>
      <c r="C598" s="1">
        <v>5</v>
      </c>
      <c r="D598" s="1">
        <v>1</v>
      </c>
      <c r="E598" s="1">
        <v>1021</v>
      </c>
      <c r="F598" s="1" t="b">
        <v>1</v>
      </c>
      <c r="G598" s="1">
        <v>60.607999999999997</v>
      </c>
      <c r="H598" s="1">
        <v>23</v>
      </c>
      <c r="I598" s="1">
        <v>5</v>
      </c>
      <c r="J598" s="1">
        <v>1.44</v>
      </c>
      <c r="K598" s="1" t="s">
        <v>479</v>
      </c>
      <c r="L598" s="1">
        <v>0</v>
      </c>
      <c r="M598" s="1"/>
      <c r="N598" s="1" t="s">
        <v>480</v>
      </c>
      <c r="O598" s="1" t="s">
        <v>481</v>
      </c>
      <c r="P598" s="1" t="s">
        <v>20</v>
      </c>
      <c r="Q598">
        <f t="shared" si="27"/>
        <v>240.99299982190132</v>
      </c>
      <c r="R598">
        <f t="shared" si="28"/>
        <v>8.2497360084477306E-2</v>
      </c>
      <c r="S598">
        <f t="shared" si="29"/>
        <v>0.37948785638859556</v>
      </c>
    </row>
    <row r="599" spans="1:19" hidden="1" x14ac:dyDescent="0.2">
      <c r="A599" s="1">
        <v>13</v>
      </c>
      <c r="B599" s="1" t="s">
        <v>16</v>
      </c>
      <c r="C599" s="1">
        <v>10</v>
      </c>
      <c r="D599" s="1">
        <v>1</v>
      </c>
      <c r="E599" s="1">
        <v>1021</v>
      </c>
      <c r="F599" s="1" t="b">
        <v>1</v>
      </c>
      <c r="G599" s="1">
        <v>180</v>
      </c>
      <c r="H599" s="1">
        <v>25</v>
      </c>
      <c r="I599" s="1">
        <v>17</v>
      </c>
      <c r="J599" s="1">
        <v>4.5599999999999996</v>
      </c>
      <c r="K599" s="1" t="s">
        <v>488</v>
      </c>
      <c r="L599" s="1">
        <v>0</v>
      </c>
      <c r="M599" s="1"/>
      <c r="N599" s="1" t="s">
        <v>489</v>
      </c>
      <c r="O599" s="1" t="s">
        <v>490</v>
      </c>
      <c r="P599" s="1" t="s">
        <v>20</v>
      </c>
      <c r="Q599">
        <f t="shared" si="27"/>
        <v>778.75399994663894</v>
      </c>
      <c r="R599">
        <f t="shared" si="28"/>
        <v>9.4444444444444442E-2</v>
      </c>
      <c r="S599">
        <f t="shared" si="29"/>
        <v>0.1388888888888889</v>
      </c>
    </row>
    <row r="600" spans="1:19" hidden="1" x14ac:dyDescent="0.2">
      <c r="A600" s="1">
        <v>16</v>
      </c>
      <c r="B600" s="1" t="s">
        <v>16</v>
      </c>
      <c r="C600" s="1">
        <v>15</v>
      </c>
      <c r="D600" s="1">
        <v>1</v>
      </c>
      <c r="E600" s="1">
        <v>1021</v>
      </c>
      <c r="F600" s="1" t="b">
        <v>1</v>
      </c>
      <c r="G600" s="1">
        <v>56.527999999999999</v>
      </c>
      <c r="H600" s="1">
        <v>23</v>
      </c>
      <c r="I600" s="1">
        <v>2</v>
      </c>
      <c r="J600" s="1">
        <v>0.36</v>
      </c>
      <c r="K600" s="1" t="s">
        <v>497</v>
      </c>
      <c r="L600" s="1">
        <v>0</v>
      </c>
      <c r="M600" s="1"/>
      <c r="N600" s="1" t="s">
        <v>498</v>
      </c>
      <c r="O600" s="1" t="s">
        <v>499</v>
      </c>
      <c r="P600" s="1" t="s">
        <v>20</v>
      </c>
      <c r="Q600">
        <f t="shared" si="27"/>
        <v>335.57999997865409</v>
      </c>
      <c r="R600">
        <f t="shared" si="28"/>
        <v>3.5380696292103032E-2</v>
      </c>
      <c r="S600">
        <f t="shared" si="29"/>
        <v>0.40687800735918483</v>
      </c>
    </row>
    <row r="601" spans="1:19" hidden="1" x14ac:dyDescent="0.2">
      <c r="A601" s="1">
        <v>19</v>
      </c>
      <c r="B601" s="1" t="s">
        <v>16</v>
      </c>
      <c r="C601" s="1">
        <v>20</v>
      </c>
      <c r="D601" s="1">
        <v>1</v>
      </c>
      <c r="E601" s="1">
        <v>1021</v>
      </c>
      <c r="F601" s="1" t="b">
        <v>1</v>
      </c>
      <c r="G601" s="1">
        <v>79.7</v>
      </c>
      <c r="H601" s="1">
        <v>23</v>
      </c>
      <c r="I601" s="1">
        <v>12</v>
      </c>
      <c r="J601" s="1">
        <v>3</v>
      </c>
      <c r="K601" s="1" t="s">
        <v>506</v>
      </c>
      <c r="L601" s="1">
        <v>0</v>
      </c>
      <c r="M601" s="1"/>
      <c r="N601" s="1" t="s">
        <v>507</v>
      </c>
      <c r="O601" s="1" t="s">
        <v>508</v>
      </c>
      <c r="P601" s="1" t="s">
        <v>20</v>
      </c>
      <c r="Q601">
        <f t="shared" si="27"/>
        <v>355.75600010342896</v>
      </c>
      <c r="R601">
        <f t="shared" si="28"/>
        <v>0.15056461731493098</v>
      </c>
      <c r="S601">
        <f t="shared" si="29"/>
        <v>0.28858218318695106</v>
      </c>
    </row>
    <row r="602" spans="1:19" hidden="1" x14ac:dyDescent="0.2">
      <c r="A602" s="1">
        <v>22</v>
      </c>
      <c r="B602" s="1" t="s">
        <v>16</v>
      </c>
      <c r="C602" s="1">
        <v>50</v>
      </c>
      <c r="D602" s="1">
        <v>1</v>
      </c>
      <c r="E602" s="1">
        <v>1021</v>
      </c>
      <c r="F602" s="1" t="b">
        <v>1</v>
      </c>
      <c r="G602" s="1">
        <v>126.696</v>
      </c>
      <c r="H602" s="1">
        <v>26</v>
      </c>
      <c r="I602" s="1">
        <v>19</v>
      </c>
      <c r="J602" s="1">
        <v>3.3</v>
      </c>
      <c r="K602" s="1" t="s">
        <v>515</v>
      </c>
      <c r="L602" s="1">
        <v>0</v>
      </c>
      <c r="M602" s="1"/>
      <c r="N602" s="1" t="s">
        <v>516</v>
      </c>
      <c r="O602" s="1" t="s">
        <v>517</v>
      </c>
      <c r="P602" s="1" t="s">
        <v>20</v>
      </c>
      <c r="Q602">
        <f t="shared" si="27"/>
        <v>478.56599958613515</v>
      </c>
      <c r="R602">
        <f t="shared" si="28"/>
        <v>0.14996527120035361</v>
      </c>
      <c r="S602">
        <f t="shared" si="29"/>
        <v>0.20521563427416809</v>
      </c>
    </row>
    <row r="603" spans="1:19" hidden="1" x14ac:dyDescent="0.2">
      <c r="A603" s="1">
        <v>25</v>
      </c>
      <c r="B603" s="1" t="s">
        <v>16</v>
      </c>
      <c r="C603" s="1">
        <v>70</v>
      </c>
      <c r="D603" s="1">
        <v>1</v>
      </c>
      <c r="E603" s="1">
        <v>1021</v>
      </c>
      <c r="F603" s="1" t="b">
        <v>1</v>
      </c>
      <c r="G603" s="1">
        <v>72.02</v>
      </c>
      <c r="H603" s="1">
        <v>23</v>
      </c>
      <c r="I603" s="1">
        <v>14</v>
      </c>
      <c r="J603" s="1">
        <v>2.1</v>
      </c>
      <c r="K603" s="1" t="s">
        <v>524</v>
      </c>
      <c r="L603" s="1">
        <v>0</v>
      </c>
      <c r="M603" s="1"/>
      <c r="N603" s="1" t="s">
        <v>525</v>
      </c>
      <c r="O603" s="1" t="s">
        <v>526</v>
      </c>
      <c r="P603" s="1" t="s">
        <v>20</v>
      </c>
      <c r="Q603">
        <f t="shared" si="27"/>
        <v>158.76100016757846</v>
      </c>
      <c r="R603">
        <f t="shared" si="28"/>
        <v>0.19439044709802833</v>
      </c>
      <c r="S603">
        <f t="shared" si="29"/>
        <v>0.31935573451818938</v>
      </c>
    </row>
    <row r="604" spans="1:19" x14ac:dyDescent="0.2">
      <c r="A604">
        <v>2</v>
      </c>
      <c r="B604" t="s">
        <v>21</v>
      </c>
      <c r="C604">
        <v>-1</v>
      </c>
      <c r="D604">
        <v>1</v>
      </c>
      <c r="E604">
        <v>1022</v>
      </c>
      <c r="F604" t="b">
        <v>1</v>
      </c>
      <c r="G604">
        <v>41.183999999999997</v>
      </c>
      <c r="H604">
        <v>20</v>
      </c>
      <c r="I604">
        <v>7</v>
      </c>
      <c r="J604">
        <v>5.76</v>
      </c>
      <c r="K604" t="s">
        <v>1401</v>
      </c>
      <c r="L604">
        <v>0</v>
      </c>
      <c r="N604" t="s">
        <v>1402</v>
      </c>
      <c r="O604" t="s">
        <v>1403</v>
      </c>
      <c r="P604" t="s">
        <v>20</v>
      </c>
      <c r="Q604">
        <f t="shared" si="27"/>
        <v>192.24700026679784</v>
      </c>
      <c r="R604">
        <f t="shared" si="28"/>
        <v>0.16996891996891997</v>
      </c>
      <c r="S604">
        <f t="shared" si="29"/>
        <v>0.48562548562548563</v>
      </c>
    </row>
    <row r="605" spans="1:19" x14ac:dyDescent="0.2">
      <c r="A605">
        <v>5</v>
      </c>
      <c r="B605" t="s">
        <v>21</v>
      </c>
      <c r="C605">
        <v>0</v>
      </c>
      <c r="D605">
        <v>1</v>
      </c>
      <c r="E605">
        <v>1022</v>
      </c>
      <c r="F605" t="b">
        <v>1</v>
      </c>
      <c r="G605">
        <v>62.304000000000002</v>
      </c>
      <c r="H605">
        <v>20</v>
      </c>
      <c r="I605">
        <v>2</v>
      </c>
      <c r="J605">
        <v>0.84</v>
      </c>
      <c r="K605" t="s">
        <v>1410</v>
      </c>
      <c r="L605">
        <v>0</v>
      </c>
      <c r="N605" t="s">
        <v>1411</v>
      </c>
      <c r="O605" t="s">
        <v>1412</v>
      </c>
      <c r="P605" t="s">
        <v>20</v>
      </c>
      <c r="Q605">
        <f t="shared" si="27"/>
        <v>273.09299984481186</v>
      </c>
      <c r="R605">
        <f t="shared" si="28"/>
        <v>3.210066769388803E-2</v>
      </c>
      <c r="S605">
        <f t="shared" si="29"/>
        <v>0.3210066769388803</v>
      </c>
    </row>
    <row r="606" spans="1:19" x14ac:dyDescent="0.2">
      <c r="A606">
        <v>8</v>
      </c>
      <c r="B606" t="s">
        <v>21</v>
      </c>
      <c r="C606">
        <v>2</v>
      </c>
      <c r="D606">
        <v>1</v>
      </c>
      <c r="E606">
        <v>1022</v>
      </c>
      <c r="F606" t="b">
        <v>1</v>
      </c>
      <c r="G606">
        <v>59.136000000000003</v>
      </c>
      <c r="H606">
        <v>17</v>
      </c>
      <c r="I606">
        <v>1</v>
      </c>
      <c r="J606">
        <v>0.78</v>
      </c>
      <c r="K606" t="s">
        <v>1419</v>
      </c>
      <c r="L606">
        <v>0</v>
      </c>
      <c r="N606" t="s">
        <v>1420</v>
      </c>
      <c r="O606" t="s">
        <v>1421</v>
      </c>
      <c r="P606" t="s">
        <v>20</v>
      </c>
      <c r="Q606">
        <f t="shared" si="27"/>
        <v>260.56500000413507</v>
      </c>
      <c r="R606">
        <f t="shared" si="28"/>
        <v>1.691017316017316E-2</v>
      </c>
      <c r="S606">
        <f t="shared" si="29"/>
        <v>0.28747294372294369</v>
      </c>
    </row>
    <row r="607" spans="1:19" x14ac:dyDescent="0.2">
      <c r="A607">
        <v>11</v>
      </c>
      <c r="B607" t="s">
        <v>21</v>
      </c>
      <c r="C607">
        <v>5</v>
      </c>
      <c r="D607">
        <v>1</v>
      </c>
      <c r="E607">
        <v>1022</v>
      </c>
      <c r="F607" t="b">
        <v>1</v>
      </c>
      <c r="G607">
        <v>99.028000000000006</v>
      </c>
      <c r="H607">
        <v>20</v>
      </c>
      <c r="I607">
        <v>3</v>
      </c>
      <c r="J607">
        <v>1.68</v>
      </c>
      <c r="K607" t="s">
        <v>1428</v>
      </c>
      <c r="L607">
        <v>0</v>
      </c>
      <c r="N607" t="s">
        <v>1429</v>
      </c>
      <c r="O607" t="s">
        <v>1430</v>
      </c>
      <c r="P607" t="s">
        <v>20</v>
      </c>
      <c r="Q607">
        <f t="shared" si="27"/>
        <v>445.09600033052266</v>
      </c>
      <c r="R607">
        <f t="shared" si="28"/>
        <v>3.02944621723149E-2</v>
      </c>
      <c r="S607">
        <f t="shared" si="29"/>
        <v>0.20196308114876599</v>
      </c>
    </row>
    <row r="608" spans="1:19" hidden="1" x14ac:dyDescent="0.2">
      <c r="A608">
        <v>14</v>
      </c>
      <c r="B608" t="s">
        <v>21</v>
      </c>
      <c r="C608">
        <v>10</v>
      </c>
      <c r="D608">
        <v>1</v>
      </c>
      <c r="E608">
        <v>1022</v>
      </c>
      <c r="F608" t="b">
        <v>1</v>
      </c>
      <c r="G608">
        <v>54.64</v>
      </c>
      <c r="H608">
        <v>18</v>
      </c>
      <c r="I608">
        <v>2</v>
      </c>
      <c r="J608">
        <v>0.12</v>
      </c>
      <c r="K608" t="s">
        <v>1437</v>
      </c>
      <c r="L608">
        <v>0</v>
      </c>
      <c r="N608" t="s">
        <v>1438</v>
      </c>
      <c r="O608" t="s">
        <v>1439</v>
      </c>
      <c r="P608" t="s">
        <v>20</v>
      </c>
      <c r="Q608">
        <f t="shared" si="27"/>
        <v>267.7300002425909</v>
      </c>
      <c r="R608">
        <f t="shared" si="28"/>
        <v>3.6603221083455345E-2</v>
      </c>
      <c r="S608">
        <f t="shared" si="29"/>
        <v>0.32942898975109808</v>
      </c>
    </row>
    <row r="609" spans="1:19" hidden="1" x14ac:dyDescent="0.2">
      <c r="A609">
        <v>17</v>
      </c>
      <c r="B609" t="s">
        <v>21</v>
      </c>
      <c r="C609">
        <v>15</v>
      </c>
      <c r="D609">
        <v>1</v>
      </c>
      <c r="E609">
        <v>1022</v>
      </c>
      <c r="F609" t="b">
        <v>1</v>
      </c>
      <c r="G609">
        <v>66.483999999999995</v>
      </c>
      <c r="H609">
        <v>19</v>
      </c>
      <c r="I609">
        <v>8</v>
      </c>
      <c r="J609">
        <v>1.86</v>
      </c>
      <c r="K609" t="s">
        <v>1446</v>
      </c>
      <c r="L609">
        <v>0</v>
      </c>
      <c r="N609" t="s">
        <v>1447</v>
      </c>
      <c r="O609" t="s">
        <v>1448</v>
      </c>
      <c r="P609" t="s">
        <v>20</v>
      </c>
      <c r="Q609">
        <f t="shared" si="27"/>
        <v>264.16900001931936</v>
      </c>
      <c r="R609">
        <f t="shared" si="28"/>
        <v>0.12032970338728116</v>
      </c>
      <c r="S609">
        <f t="shared" si="29"/>
        <v>0.28578304554479278</v>
      </c>
    </row>
    <row r="610" spans="1:19" hidden="1" x14ac:dyDescent="0.2">
      <c r="A610">
        <v>20</v>
      </c>
      <c r="B610" t="s">
        <v>21</v>
      </c>
      <c r="C610">
        <v>20</v>
      </c>
      <c r="D610">
        <v>1</v>
      </c>
      <c r="E610">
        <v>1022</v>
      </c>
      <c r="F610" t="b">
        <v>1</v>
      </c>
      <c r="G610">
        <v>38.968000000000004</v>
      </c>
      <c r="H610">
        <v>20</v>
      </c>
      <c r="I610">
        <v>1</v>
      </c>
      <c r="J610">
        <v>0.18</v>
      </c>
      <c r="K610" t="s">
        <v>1455</v>
      </c>
      <c r="L610">
        <v>0</v>
      </c>
      <c r="N610" t="s">
        <v>1456</v>
      </c>
      <c r="O610" t="s">
        <v>1457</v>
      </c>
      <c r="P610" t="s">
        <v>20</v>
      </c>
      <c r="Q610">
        <f t="shared" si="27"/>
        <v>142.19400028232485</v>
      </c>
      <c r="R610">
        <f t="shared" si="28"/>
        <v>2.5662081708068156E-2</v>
      </c>
      <c r="S610">
        <f t="shared" si="29"/>
        <v>0.51324163416136315</v>
      </c>
    </row>
    <row r="611" spans="1:19" hidden="1" x14ac:dyDescent="0.2">
      <c r="A611">
        <v>23</v>
      </c>
      <c r="B611" t="s">
        <v>21</v>
      </c>
      <c r="C611">
        <v>50</v>
      </c>
      <c r="D611">
        <v>1</v>
      </c>
      <c r="E611">
        <v>1022</v>
      </c>
      <c r="F611" t="b">
        <v>1</v>
      </c>
      <c r="G611">
        <v>55.456000000000003</v>
      </c>
      <c r="H611">
        <v>17</v>
      </c>
      <c r="I611">
        <v>5</v>
      </c>
      <c r="J611">
        <v>1.08</v>
      </c>
      <c r="K611" t="s">
        <v>1464</v>
      </c>
      <c r="L611">
        <v>0</v>
      </c>
      <c r="N611" t="s">
        <v>1465</v>
      </c>
      <c r="O611" t="s">
        <v>1466</v>
      </c>
      <c r="P611" t="s">
        <v>20</v>
      </c>
      <c r="Q611">
        <f t="shared" si="27"/>
        <v>321.85000001918525</v>
      </c>
      <c r="R611">
        <f t="shared" si="28"/>
        <v>9.0161569532602417E-2</v>
      </c>
      <c r="S611">
        <f t="shared" si="29"/>
        <v>0.30654933641084825</v>
      </c>
    </row>
    <row r="612" spans="1:19" hidden="1" x14ac:dyDescent="0.2">
      <c r="A612">
        <v>26</v>
      </c>
      <c r="B612" t="s">
        <v>21</v>
      </c>
      <c r="C612">
        <v>70</v>
      </c>
      <c r="D612">
        <v>1</v>
      </c>
      <c r="E612">
        <v>1022</v>
      </c>
      <c r="F612" t="b">
        <v>1</v>
      </c>
      <c r="G612">
        <v>51.607999999999997</v>
      </c>
      <c r="H612">
        <v>18</v>
      </c>
      <c r="I612">
        <v>3</v>
      </c>
      <c r="J612">
        <v>0.48</v>
      </c>
      <c r="K612" t="s">
        <v>1473</v>
      </c>
      <c r="L612">
        <v>0</v>
      </c>
      <c r="N612" t="s">
        <v>1474</v>
      </c>
      <c r="O612" t="s">
        <v>1475</v>
      </c>
      <c r="P612" t="s">
        <v>20</v>
      </c>
      <c r="Q612">
        <f t="shared" si="27"/>
        <v>233.44800013583153</v>
      </c>
      <c r="R612">
        <f t="shared" si="28"/>
        <v>5.8130522399627967E-2</v>
      </c>
      <c r="S612">
        <f t="shared" si="29"/>
        <v>0.34878313439776781</v>
      </c>
    </row>
    <row r="613" spans="1:19" x14ac:dyDescent="0.2">
      <c r="A613">
        <v>3</v>
      </c>
      <c r="B613" t="s">
        <v>25</v>
      </c>
      <c r="C613">
        <v>-1</v>
      </c>
      <c r="D613">
        <v>1</v>
      </c>
      <c r="E613">
        <v>1022</v>
      </c>
      <c r="F613" t="b">
        <v>1</v>
      </c>
      <c r="G613">
        <v>31.384</v>
      </c>
      <c r="H613">
        <v>25</v>
      </c>
      <c r="I613">
        <v>4</v>
      </c>
      <c r="J613">
        <v>2.7</v>
      </c>
      <c r="K613" t="s">
        <v>1404</v>
      </c>
      <c r="L613">
        <v>0</v>
      </c>
      <c r="N613" t="s">
        <v>1405</v>
      </c>
      <c r="O613" t="s">
        <v>1406</v>
      </c>
      <c r="P613" t="s">
        <v>20</v>
      </c>
      <c r="Q613">
        <f t="shared" si="27"/>
        <v>176.65500012226403</v>
      </c>
      <c r="R613">
        <f t="shared" si="28"/>
        <v>0.12745347947998981</v>
      </c>
      <c r="S613">
        <f t="shared" si="29"/>
        <v>0.79658424674993622</v>
      </c>
    </row>
    <row r="614" spans="1:19" x14ac:dyDescent="0.2">
      <c r="A614">
        <v>6</v>
      </c>
      <c r="B614" t="s">
        <v>25</v>
      </c>
      <c r="C614">
        <v>0</v>
      </c>
      <c r="D614">
        <v>1</v>
      </c>
      <c r="E614">
        <v>1022</v>
      </c>
      <c r="F614" t="b">
        <v>1</v>
      </c>
      <c r="G614">
        <v>50.631999999999998</v>
      </c>
      <c r="H614">
        <v>25</v>
      </c>
      <c r="I614">
        <v>0</v>
      </c>
      <c r="J614">
        <v>0</v>
      </c>
      <c r="K614" t="s">
        <v>1413</v>
      </c>
      <c r="L614">
        <v>0</v>
      </c>
      <c r="N614" t="s">
        <v>1414</v>
      </c>
      <c r="O614" t="s">
        <v>1415</v>
      </c>
      <c r="P614" t="s">
        <v>20</v>
      </c>
      <c r="Q614">
        <f t="shared" si="27"/>
        <v>222.19199978280813</v>
      </c>
      <c r="R614">
        <f t="shared" si="28"/>
        <v>0</v>
      </c>
      <c r="S614">
        <f t="shared" si="29"/>
        <v>0.49375888765997789</v>
      </c>
    </row>
    <row r="615" spans="1:19" x14ac:dyDescent="0.2">
      <c r="A615">
        <v>9</v>
      </c>
      <c r="B615" t="s">
        <v>25</v>
      </c>
      <c r="C615">
        <v>2</v>
      </c>
      <c r="D615">
        <v>1</v>
      </c>
      <c r="E615">
        <v>1022</v>
      </c>
      <c r="F615" t="b">
        <v>1</v>
      </c>
      <c r="G615">
        <v>56.048000000000002</v>
      </c>
      <c r="H615">
        <v>21</v>
      </c>
      <c r="I615">
        <v>5</v>
      </c>
      <c r="J615">
        <v>1.44</v>
      </c>
      <c r="K615" t="s">
        <v>1422</v>
      </c>
      <c r="L615">
        <v>0</v>
      </c>
      <c r="N615" t="s">
        <v>1423</v>
      </c>
      <c r="O615" t="s">
        <v>1424</v>
      </c>
      <c r="P615" t="s">
        <v>20</v>
      </c>
      <c r="Q615">
        <f t="shared" si="27"/>
        <v>160.34100002143532</v>
      </c>
      <c r="R615">
        <f t="shared" si="28"/>
        <v>8.9209249214958611E-2</v>
      </c>
      <c r="S615">
        <f t="shared" si="29"/>
        <v>0.37467884670282614</v>
      </c>
    </row>
    <row r="616" spans="1:19" x14ac:dyDescent="0.2">
      <c r="A616">
        <v>12</v>
      </c>
      <c r="B616" t="s">
        <v>25</v>
      </c>
      <c r="C616">
        <v>5</v>
      </c>
      <c r="D616">
        <v>1</v>
      </c>
      <c r="E616">
        <v>1022</v>
      </c>
      <c r="F616" t="b">
        <v>1</v>
      </c>
      <c r="G616">
        <v>39.344000000000001</v>
      </c>
      <c r="H616">
        <v>22</v>
      </c>
      <c r="I616">
        <v>1</v>
      </c>
      <c r="J616">
        <v>0.18</v>
      </c>
      <c r="K616" t="s">
        <v>1431</v>
      </c>
      <c r="L616">
        <v>0</v>
      </c>
      <c r="N616" t="s">
        <v>1432</v>
      </c>
      <c r="O616" t="s">
        <v>1433</v>
      </c>
      <c r="P616" t="s">
        <v>20</v>
      </c>
      <c r="Q616">
        <f t="shared" si="27"/>
        <v>125.95100034959614</v>
      </c>
      <c r="R616">
        <f t="shared" si="28"/>
        <v>2.5416836112240746E-2</v>
      </c>
      <c r="S616">
        <f t="shared" si="29"/>
        <v>0.55917039446929639</v>
      </c>
    </row>
    <row r="617" spans="1:19" hidden="1" x14ac:dyDescent="0.2">
      <c r="A617">
        <v>15</v>
      </c>
      <c r="B617" t="s">
        <v>25</v>
      </c>
      <c r="C617">
        <v>10</v>
      </c>
      <c r="D617">
        <v>1</v>
      </c>
      <c r="E617">
        <v>1022</v>
      </c>
      <c r="F617" t="b">
        <v>1</v>
      </c>
      <c r="G617">
        <v>52.676000000000002</v>
      </c>
      <c r="H617">
        <v>25</v>
      </c>
      <c r="I617">
        <v>3</v>
      </c>
      <c r="J617">
        <v>0.96</v>
      </c>
      <c r="K617" t="s">
        <v>1440</v>
      </c>
      <c r="L617">
        <v>0</v>
      </c>
      <c r="N617" t="s">
        <v>1441</v>
      </c>
      <c r="O617" t="s">
        <v>1442</v>
      </c>
      <c r="P617" t="s">
        <v>20</v>
      </c>
      <c r="Q617">
        <f t="shared" si="27"/>
        <v>228.29899995122105</v>
      </c>
      <c r="R617">
        <f t="shared" si="28"/>
        <v>5.6951932568911838E-2</v>
      </c>
      <c r="S617">
        <f t="shared" si="29"/>
        <v>0.4745994380742653</v>
      </c>
    </row>
    <row r="618" spans="1:19" hidden="1" x14ac:dyDescent="0.2">
      <c r="A618">
        <v>18</v>
      </c>
      <c r="B618" t="s">
        <v>25</v>
      </c>
      <c r="C618">
        <v>15</v>
      </c>
      <c r="D618">
        <v>1</v>
      </c>
      <c r="E618">
        <v>1022</v>
      </c>
      <c r="F618" t="b">
        <v>1</v>
      </c>
      <c r="G618">
        <v>52.98</v>
      </c>
      <c r="H618">
        <v>20</v>
      </c>
      <c r="I618">
        <v>8</v>
      </c>
      <c r="J618">
        <v>2.52</v>
      </c>
      <c r="K618" t="s">
        <v>1449</v>
      </c>
      <c r="L618">
        <v>0</v>
      </c>
      <c r="N618" t="s">
        <v>1450</v>
      </c>
      <c r="O618" t="s">
        <v>1451</v>
      </c>
      <c r="P618" t="s">
        <v>20</v>
      </c>
      <c r="Q618">
        <f t="shared" si="27"/>
        <v>280.13899989891797</v>
      </c>
      <c r="R618">
        <f t="shared" si="28"/>
        <v>0.15100037750094375</v>
      </c>
      <c r="S618">
        <f t="shared" si="29"/>
        <v>0.37750094375235943</v>
      </c>
    </row>
    <row r="619" spans="1:19" hidden="1" x14ac:dyDescent="0.2">
      <c r="A619">
        <v>21</v>
      </c>
      <c r="B619" t="s">
        <v>25</v>
      </c>
      <c r="C619">
        <v>20</v>
      </c>
      <c r="D619">
        <v>1</v>
      </c>
      <c r="E619">
        <v>1022</v>
      </c>
      <c r="F619" t="b">
        <v>1</v>
      </c>
      <c r="G619">
        <v>37.984000000000002</v>
      </c>
      <c r="H619">
        <v>24</v>
      </c>
      <c r="I619">
        <v>4</v>
      </c>
      <c r="J619">
        <v>0.78</v>
      </c>
      <c r="K619" t="s">
        <v>1458</v>
      </c>
      <c r="L619">
        <v>0</v>
      </c>
      <c r="N619" t="s">
        <v>1459</v>
      </c>
      <c r="O619" t="s">
        <v>1460</v>
      </c>
      <c r="P619" t="s">
        <v>20</v>
      </c>
      <c r="Q619">
        <f t="shared" si="27"/>
        <v>167.08899952936918</v>
      </c>
      <c r="R619">
        <f t="shared" si="28"/>
        <v>0.10530749789385004</v>
      </c>
      <c r="S619">
        <f t="shared" si="29"/>
        <v>0.63184498736310024</v>
      </c>
    </row>
    <row r="620" spans="1:19" hidden="1" x14ac:dyDescent="0.2">
      <c r="A620">
        <v>24</v>
      </c>
      <c r="B620" t="s">
        <v>25</v>
      </c>
      <c r="C620">
        <v>50</v>
      </c>
      <c r="D620">
        <v>1</v>
      </c>
      <c r="E620">
        <v>1022</v>
      </c>
      <c r="F620" t="b">
        <v>1</v>
      </c>
      <c r="G620">
        <v>29.736000000000001</v>
      </c>
      <c r="H620">
        <v>23</v>
      </c>
      <c r="I620">
        <v>2</v>
      </c>
      <c r="J620">
        <v>0.96</v>
      </c>
      <c r="K620" t="s">
        <v>1467</v>
      </c>
      <c r="L620">
        <v>0</v>
      </c>
      <c r="N620" t="s">
        <v>1468</v>
      </c>
      <c r="O620" t="s">
        <v>1469</v>
      </c>
      <c r="P620" t="s">
        <v>20</v>
      </c>
      <c r="Q620">
        <f t="shared" si="27"/>
        <v>140.09499989915639</v>
      </c>
      <c r="R620">
        <f t="shared" si="28"/>
        <v>6.7258541834813015E-2</v>
      </c>
      <c r="S620">
        <f t="shared" si="29"/>
        <v>0.77347323110034971</v>
      </c>
    </row>
    <row r="621" spans="1:19" hidden="1" x14ac:dyDescent="0.2">
      <c r="A621">
        <v>27</v>
      </c>
      <c r="B621" t="s">
        <v>25</v>
      </c>
      <c r="C621">
        <v>70</v>
      </c>
      <c r="D621">
        <v>1</v>
      </c>
      <c r="E621">
        <v>1022</v>
      </c>
      <c r="F621" t="b">
        <v>1</v>
      </c>
      <c r="G621">
        <v>29.58</v>
      </c>
      <c r="H621">
        <v>23</v>
      </c>
      <c r="I621">
        <v>1</v>
      </c>
      <c r="J621">
        <v>0.72</v>
      </c>
      <c r="K621" t="s">
        <v>1476</v>
      </c>
      <c r="L621">
        <v>0</v>
      </c>
      <c r="N621" t="s">
        <v>1477</v>
      </c>
      <c r="O621" t="s">
        <v>1478</v>
      </c>
      <c r="P621" t="s">
        <v>20</v>
      </c>
      <c r="Q621">
        <f t="shared" si="27"/>
        <v>184.93899952154607</v>
      </c>
      <c r="R621">
        <f t="shared" si="28"/>
        <v>3.3806626098715348E-2</v>
      </c>
      <c r="S621">
        <f t="shared" si="29"/>
        <v>0.77755240027045303</v>
      </c>
    </row>
    <row r="622" spans="1:19" x14ac:dyDescent="0.2">
      <c r="A622">
        <v>1</v>
      </c>
      <c r="B622" t="s">
        <v>16</v>
      </c>
      <c r="C622">
        <v>-1</v>
      </c>
      <c r="D622">
        <v>1</v>
      </c>
      <c r="E622">
        <v>1022</v>
      </c>
      <c r="F622" t="b">
        <v>1</v>
      </c>
      <c r="G622">
        <v>69.896000000000001</v>
      </c>
      <c r="H622">
        <v>17</v>
      </c>
      <c r="I622">
        <v>8</v>
      </c>
      <c r="J622">
        <v>6.78</v>
      </c>
      <c r="K622" t="s">
        <v>1398</v>
      </c>
      <c r="L622">
        <v>0</v>
      </c>
      <c r="N622" t="s">
        <v>1399</v>
      </c>
      <c r="O622" t="s">
        <v>1400</v>
      </c>
      <c r="P622" t="s">
        <v>20</v>
      </c>
      <c r="Q622">
        <f t="shared" si="27"/>
        <v>248.91899975482374</v>
      </c>
      <c r="R622">
        <f t="shared" si="28"/>
        <v>0.11445576284765938</v>
      </c>
      <c r="S622">
        <f t="shared" si="29"/>
        <v>0.24321849605127618</v>
      </c>
    </row>
    <row r="623" spans="1:19" x14ac:dyDescent="0.2">
      <c r="A623">
        <v>4</v>
      </c>
      <c r="B623" t="s">
        <v>16</v>
      </c>
      <c r="C623">
        <v>0</v>
      </c>
      <c r="D623">
        <v>1</v>
      </c>
      <c r="E623">
        <v>1022</v>
      </c>
      <c r="F623" t="b">
        <v>1</v>
      </c>
      <c r="G623">
        <v>62.08</v>
      </c>
      <c r="H623">
        <v>19</v>
      </c>
      <c r="I623">
        <v>6</v>
      </c>
      <c r="J623">
        <v>1.44</v>
      </c>
      <c r="K623" t="s">
        <v>1407</v>
      </c>
      <c r="L623">
        <v>0</v>
      </c>
      <c r="N623" t="s">
        <v>1408</v>
      </c>
      <c r="O623" t="s">
        <v>1409</v>
      </c>
      <c r="P623" t="s">
        <v>20</v>
      </c>
      <c r="Q623">
        <f t="shared" si="27"/>
        <v>283.78800004720688</v>
      </c>
      <c r="R623">
        <f t="shared" si="28"/>
        <v>9.6649484536082478E-2</v>
      </c>
      <c r="S623">
        <f t="shared" si="29"/>
        <v>0.30605670103092786</v>
      </c>
    </row>
    <row r="624" spans="1:19" x14ac:dyDescent="0.2">
      <c r="A624">
        <v>7</v>
      </c>
      <c r="B624" t="s">
        <v>16</v>
      </c>
      <c r="C624">
        <v>2</v>
      </c>
      <c r="D624">
        <v>1</v>
      </c>
      <c r="E624">
        <v>1022</v>
      </c>
      <c r="F624" t="b">
        <v>1</v>
      </c>
      <c r="G624">
        <v>63.271999999999998</v>
      </c>
      <c r="H624">
        <v>18</v>
      </c>
      <c r="I624">
        <v>1</v>
      </c>
      <c r="J624">
        <v>0.06</v>
      </c>
      <c r="K624" t="s">
        <v>1416</v>
      </c>
      <c r="L624">
        <v>0</v>
      </c>
      <c r="N624" t="s">
        <v>1417</v>
      </c>
      <c r="O624" t="s">
        <v>1418</v>
      </c>
      <c r="P624" t="s">
        <v>20</v>
      </c>
      <c r="Q624">
        <f t="shared" si="27"/>
        <v>270.55699971970171</v>
      </c>
      <c r="R624">
        <f t="shared" si="28"/>
        <v>1.5804779365280061E-2</v>
      </c>
      <c r="S624">
        <f t="shared" si="29"/>
        <v>0.28448602857504107</v>
      </c>
    </row>
    <row r="625" spans="1:19" x14ac:dyDescent="0.2">
      <c r="A625">
        <v>10</v>
      </c>
      <c r="B625" t="s">
        <v>16</v>
      </c>
      <c r="C625">
        <v>5</v>
      </c>
      <c r="D625">
        <v>1</v>
      </c>
      <c r="E625">
        <v>1022</v>
      </c>
      <c r="F625" t="b">
        <v>1</v>
      </c>
      <c r="G625">
        <v>108.872</v>
      </c>
      <c r="H625">
        <v>20</v>
      </c>
      <c r="I625">
        <v>2</v>
      </c>
      <c r="J625">
        <v>0.12</v>
      </c>
      <c r="K625" t="s">
        <v>1425</v>
      </c>
      <c r="L625">
        <v>0</v>
      </c>
      <c r="N625" t="s">
        <v>1426</v>
      </c>
      <c r="O625" t="s">
        <v>1427</v>
      </c>
      <c r="P625" t="s">
        <v>20</v>
      </c>
      <c r="Q625">
        <f t="shared" si="27"/>
        <v>458.36400005500764</v>
      </c>
      <c r="R625">
        <f t="shared" si="28"/>
        <v>1.837019619369535E-2</v>
      </c>
      <c r="S625">
        <f t="shared" si="29"/>
        <v>0.18370196193695348</v>
      </c>
    </row>
    <row r="626" spans="1:19" hidden="1" x14ac:dyDescent="0.2">
      <c r="A626">
        <v>13</v>
      </c>
      <c r="B626" t="s">
        <v>16</v>
      </c>
      <c r="C626">
        <v>10</v>
      </c>
      <c r="D626">
        <v>1</v>
      </c>
      <c r="E626">
        <v>1022</v>
      </c>
      <c r="F626" t="b">
        <v>1</v>
      </c>
      <c r="G626">
        <v>61.347999999999999</v>
      </c>
      <c r="H626">
        <v>19</v>
      </c>
      <c r="I626">
        <v>2</v>
      </c>
      <c r="J626">
        <v>0.54</v>
      </c>
      <c r="K626" t="s">
        <v>1434</v>
      </c>
      <c r="L626">
        <v>0</v>
      </c>
      <c r="N626" t="s">
        <v>1435</v>
      </c>
      <c r="O626" t="s">
        <v>1436</v>
      </c>
      <c r="P626" t="s">
        <v>20</v>
      </c>
      <c r="Q626">
        <f t="shared" si="27"/>
        <v>287.46499994304031</v>
      </c>
      <c r="R626">
        <f t="shared" si="28"/>
        <v>3.2600899784834061E-2</v>
      </c>
      <c r="S626">
        <f t="shared" si="29"/>
        <v>0.30970854795592356</v>
      </c>
    </row>
    <row r="627" spans="1:19" hidden="1" x14ac:dyDescent="0.2">
      <c r="A627">
        <v>16</v>
      </c>
      <c r="B627" t="s">
        <v>16</v>
      </c>
      <c r="C627">
        <v>15</v>
      </c>
      <c r="D627">
        <v>1</v>
      </c>
      <c r="E627">
        <v>1022</v>
      </c>
      <c r="F627" t="b">
        <v>1</v>
      </c>
      <c r="G627">
        <v>108.16800000000001</v>
      </c>
      <c r="H627">
        <v>19</v>
      </c>
      <c r="I627">
        <v>11</v>
      </c>
      <c r="J627">
        <v>2.4</v>
      </c>
      <c r="K627" t="s">
        <v>1443</v>
      </c>
      <c r="L627">
        <v>0</v>
      </c>
      <c r="N627" t="s">
        <v>1444</v>
      </c>
      <c r="O627" t="s">
        <v>1445</v>
      </c>
      <c r="P627" t="s">
        <v>20</v>
      </c>
      <c r="Q627">
        <f t="shared" si="27"/>
        <v>382.74399996735156</v>
      </c>
      <c r="R627">
        <f t="shared" si="28"/>
        <v>0.10169366171141188</v>
      </c>
      <c r="S627">
        <f t="shared" si="29"/>
        <v>0.17565268841062051</v>
      </c>
    </row>
    <row r="628" spans="1:19" hidden="1" x14ac:dyDescent="0.2">
      <c r="A628">
        <v>19</v>
      </c>
      <c r="B628" t="s">
        <v>16</v>
      </c>
      <c r="C628">
        <v>20</v>
      </c>
      <c r="D628">
        <v>1</v>
      </c>
      <c r="E628">
        <v>1022</v>
      </c>
      <c r="F628" t="b">
        <v>1</v>
      </c>
      <c r="G628">
        <v>84.652000000000001</v>
      </c>
      <c r="H628">
        <v>21</v>
      </c>
      <c r="I628">
        <v>2</v>
      </c>
      <c r="J628">
        <v>0.24</v>
      </c>
      <c r="K628" t="s">
        <v>1452</v>
      </c>
      <c r="L628">
        <v>0</v>
      </c>
      <c r="N628" t="s">
        <v>1453</v>
      </c>
      <c r="O628" t="s">
        <v>1454</v>
      </c>
      <c r="P628" t="s">
        <v>20</v>
      </c>
      <c r="Q628">
        <f t="shared" si="27"/>
        <v>313.98800031747669</v>
      </c>
      <c r="R628">
        <f t="shared" si="28"/>
        <v>2.362613996125313E-2</v>
      </c>
      <c r="S628">
        <f t="shared" si="29"/>
        <v>0.24807446959315788</v>
      </c>
    </row>
    <row r="629" spans="1:19" hidden="1" x14ac:dyDescent="0.2">
      <c r="A629">
        <v>22</v>
      </c>
      <c r="B629" t="s">
        <v>16</v>
      </c>
      <c r="C629">
        <v>50</v>
      </c>
      <c r="D629">
        <v>1</v>
      </c>
      <c r="E629">
        <v>1022</v>
      </c>
      <c r="F629" t="b">
        <v>1</v>
      </c>
      <c r="G629">
        <v>76.304000000000002</v>
      </c>
      <c r="H629">
        <v>21</v>
      </c>
      <c r="I629">
        <v>11</v>
      </c>
      <c r="J629">
        <v>1.86</v>
      </c>
      <c r="K629" t="s">
        <v>1461</v>
      </c>
      <c r="L629">
        <v>0</v>
      </c>
      <c r="N629" t="s">
        <v>1462</v>
      </c>
      <c r="O629" t="s">
        <v>1463</v>
      </c>
      <c r="P629" t="s">
        <v>20</v>
      </c>
      <c r="Q629">
        <f t="shared" si="27"/>
        <v>302.88599983323365</v>
      </c>
      <c r="R629">
        <f t="shared" si="28"/>
        <v>0.14416020130006291</v>
      </c>
      <c r="S629">
        <f t="shared" si="29"/>
        <v>0.27521492975466555</v>
      </c>
    </row>
    <row r="630" spans="1:19" hidden="1" x14ac:dyDescent="0.2">
      <c r="A630">
        <v>25</v>
      </c>
      <c r="B630" t="s">
        <v>16</v>
      </c>
      <c r="C630">
        <v>70</v>
      </c>
      <c r="D630">
        <v>1</v>
      </c>
      <c r="E630">
        <v>1022</v>
      </c>
      <c r="F630" t="b">
        <v>1</v>
      </c>
      <c r="G630">
        <v>51.228000000000002</v>
      </c>
      <c r="H630">
        <v>19</v>
      </c>
      <c r="I630">
        <v>8</v>
      </c>
      <c r="J630">
        <v>1.2</v>
      </c>
      <c r="K630" t="s">
        <v>1470</v>
      </c>
      <c r="L630">
        <v>0</v>
      </c>
      <c r="N630" t="s">
        <v>1471</v>
      </c>
      <c r="O630" t="s">
        <v>1472</v>
      </c>
      <c r="P630" t="s">
        <v>20</v>
      </c>
      <c r="Q630">
        <f t="shared" si="27"/>
        <v>217.35300030559301</v>
      </c>
      <c r="R630">
        <f t="shared" si="28"/>
        <v>0.15616459748574998</v>
      </c>
      <c r="S630">
        <f t="shared" si="29"/>
        <v>0.37089091902865617</v>
      </c>
    </row>
    <row r="631" spans="1:19" x14ac:dyDescent="0.2">
      <c r="A631">
        <v>29</v>
      </c>
      <c r="B631" t="s">
        <v>21</v>
      </c>
      <c r="C631">
        <v>-1</v>
      </c>
      <c r="D631">
        <v>2</v>
      </c>
      <c r="E631">
        <v>1023</v>
      </c>
      <c r="F631" t="b">
        <v>1</v>
      </c>
      <c r="G631">
        <v>52.988</v>
      </c>
      <c r="H631">
        <v>26</v>
      </c>
      <c r="I631">
        <v>5</v>
      </c>
      <c r="J631">
        <v>7.02</v>
      </c>
      <c r="K631" t="s">
        <v>1482</v>
      </c>
      <c r="L631">
        <v>0</v>
      </c>
      <c r="N631" t="s">
        <v>1483</v>
      </c>
      <c r="O631" t="s">
        <v>1484</v>
      </c>
      <c r="P631" t="s">
        <v>20</v>
      </c>
      <c r="Q631">
        <f t="shared" si="27"/>
        <v>223.50499997846782</v>
      </c>
      <c r="R631">
        <f t="shared" si="28"/>
        <v>9.4360987393372078E-2</v>
      </c>
      <c r="S631">
        <f t="shared" si="29"/>
        <v>0.49067713444553485</v>
      </c>
    </row>
    <row r="632" spans="1:19" x14ac:dyDescent="0.2">
      <c r="A632">
        <v>32</v>
      </c>
      <c r="B632" t="s">
        <v>21</v>
      </c>
      <c r="C632">
        <v>0</v>
      </c>
      <c r="D632">
        <v>2</v>
      </c>
      <c r="E632">
        <v>1023</v>
      </c>
      <c r="F632" t="b">
        <v>1</v>
      </c>
      <c r="G632">
        <v>126.3</v>
      </c>
      <c r="H632">
        <v>27</v>
      </c>
      <c r="I632">
        <v>2</v>
      </c>
      <c r="J632">
        <v>1.2</v>
      </c>
      <c r="K632" t="s">
        <v>1491</v>
      </c>
      <c r="L632">
        <v>0</v>
      </c>
      <c r="N632" t="s">
        <v>1492</v>
      </c>
      <c r="O632" t="s">
        <v>1493</v>
      </c>
      <c r="P632" t="s">
        <v>20</v>
      </c>
      <c r="Q632">
        <f t="shared" si="27"/>
        <v>534.85300003085285</v>
      </c>
      <c r="R632">
        <f t="shared" si="28"/>
        <v>1.5835312747426764E-2</v>
      </c>
      <c r="S632">
        <f t="shared" si="29"/>
        <v>0.2137767220902613</v>
      </c>
    </row>
    <row r="633" spans="1:19" x14ac:dyDescent="0.2">
      <c r="A633">
        <v>35</v>
      </c>
      <c r="B633" t="s">
        <v>21</v>
      </c>
      <c r="C633">
        <v>2</v>
      </c>
      <c r="D633">
        <v>2</v>
      </c>
      <c r="E633">
        <v>1023</v>
      </c>
      <c r="F633" t="b">
        <v>1</v>
      </c>
      <c r="G633">
        <v>77.623999999999995</v>
      </c>
      <c r="H633">
        <v>26</v>
      </c>
      <c r="I633">
        <v>5</v>
      </c>
      <c r="J633">
        <v>2.46</v>
      </c>
      <c r="K633" t="s">
        <v>1500</v>
      </c>
      <c r="L633">
        <v>0</v>
      </c>
      <c r="N633" t="s">
        <v>1501</v>
      </c>
      <c r="O633" t="s">
        <v>1502</v>
      </c>
      <c r="P633" t="s">
        <v>20</v>
      </c>
      <c r="Q633">
        <f t="shared" si="27"/>
        <v>307.45199988596141</v>
      </c>
      <c r="R633">
        <f t="shared" si="28"/>
        <v>6.441306812326085E-2</v>
      </c>
      <c r="S633">
        <f t="shared" si="29"/>
        <v>0.33494795424095641</v>
      </c>
    </row>
    <row r="634" spans="1:19" x14ac:dyDescent="0.2">
      <c r="A634">
        <v>38</v>
      </c>
      <c r="B634" t="s">
        <v>21</v>
      </c>
      <c r="C634">
        <v>5</v>
      </c>
      <c r="D634">
        <v>2</v>
      </c>
      <c r="E634">
        <v>1023</v>
      </c>
      <c r="F634" t="b">
        <v>1</v>
      </c>
      <c r="G634">
        <v>56.404000000000003</v>
      </c>
      <c r="H634">
        <v>26</v>
      </c>
      <c r="I634">
        <v>2</v>
      </c>
      <c r="J634">
        <v>0.12</v>
      </c>
      <c r="K634" t="s">
        <v>1509</v>
      </c>
      <c r="L634">
        <v>0</v>
      </c>
      <c r="N634" t="s">
        <v>1510</v>
      </c>
      <c r="O634" t="s">
        <v>1511</v>
      </c>
      <c r="P634" t="s">
        <v>20</v>
      </c>
      <c r="Q634">
        <f t="shared" si="27"/>
        <v>180.2119996631518</v>
      </c>
      <c r="R634">
        <f t="shared" si="28"/>
        <v>3.5458478122118997E-2</v>
      </c>
      <c r="S634">
        <f t="shared" si="29"/>
        <v>0.46096021558754696</v>
      </c>
    </row>
    <row r="635" spans="1:19" hidden="1" x14ac:dyDescent="0.2">
      <c r="A635">
        <v>41</v>
      </c>
      <c r="B635" t="s">
        <v>21</v>
      </c>
      <c r="C635">
        <v>10</v>
      </c>
      <c r="D635">
        <v>2</v>
      </c>
      <c r="E635">
        <v>1023</v>
      </c>
      <c r="F635" t="b">
        <v>1</v>
      </c>
      <c r="G635">
        <v>56.991999999999997</v>
      </c>
      <c r="H635">
        <v>26</v>
      </c>
      <c r="I635">
        <v>7</v>
      </c>
      <c r="J635">
        <v>2.76</v>
      </c>
      <c r="K635" t="s">
        <v>1518</v>
      </c>
      <c r="L635">
        <v>0</v>
      </c>
      <c r="N635" t="s">
        <v>1519</v>
      </c>
      <c r="O635" t="s">
        <v>1520</v>
      </c>
      <c r="P635" t="s">
        <v>20</v>
      </c>
      <c r="Q635">
        <f t="shared" si="27"/>
        <v>304.80700002517551</v>
      </c>
      <c r="R635">
        <f t="shared" si="28"/>
        <v>0.12282425603593487</v>
      </c>
      <c r="S635">
        <f t="shared" si="29"/>
        <v>0.45620437956204379</v>
      </c>
    </row>
    <row r="636" spans="1:19" hidden="1" x14ac:dyDescent="0.2">
      <c r="A636">
        <v>44</v>
      </c>
      <c r="B636" t="s">
        <v>21</v>
      </c>
      <c r="C636">
        <v>15</v>
      </c>
      <c r="D636">
        <v>2</v>
      </c>
      <c r="E636">
        <v>1023</v>
      </c>
      <c r="F636" t="b">
        <v>1</v>
      </c>
      <c r="G636">
        <v>59.908000000000001</v>
      </c>
      <c r="H636">
        <v>23</v>
      </c>
      <c r="I636">
        <v>4</v>
      </c>
      <c r="J636">
        <v>1.74</v>
      </c>
      <c r="K636" t="s">
        <v>1527</v>
      </c>
      <c r="L636">
        <v>0</v>
      </c>
      <c r="N636" t="s">
        <v>1528</v>
      </c>
      <c r="O636" t="s">
        <v>1529</v>
      </c>
      <c r="P636" t="s">
        <v>20</v>
      </c>
      <c r="Q636">
        <f t="shared" si="27"/>
        <v>298.34499964490533</v>
      </c>
      <c r="R636">
        <f t="shared" si="28"/>
        <v>6.6769045870334512E-2</v>
      </c>
      <c r="S636">
        <f t="shared" si="29"/>
        <v>0.38392201375442342</v>
      </c>
    </row>
    <row r="637" spans="1:19" hidden="1" x14ac:dyDescent="0.2">
      <c r="A637">
        <v>47</v>
      </c>
      <c r="B637" t="s">
        <v>21</v>
      </c>
      <c r="C637">
        <v>20</v>
      </c>
      <c r="D637">
        <v>2</v>
      </c>
      <c r="E637">
        <v>1023</v>
      </c>
      <c r="F637" t="b">
        <v>1</v>
      </c>
      <c r="G637">
        <v>87.391999999999996</v>
      </c>
      <c r="H637">
        <v>23</v>
      </c>
      <c r="I637">
        <v>8</v>
      </c>
      <c r="J637">
        <v>1.08</v>
      </c>
      <c r="K637" t="s">
        <v>1536</v>
      </c>
      <c r="L637">
        <v>0</v>
      </c>
      <c r="N637" t="s">
        <v>1537</v>
      </c>
      <c r="O637" t="s">
        <v>1538</v>
      </c>
      <c r="P637" t="s">
        <v>20</v>
      </c>
      <c r="Q637">
        <f t="shared" si="27"/>
        <v>433.25800001621246</v>
      </c>
      <c r="R637">
        <f t="shared" si="28"/>
        <v>9.1541559868180161E-2</v>
      </c>
      <c r="S637">
        <f t="shared" si="29"/>
        <v>0.26318198462101794</v>
      </c>
    </row>
    <row r="638" spans="1:19" hidden="1" x14ac:dyDescent="0.2">
      <c r="A638">
        <v>50</v>
      </c>
      <c r="B638" t="s">
        <v>21</v>
      </c>
      <c r="C638">
        <v>50</v>
      </c>
      <c r="D638">
        <v>2</v>
      </c>
      <c r="E638">
        <v>1023</v>
      </c>
      <c r="F638" t="b">
        <v>1</v>
      </c>
      <c r="G638">
        <v>53.756</v>
      </c>
      <c r="H638">
        <v>25</v>
      </c>
      <c r="I638">
        <v>2</v>
      </c>
      <c r="J638">
        <v>0.54</v>
      </c>
      <c r="K638" t="s">
        <v>1545</v>
      </c>
      <c r="L638">
        <v>0</v>
      </c>
      <c r="N638" t="s">
        <v>1546</v>
      </c>
      <c r="O638" t="s">
        <v>1547</v>
      </c>
      <c r="P638" t="s">
        <v>20</v>
      </c>
      <c r="Q638">
        <f t="shared" si="27"/>
        <v>223.03500026464462</v>
      </c>
      <c r="R638">
        <f t="shared" si="28"/>
        <v>3.7205149192648265E-2</v>
      </c>
      <c r="S638">
        <f t="shared" si="29"/>
        <v>0.46506436490810327</v>
      </c>
    </row>
    <row r="639" spans="1:19" hidden="1" x14ac:dyDescent="0.2">
      <c r="A639">
        <v>53</v>
      </c>
      <c r="B639" t="s">
        <v>21</v>
      </c>
      <c r="C639">
        <v>70</v>
      </c>
      <c r="D639">
        <v>2</v>
      </c>
      <c r="E639">
        <v>1023</v>
      </c>
      <c r="F639" t="b">
        <v>1</v>
      </c>
      <c r="G639">
        <v>54.055999999999997</v>
      </c>
      <c r="H639">
        <v>25</v>
      </c>
      <c r="I639">
        <v>1</v>
      </c>
      <c r="J639">
        <v>0.48</v>
      </c>
      <c r="K639" t="s">
        <v>1554</v>
      </c>
      <c r="L639">
        <v>0</v>
      </c>
      <c r="N639" t="s">
        <v>1555</v>
      </c>
      <c r="O639" t="s">
        <v>1556</v>
      </c>
      <c r="P639" t="s">
        <v>20</v>
      </c>
      <c r="Q639">
        <f t="shared" si="27"/>
        <v>229.22600030433387</v>
      </c>
      <c r="R639">
        <f t="shared" si="28"/>
        <v>1.8499334023975137E-2</v>
      </c>
      <c r="S639">
        <f t="shared" si="29"/>
        <v>0.46248335059937845</v>
      </c>
    </row>
    <row r="640" spans="1:19" x14ac:dyDescent="0.2">
      <c r="A640">
        <v>30</v>
      </c>
      <c r="B640" t="s">
        <v>25</v>
      </c>
      <c r="C640">
        <v>-1</v>
      </c>
      <c r="D640">
        <v>2</v>
      </c>
      <c r="E640">
        <v>1023</v>
      </c>
      <c r="F640" t="b">
        <v>1</v>
      </c>
      <c r="G640">
        <v>40.448</v>
      </c>
      <c r="H640">
        <v>29</v>
      </c>
      <c r="I640">
        <v>7</v>
      </c>
      <c r="J640">
        <v>5.28</v>
      </c>
      <c r="K640" t="s">
        <v>1485</v>
      </c>
      <c r="L640">
        <v>0</v>
      </c>
      <c r="N640" t="s">
        <v>1486</v>
      </c>
      <c r="O640" t="s">
        <v>1487</v>
      </c>
      <c r="P640" t="s">
        <v>20</v>
      </c>
      <c r="Q640">
        <f t="shared" si="27"/>
        <v>178.11899967491627</v>
      </c>
      <c r="R640">
        <f t="shared" si="28"/>
        <v>0.1730617088607595</v>
      </c>
      <c r="S640">
        <f t="shared" si="29"/>
        <v>0.71696993670886078</v>
      </c>
    </row>
    <row r="641" spans="1:19" x14ac:dyDescent="0.2">
      <c r="A641">
        <v>33</v>
      </c>
      <c r="B641" t="s">
        <v>25</v>
      </c>
      <c r="C641">
        <v>0</v>
      </c>
      <c r="D641">
        <v>2</v>
      </c>
      <c r="E641">
        <v>1023</v>
      </c>
      <c r="F641" t="b">
        <v>1</v>
      </c>
      <c r="G641">
        <v>45.212000000000003</v>
      </c>
      <c r="H641">
        <v>28</v>
      </c>
      <c r="I641">
        <v>0</v>
      </c>
      <c r="J641">
        <v>0</v>
      </c>
      <c r="K641" t="s">
        <v>1494</v>
      </c>
      <c r="L641">
        <v>0</v>
      </c>
      <c r="N641" t="s">
        <v>1495</v>
      </c>
      <c r="O641" t="s">
        <v>1496</v>
      </c>
      <c r="P641" t="s">
        <v>20</v>
      </c>
      <c r="Q641">
        <f t="shared" si="27"/>
        <v>156.81199959944934</v>
      </c>
      <c r="R641">
        <f t="shared" si="28"/>
        <v>0</v>
      </c>
      <c r="S641">
        <f t="shared" si="29"/>
        <v>0.61930460939573562</v>
      </c>
    </row>
    <row r="642" spans="1:19" x14ac:dyDescent="0.2">
      <c r="A642">
        <v>36</v>
      </c>
      <c r="B642" t="s">
        <v>25</v>
      </c>
      <c r="C642">
        <v>2</v>
      </c>
      <c r="D642">
        <v>2</v>
      </c>
      <c r="E642">
        <v>1023</v>
      </c>
      <c r="F642" t="b">
        <v>1</v>
      </c>
      <c r="G642">
        <v>53.008000000000003</v>
      </c>
      <c r="H642">
        <v>26</v>
      </c>
      <c r="I642">
        <v>1</v>
      </c>
      <c r="J642">
        <v>0.06</v>
      </c>
      <c r="K642" t="s">
        <v>1503</v>
      </c>
      <c r="L642">
        <v>0</v>
      </c>
      <c r="N642" t="s">
        <v>1504</v>
      </c>
      <c r="O642" t="s">
        <v>1505</v>
      </c>
      <c r="P642" t="s">
        <v>20</v>
      </c>
      <c r="Q642">
        <f t="shared" ref="Q642:Q705" si="30">(VALUE(LEFT(SUBSTITUTE(O642,"T"," "),23)) - VALUE(LEFT(SUBSTITUTE(N642,"T"," "),23))) * 86400</f>
        <v>281.60599996335804</v>
      </c>
      <c r="R642">
        <f t="shared" ref="R642:R705" si="31">I642/G642</f>
        <v>1.8865076969514033E-2</v>
      </c>
      <c r="S642">
        <f t="shared" ref="S642:S705" si="32">H642/G642</f>
        <v>0.49049200120736491</v>
      </c>
    </row>
    <row r="643" spans="1:19" x14ac:dyDescent="0.2">
      <c r="A643">
        <v>39</v>
      </c>
      <c r="B643" t="s">
        <v>25</v>
      </c>
      <c r="C643">
        <v>5</v>
      </c>
      <c r="D643">
        <v>2</v>
      </c>
      <c r="E643">
        <v>1023</v>
      </c>
      <c r="F643" t="b">
        <v>1</v>
      </c>
      <c r="G643">
        <v>63.835999999999999</v>
      </c>
      <c r="H643">
        <v>25</v>
      </c>
      <c r="I643">
        <v>2</v>
      </c>
      <c r="J643">
        <v>0.18</v>
      </c>
      <c r="K643" t="s">
        <v>1512</v>
      </c>
      <c r="L643">
        <v>0</v>
      </c>
      <c r="N643" t="s">
        <v>1513</v>
      </c>
      <c r="O643" t="s">
        <v>1514</v>
      </c>
      <c r="P643" t="s">
        <v>20</v>
      </c>
      <c r="Q643">
        <f t="shared" si="30"/>
        <v>235.69300028029829</v>
      </c>
      <c r="R643">
        <f t="shared" si="31"/>
        <v>3.1330283852371701E-2</v>
      </c>
      <c r="S643">
        <f t="shared" si="32"/>
        <v>0.39162854815464632</v>
      </c>
    </row>
    <row r="644" spans="1:19" hidden="1" x14ac:dyDescent="0.2">
      <c r="A644">
        <v>42</v>
      </c>
      <c r="B644" t="s">
        <v>25</v>
      </c>
      <c r="C644">
        <v>10</v>
      </c>
      <c r="D644">
        <v>2</v>
      </c>
      <c r="E644">
        <v>1023</v>
      </c>
      <c r="F644" t="b">
        <v>1</v>
      </c>
      <c r="G644">
        <v>51.423999999999999</v>
      </c>
      <c r="H644">
        <v>28</v>
      </c>
      <c r="I644">
        <v>1</v>
      </c>
      <c r="J644">
        <v>0.3</v>
      </c>
      <c r="K644" t="s">
        <v>1521</v>
      </c>
      <c r="L644">
        <v>0</v>
      </c>
      <c r="N644" t="s">
        <v>1522</v>
      </c>
      <c r="O644" t="s">
        <v>1523</v>
      </c>
      <c r="P644" t="s">
        <v>20</v>
      </c>
      <c r="Q644">
        <f t="shared" si="30"/>
        <v>232.53500028513372</v>
      </c>
      <c r="R644">
        <f t="shared" si="31"/>
        <v>1.9446172993154948E-2</v>
      </c>
      <c r="S644">
        <f t="shared" si="32"/>
        <v>0.54449284380833851</v>
      </c>
    </row>
    <row r="645" spans="1:19" hidden="1" x14ac:dyDescent="0.2">
      <c r="A645">
        <v>45</v>
      </c>
      <c r="B645" t="s">
        <v>25</v>
      </c>
      <c r="C645">
        <v>15</v>
      </c>
      <c r="D645">
        <v>2</v>
      </c>
      <c r="E645">
        <v>1023</v>
      </c>
      <c r="F645" t="b">
        <v>1</v>
      </c>
      <c r="G645">
        <v>48.292000000000002</v>
      </c>
      <c r="H645">
        <v>30</v>
      </c>
      <c r="I645">
        <v>1</v>
      </c>
      <c r="J645">
        <v>1.02</v>
      </c>
      <c r="K645" t="s">
        <v>1530</v>
      </c>
      <c r="L645">
        <v>0</v>
      </c>
      <c r="N645" t="s">
        <v>1531</v>
      </c>
      <c r="O645" t="s">
        <v>1532</v>
      </c>
      <c r="P645" t="s">
        <v>20</v>
      </c>
      <c r="Q645">
        <f t="shared" si="30"/>
        <v>219.56600002013147</v>
      </c>
      <c r="R645">
        <f t="shared" si="31"/>
        <v>2.0707363538474282E-2</v>
      </c>
      <c r="S645">
        <f t="shared" si="32"/>
        <v>0.62122090615422842</v>
      </c>
    </row>
    <row r="646" spans="1:19" hidden="1" x14ac:dyDescent="0.2">
      <c r="A646">
        <v>48</v>
      </c>
      <c r="B646" t="s">
        <v>25</v>
      </c>
      <c r="C646">
        <v>20</v>
      </c>
      <c r="D646">
        <v>2</v>
      </c>
      <c r="E646">
        <v>1023</v>
      </c>
      <c r="F646" t="b">
        <v>1</v>
      </c>
      <c r="G646">
        <v>56.468000000000004</v>
      </c>
      <c r="H646">
        <v>26</v>
      </c>
      <c r="I646">
        <v>2</v>
      </c>
      <c r="J646">
        <v>0.18</v>
      </c>
      <c r="K646" t="s">
        <v>1539</v>
      </c>
      <c r="L646">
        <v>0</v>
      </c>
      <c r="N646" t="s">
        <v>1540</v>
      </c>
      <c r="O646" t="s">
        <v>1541</v>
      </c>
      <c r="P646" t="s">
        <v>20</v>
      </c>
      <c r="Q646">
        <f t="shared" si="30"/>
        <v>164.19899999164045</v>
      </c>
      <c r="R646">
        <f t="shared" si="31"/>
        <v>3.5418290004958559E-2</v>
      </c>
      <c r="S646">
        <f t="shared" si="32"/>
        <v>0.46043777006446124</v>
      </c>
    </row>
    <row r="647" spans="1:19" hidden="1" x14ac:dyDescent="0.2">
      <c r="A647">
        <v>51</v>
      </c>
      <c r="B647" t="s">
        <v>25</v>
      </c>
      <c r="C647">
        <v>50</v>
      </c>
      <c r="D647">
        <v>2</v>
      </c>
      <c r="E647">
        <v>1023</v>
      </c>
      <c r="F647" t="b">
        <v>1</v>
      </c>
      <c r="G647">
        <v>37.112000000000002</v>
      </c>
      <c r="H647">
        <v>27</v>
      </c>
      <c r="I647">
        <v>0</v>
      </c>
      <c r="J647">
        <v>0</v>
      </c>
      <c r="K647" t="s">
        <v>1548</v>
      </c>
      <c r="L647">
        <v>0</v>
      </c>
      <c r="N647" t="s">
        <v>1549</v>
      </c>
      <c r="O647" t="s">
        <v>1550</v>
      </c>
      <c r="P647" t="s">
        <v>20</v>
      </c>
      <c r="Q647">
        <f t="shared" si="30"/>
        <v>166.5009998017922</v>
      </c>
      <c r="R647">
        <f t="shared" si="31"/>
        <v>0</v>
      </c>
      <c r="S647">
        <f t="shared" si="32"/>
        <v>0.72752748437163173</v>
      </c>
    </row>
    <row r="648" spans="1:19" hidden="1" x14ac:dyDescent="0.2">
      <c r="A648">
        <v>54</v>
      </c>
      <c r="B648" t="s">
        <v>25</v>
      </c>
      <c r="C648">
        <v>70</v>
      </c>
      <c r="D648">
        <v>2</v>
      </c>
      <c r="E648">
        <v>1023</v>
      </c>
      <c r="F648" t="b">
        <v>1</v>
      </c>
      <c r="G648">
        <v>40.283999999999999</v>
      </c>
      <c r="H648">
        <v>25</v>
      </c>
      <c r="I648">
        <v>1</v>
      </c>
      <c r="J648">
        <v>0.9</v>
      </c>
      <c r="K648" t="s">
        <v>1557</v>
      </c>
      <c r="L648">
        <v>0</v>
      </c>
      <c r="N648" t="s">
        <v>1558</v>
      </c>
      <c r="O648" t="s">
        <v>1559</v>
      </c>
      <c r="P648" t="s">
        <v>20</v>
      </c>
      <c r="Q648">
        <f t="shared" si="30"/>
        <v>197.79099994339049</v>
      </c>
      <c r="R648">
        <f t="shared" si="31"/>
        <v>2.4823751365306325E-2</v>
      </c>
      <c r="S648">
        <f t="shared" si="32"/>
        <v>0.6205937841326582</v>
      </c>
    </row>
    <row r="649" spans="1:19" x14ac:dyDescent="0.2">
      <c r="A649">
        <v>28</v>
      </c>
      <c r="B649" t="s">
        <v>16</v>
      </c>
      <c r="C649">
        <v>-1</v>
      </c>
      <c r="D649">
        <v>2</v>
      </c>
      <c r="E649">
        <v>1023</v>
      </c>
      <c r="F649" t="b">
        <v>1</v>
      </c>
      <c r="G649">
        <v>68.603999999999999</v>
      </c>
      <c r="H649">
        <v>26</v>
      </c>
      <c r="I649">
        <v>7</v>
      </c>
      <c r="J649">
        <v>4.08</v>
      </c>
      <c r="K649" t="s">
        <v>1479</v>
      </c>
      <c r="L649">
        <v>0</v>
      </c>
      <c r="N649" t="s">
        <v>1480</v>
      </c>
      <c r="O649" t="s">
        <v>1481</v>
      </c>
      <c r="P649" t="s">
        <v>20</v>
      </c>
      <c r="Q649">
        <f t="shared" si="30"/>
        <v>317.1359998639673</v>
      </c>
      <c r="R649">
        <f t="shared" si="31"/>
        <v>0.10203486677161681</v>
      </c>
      <c r="S649">
        <f t="shared" si="32"/>
        <v>0.37898664800886245</v>
      </c>
    </row>
    <row r="650" spans="1:19" x14ac:dyDescent="0.2">
      <c r="A650">
        <v>31</v>
      </c>
      <c r="B650" t="s">
        <v>16</v>
      </c>
      <c r="C650">
        <v>0</v>
      </c>
      <c r="D650">
        <v>2</v>
      </c>
      <c r="E650">
        <v>1023</v>
      </c>
      <c r="F650" t="b">
        <v>1</v>
      </c>
      <c r="G650">
        <v>85.215999999999994</v>
      </c>
      <c r="H650">
        <v>24</v>
      </c>
      <c r="I650">
        <v>3</v>
      </c>
      <c r="J650">
        <v>0.54</v>
      </c>
      <c r="K650" t="s">
        <v>1488</v>
      </c>
      <c r="L650">
        <v>0</v>
      </c>
      <c r="N650" t="s">
        <v>1489</v>
      </c>
      <c r="O650" t="s">
        <v>1490</v>
      </c>
      <c r="P650" t="s">
        <v>20</v>
      </c>
      <c r="Q650">
        <f t="shared" si="30"/>
        <v>407.07100038416684</v>
      </c>
      <c r="R650">
        <f t="shared" si="31"/>
        <v>3.5204656402553512E-2</v>
      </c>
      <c r="S650">
        <f t="shared" si="32"/>
        <v>0.2816372512204281</v>
      </c>
    </row>
    <row r="651" spans="1:19" x14ac:dyDescent="0.2">
      <c r="A651">
        <v>34</v>
      </c>
      <c r="B651" t="s">
        <v>16</v>
      </c>
      <c r="C651">
        <v>2</v>
      </c>
      <c r="D651">
        <v>2</v>
      </c>
      <c r="E651">
        <v>1023</v>
      </c>
      <c r="F651" t="b">
        <v>1</v>
      </c>
      <c r="G651">
        <v>101.908</v>
      </c>
      <c r="H651">
        <v>24</v>
      </c>
      <c r="I651">
        <v>3</v>
      </c>
      <c r="J651">
        <v>1.1399999999999999</v>
      </c>
      <c r="K651" t="s">
        <v>1497</v>
      </c>
      <c r="L651">
        <v>0</v>
      </c>
      <c r="N651" t="s">
        <v>1498</v>
      </c>
      <c r="O651" t="s">
        <v>1499</v>
      </c>
      <c r="P651" t="s">
        <v>20</v>
      </c>
      <c r="Q651">
        <f t="shared" si="30"/>
        <v>488.46400023903698</v>
      </c>
      <c r="R651">
        <f t="shared" si="31"/>
        <v>2.9438316913294342E-2</v>
      </c>
      <c r="S651">
        <f t="shared" si="32"/>
        <v>0.23550653530635474</v>
      </c>
    </row>
    <row r="652" spans="1:19" x14ac:dyDescent="0.2">
      <c r="A652">
        <v>37</v>
      </c>
      <c r="B652" t="s">
        <v>16</v>
      </c>
      <c r="C652">
        <v>5</v>
      </c>
      <c r="D652">
        <v>2</v>
      </c>
      <c r="E652">
        <v>1023</v>
      </c>
      <c r="F652" t="b">
        <v>1</v>
      </c>
      <c r="G652">
        <v>50.32</v>
      </c>
      <c r="H652">
        <v>29</v>
      </c>
      <c r="I652">
        <v>0</v>
      </c>
      <c r="J652">
        <v>0</v>
      </c>
      <c r="K652" t="s">
        <v>1506</v>
      </c>
      <c r="L652">
        <v>0</v>
      </c>
      <c r="N652" t="s">
        <v>1507</v>
      </c>
      <c r="O652" t="s">
        <v>1508</v>
      </c>
      <c r="P652" t="s">
        <v>20</v>
      </c>
      <c r="Q652">
        <f t="shared" si="30"/>
        <v>280.19200013950467</v>
      </c>
      <c r="R652">
        <f t="shared" si="31"/>
        <v>0</v>
      </c>
      <c r="S652">
        <f t="shared" si="32"/>
        <v>0.57631160572337048</v>
      </c>
    </row>
    <row r="653" spans="1:19" hidden="1" x14ac:dyDescent="0.2">
      <c r="A653">
        <v>40</v>
      </c>
      <c r="B653" t="s">
        <v>16</v>
      </c>
      <c r="C653">
        <v>10</v>
      </c>
      <c r="D653">
        <v>2</v>
      </c>
      <c r="E653">
        <v>1023</v>
      </c>
      <c r="F653" t="b">
        <v>1</v>
      </c>
      <c r="G653">
        <v>72.62</v>
      </c>
      <c r="H653">
        <v>24</v>
      </c>
      <c r="I653">
        <v>5</v>
      </c>
      <c r="J653">
        <v>1.02</v>
      </c>
      <c r="K653" t="s">
        <v>1515</v>
      </c>
      <c r="L653">
        <v>0</v>
      </c>
      <c r="N653" t="s">
        <v>1516</v>
      </c>
      <c r="O653" t="s">
        <v>1517</v>
      </c>
      <c r="P653" t="s">
        <v>20</v>
      </c>
      <c r="Q653">
        <f t="shared" si="30"/>
        <v>334.77100026793778</v>
      </c>
      <c r="R653">
        <f t="shared" si="31"/>
        <v>6.8851556045166615E-2</v>
      </c>
      <c r="S653">
        <f t="shared" si="32"/>
        <v>0.33048746901679976</v>
      </c>
    </row>
    <row r="654" spans="1:19" hidden="1" x14ac:dyDescent="0.2">
      <c r="A654">
        <v>43</v>
      </c>
      <c r="B654" t="s">
        <v>16</v>
      </c>
      <c r="C654">
        <v>15</v>
      </c>
      <c r="D654">
        <v>2</v>
      </c>
      <c r="E654">
        <v>1023</v>
      </c>
      <c r="F654" t="b">
        <v>1</v>
      </c>
      <c r="G654">
        <v>92.24</v>
      </c>
      <c r="H654">
        <v>27</v>
      </c>
      <c r="I654">
        <v>8</v>
      </c>
      <c r="J654">
        <v>3.54</v>
      </c>
      <c r="K654" t="s">
        <v>1524</v>
      </c>
      <c r="L654">
        <v>0</v>
      </c>
      <c r="N654" t="s">
        <v>1525</v>
      </c>
      <c r="O654" t="s">
        <v>1526</v>
      </c>
      <c r="P654" t="s">
        <v>20</v>
      </c>
      <c r="Q654">
        <f t="shared" si="30"/>
        <v>411.82300010696054</v>
      </c>
      <c r="R654">
        <f t="shared" si="31"/>
        <v>8.6730268863833476E-2</v>
      </c>
      <c r="S654">
        <f t="shared" si="32"/>
        <v>0.29271465741543801</v>
      </c>
    </row>
    <row r="655" spans="1:19" hidden="1" x14ac:dyDescent="0.2">
      <c r="A655">
        <v>46</v>
      </c>
      <c r="B655" t="s">
        <v>16</v>
      </c>
      <c r="C655">
        <v>20</v>
      </c>
      <c r="D655">
        <v>2</v>
      </c>
      <c r="E655">
        <v>1023</v>
      </c>
      <c r="F655" t="b">
        <v>1</v>
      </c>
      <c r="G655">
        <v>58.128</v>
      </c>
      <c r="H655">
        <v>27</v>
      </c>
      <c r="I655">
        <v>2</v>
      </c>
      <c r="J655">
        <v>0.12</v>
      </c>
      <c r="K655" t="s">
        <v>1533</v>
      </c>
      <c r="L655">
        <v>0</v>
      </c>
      <c r="N655" t="s">
        <v>1534</v>
      </c>
      <c r="O655" t="s">
        <v>1535</v>
      </c>
      <c r="P655" t="s">
        <v>20</v>
      </c>
      <c r="Q655">
        <f t="shared" si="30"/>
        <v>264.5479999249801</v>
      </c>
      <c r="R655">
        <f t="shared" si="31"/>
        <v>3.4406826314340763E-2</v>
      </c>
      <c r="S655">
        <f t="shared" si="32"/>
        <v>0.46449215524360032</v>
      </c>
    </row>
    <row r="656" spans="1:19" hidden="1" x14ac:dyDescent="0.2">
      <c r="A656">
        <v>49</v>
      </c>
      <c r="B656" t="s">
        <v>16</v>
      </c>
      <c r="C656">
        <v>50</v>
      </c>
      <c r="D656">
        <v>2</v>
      </c>
      <c r="E656">
        <v>1023</v>
      </c>
      <c r="F656" t="b">
        <v>1</v>
      </c>
      <c r="G656">
        <v>74.028000000000006</v>
      </c>
      <c r="H656">
        <v>24</v>
      </c>
      <c r="I656">
        <v>8</v>
      </c>
      <c r="J656">
        <v>1.1399999999999999</v>
      </c>
      <c r="K656" t="s">
        <v>1542</v>
      </c>
      <c r="L656">
        <v>0</v>
      </c>
      <c r="N656" t="s">
        <v>1543</v>
      </c>
      <c r="O656" t="s">
        <v>1544</v>
      </c>
      <c r="P656" t="s">
        <v>20</v>
      </c>
      <c r="Q656">
        <f t="shared" si="30"/>
        <v>274.36600013170391</v>
      </c>
      <c r="R656">
        <f t="shared" si="31"/>
        <v>0.10806721780947749</v>
      </c>
      <c r="S656">
        <f t="shared" si="32"/>
        <v>0.32420165342843243</v>
      </c>
    </row>
    <row r="657" spans="1:19" hidden="1" x14ac:dyDescent="0.2">
      <c r="A657">
        <v>52</v>
      </c>
      <c r="B657" t="s">
        <v>16</v>
      </c>
      <c r="C657">
        <v>70</v>
      </c>
      <c r="D657">
        <v>2</v>
      </c>
      <c r="E657">
        <v>1023</v>
      </c>
      <c r="F657" t="b">
        <v>1</v>
      </c>
      <c r="G657">
        <v>63.148000000000003</v>
      </c>
      <c r="H657">
        <v>25</v>
      </c>
      <c r="I657">
        <v>7</v>
      </c>
      <c r="J657">
        <v>0.96</v>
      </c>
      <c r="K657" t="s">
        <v>1551</v>
      </c>
      <c r="L657">
        <v>0</v>
      </c>
      <c r="N657" t="s">
        <v>1552</v>
      </c>
      <c r="O657" t="s">
        <v>1553</v>
      </c>
      <c r="P657" t="s">
        <v>20</v>
      </c>
      <c r="Q657">
        <f t="shared" si="30"/>
        <v>289.49600004125386</v>
      </c>
      <c r="R657">
        <f t="shared" si="31"/>
        <v>0.11085069994299106</v>
      </c>
      <c r="S657">
        <f t="shared" si="32"/>
        <v>0.39589535693925382</v>
      </c>
    </row>
    <row r="658" spans="1:19" x14ac:dyDescent="0.2">
      <c r="A658">
        <v>56</v>
      </c>
      <c r="B658" t="s">
        <v>21</v>
      </c>
      <c r="C658">
        <v>-1</v>
      </c>
      <c r="D658">
        <v>3</v>
      </c>
      <c r="E658">
        <v>1024</v>
      </c>
      <c r="F658" t="b">
        <v>1</v>
      </c>
      <c r="G658">
        <v>74.876000000000005</v>
      </c>
      <c r="H658">
        <v>29</v>
      </c>
      <c r="I658">
        <v>7</v>
      </c>
      <c r="J658">
        <v>5.58</v>
      </c>
      <c r="K658" t="s">
        <v>1563</v>
      </c>
      <c r="L658">
        <v>0</v>
      </c>
      <c r="N658" t="s">
        <v>1564</v>
      </c>
      <c r="O658" t="s">
        <v>1565</v>
      </c>
      <c r="P658" t="s">
        <v>20</v>
      </c>
      <c r="Q658">
        <f t="shared" si="30"/>
        <v>313.41200012248009</v>
      </c>
      <c r="R658">
        <f t="shared" si="31"/>
        <v>9.3487899994657828E-2</v>
      </c>
      <c r="S658">
        <f t="shared" si="32"/>
        <v>0.38730701426358244</v>
      </c>
    </row>
    <row r="659" spans="1:19" x14ac:dyDescent="0.2">
      <c r="A659">
        <v>59</v>
      </c>
      <c r="B659" t="s">
        <v>21</v>
      </c>
      <c r="C659">
        <v>0</v>
      </c>
      <c r="D659">
        <v>3</v>
      </c>
      <c r="E659">
        <v>1024</v>
      </c>
      <c r="F659" t="b">
        <v>1</v>
      </c>
      <c r="G659">
        <v>63.027999999999999</v>
      </c>
      <c r="H659">
        <v>29</v>
      </c>
      <c r="I659">
        <v>2</v>
      </c>
      <c r="J659">
        <v>2.46</v>
      </c>
      <c r="K659" t="s">
        <v>1572</v>
      </c>
      <c r="L659">
        <v>0</v>
      </c>
      <c r="N659" t="s">
        <v>1573</v>
      </c>
      <c r="O659" t="s">
        <v>1574</v>
      </c>
      <c r="P659" t="s">
        <v>20</v>
      </c>
      <c r="Q659">
        <f t="shared" si="30"/>
        <v>355.38700001779944</v>
      </c>
      <c r="R659">
        <f t="shared" si="31"/>
        <v>3.1731928666624359E-2</v>
      </c>
      <c r="S659">
        <f t="shared" si="32"/>
        <v>0.4601129656660532</v>
      </c>
    </row>
    <row r="660" spans="1:19" x14ac:dyDescent="0.2">
      <c r="A660">
        <v>62</v>
      </c>
      <c r="B660" t="s">
        <v>21</v>
      </c>
      <c r="C660">
        <v>2</v>
      </c>
      <c r="D660">
        <v>3</v>
      </c>
      <c r="E660">
        <v>1024</v>
      </c>
      <c r="F660" t="b">
        <v>1</v>
      </c>
      <c r="G660">
        <v>99.62</v>
      </c>
      <c r="H660">
        <v>23</v>
      </c>
      <c r="I660">
        <v>2</v>
      </c>
      <c r="J660">
        <v>1.02</v>
      </c>
      <c r="K660" t="s">
        <v>1581</v>
      </c>
      <c r="L660">
        <v>0</v>
      </c>
      <c r="N660" t="s">
        <v>1582</v>
      </c>
      <c r="O660" t="s">
        <v>1583</v>
      </c>
      <c r="P660" t="s">
        <v>20</v>
      </c>
      <c r="Q660">
        <f t="shared" si="30"/>
        <v>471.60800008568913</v>
      </c>
      <c r="R660">
        <f t="shared" si="31"/>
        <v>2.0076289901626177E-2</v>
      </c>
      <c r="S660">
        <f t="shared" si="32"/>
        <v>0.23087733386870105</v>
      </c>
    </row>
    <row r="661" spans="1:19" x14ac:dyDescent="0.2">
      <c r="A661">
        <v>65</v>
      </c>
      <c r="B661" t="s">
        <v>21</v>
      </c>
      <c r="C661">
        <v>5</v>
      </c>
      <c r="D661">
        <v>3</v>
      </c>
      <c r="E661">
        <v>1024</v>
      </c>
      <c r="F661" t="b">
        <v>1</v>
      </c>
      <c r="G661">
        <v>91.144000000000005</v>
      </c>
      <c r="H661">
        <v>25</v>
      </c>
      <c r="I661">
        <v>6</v>
      </c>
      <c r="J661">
        <v>2.16</v>
      </c>
      <c r="K661" t="s">
        <v>1590</v>
      </c>
      <c r="L661">
        <v>0</v>
      </c>
      <c r="N661" t="s">
        <v>1591</v>
      </c>
      <c r="O661" t="s">
        <v>1592</v>
      </c>
      <c r="P661" t="s">
        <v>20</v>
      </c>
      <c r="Q661">
        <f t="shared" si="30"/>
        <v>401.99299973901361</v>
      </c>
      <c r="R661">
        <f t="shared" si="31"/>
        <v>6.5829895549899056E-2</v>
      </c>
      <c r="S661">
        <f t="shared" si="32"/>
        <v>0.27429123145791273</v>
      </c>
    </row>
    <row r="662" spans="1:19" hidden="1" x14ac:dyDescent="0.2">
      <c r="A662">
        <v>68</v>
      </c>
      <c r="B662" t="s">
        <v>21</v>
      </c>
      <c r="C662">
        <v>10</v>
      </c>
      <c r="D662">
        <v>3</v>
      </c>
      <c r="E662">
        <v>1024</v>
      </c>
      <c r="F662" t="b">
        <v>1</v>
      </c>
      <c r="G662">
        <v>65.275999999999996</v>
      </c>
      <c r="H662">
        <v>27</v>
      </c>
      <c r="I662">
        <v>4</v>
      </c>
      <c r="J662">
        <v>1.26</v>
      </c>
      <c r="K662" t="s">
        <v>1599</v>
      </c>
      <c r="L662">
        <v>0</v>
      </c>
      <c r="N662" t="s">
        <v>1600</v>
      </c>
      <c r="O662" t="s">
        <v>1601</v>
      </c>
      <c r="P662" t="s">
        <v>20</v>
      </c>
      <c r="Q662">
        <f t="shared" si="30"/>
        <v>294.24199999775738</v>
      </c>
      <c r="R662">
        <f t="shared" si="31"/>
        <v>6.1278264599546543E-2</v>
      </c>
      <c r="S662">
        <f t="shared" si="32"/>
        <v>0.41362828604693919</v>
      </c>
    </row>
    <row r="663" spans="1:19" hidden="1" x14ac:dyDescent="0.2">
      <c r="A663">
        <v>71</v>
      </c>
      <c r="B663" t="s">
        <v>21</v>
      </c>
      <c r="C663">
        <v>15</v>
      </c>
      <c r="D663">
        <v>3</v>
      </c>
      <c r="E663">
        <v>1024</v>
      </c>
      <c r="F663" t="b">
        <v>1</v>
      </c>
      <c r="G663">
        <v>80.248000000000005</v>
      </c>
      <c r="H663">
        <v>23</v>
      </c>
      <c r="I663">
        <v>7</v>
      </c>
      <c r="J663">
        <v>1.5</v>
      </c>
      <c r="K663" t="s">
        <v>1608</v>
      </c>
      <c r="L663">
        <v>0</v>
      </c>
      <c r="N663" t="s">
        <v>1609</v>
      </c>
      <c r="O663" t="s">
        <v>1610</v>
      </c>
      <c r="P663" t="s">
        <v>20</v>
      </c>
      <c r="Q663">
        <f t="shared" si="30"/>
        <v>380.34200007095933</v>
      </c>
      <c r="R663">
        <f t="shared" si="31"/>
        <v>8.7229588276343334E-2</v>
      </c>
      <c r="S663">
        <f t="shared" si="32"/>
        <v>0.28661150433655663</v>
      </c>
    </row>
    <row r="664" spans="1:19" hidden="1" x14ac:dyDescent="0.2">
      <c r="A664">
        <v>74</v>
      </c>
      <c r="B664" t="s">
        <v>21</v>
      </c>
      <c r="C664">
        <v>20</v>
      </c>
      <c r="D664">
        <v>3</v>
      </c>
      <c r="E664">
        <v>1024</v>
      </c>
      <c r="F664" t="b">
        <v>1</v>
      </c>
      <c r="G664">
        <v>62.072000000000003</v>
      </c>
      <c r="H664">
        <v>27</v>
      </c>
      <c r="I664">
        <v>4</v>
      </c>
      <c r="J664">
        <v>0.66</v>
      </c>
      <c r="K664" t="s">
        <v>1617</v>
      </c>
      <c r="L664">
        <v>0</v>
      </c>
      <c r="N664" t="s">
        <v>1618</v>
      </c>
      <c r="O664" t="s">
        <v>1619</v>
      </c>
      <c r="P664" t="s">
        <v>20</v>
      </c>
      <c r="Q664">
        <f t="shared" si="30"/>
        <v>327.65199970453978</v>
      </c>
      <c r="R664">
        <f t="shared" si="31"/>
        <v>6.4441293981183145E-2</v>
      </c>
      <c r="S664">
        <f t="shared" si="32"/>
        <v>0.43497873437298618</v>
      </c>
    </row>
    <row r="665" spans="1:19" hidden="1" x14ac:dyDescent="0.2">
      <c r="A665">
        <v>77</v>
      </c>
      <c r="B665" t="s">
        <v>21</v>
      </c>
      <c r="C665">
        <v>50</v>
      </c>
      <c r="D665">
        <v>3</v>
      </c>
      <c r="E665">
        <v>1024</v>
      </c>
      <c r="F665" t="b">
        <v>1</v>
      </c>
      <c r="G665">
        <v>87.7</v>
      </c>
      <c r="H665">
        <v>26</v>
      </c>
      <c r="I665">
        <v>11</v>
      </c>
      <c r="J665">
        <v>2.04</v>
      </c>
      <c r="K665" t="s">
        <v>1626</v>
      </c>
      <c r="L665">
        <v>0</v>
      </c>
      <c r="N665" t="s">
        <v>1627</v>
      </c>
      <c r="O665" t="s">
        <v>1628</v>
      </c>
      <c r="P665" t="s">
        <v>20</v>
      </c>
      <c r="Q665">
        <f t="shared" si="30"/>
        <v>274.67000044416636</v>
      </c>
      <c r="R665">
        <f t="shared" si="31"/>
        <v>0.12542759407069554</v>
      </c>
      <c r="S665">
        <f t="shared" si="32"/>
        <v>0.29646522234891676</v>
      </c>
    </row>
    <row r="666" spans="1:19" hidden="1" x14ac:dyDescent="0.2">
      <c r="A666">
        <v>80</v>
      </c>
      <c r="B666" t="s">
        <v>21</v>
      </c>
      <c r="C666">
        <v>70</v>
      </c>
      <c r="D666">
        <v>3</v>
      </c>
      <c r="E666">
        <v>1024</v>
      </c>
      <c r="F666" t="b">
        <v>1</v>
      </c>
      <c r="G666">
        <v>56.155999999999999</v>
      </c>
      <c r="H666">
        <v>28</v>
      </c>
      <c r="I666">
        <v>7</v>
      </c>
      <c r="J666">
        <v>0.6</v>
      </c>
      <c r="K666" t="s">
        <v>1635</v>
      </c>
      <c r="L666">
        <v>0</v>
      </c>
      <c r="N666" t="s">
        <v>1636</v>
      </c>
      <c r="O666" t="s">
        <v>1637</v>
      </c>
      <c r="P666" t="s">
        <v>20</v>
      </c>
      <c r="Q666">
        <f t="shared" si="30"/>
        <v>270.33800007775426</v>
      </c>
      <c r="R666">
        <f t="shared" si="31"/>
        <v>0.12465275304508869</v>
      </c>
      <c r="S666">
        <f t="shared" si="32"/>
        <v>0.49861101218035475</v>
      </c>
    </row>
    <row r="667" spans="1:19" x14ac:dyDescent="0.2">
      <c r="A667">
        <v>57</v>
      </c>
      <c r="B667" t="s">
        <v>25</v>
      </c>
      <c r="C667">
        <v>-1</v>
      </c>
      <c r="D667">
        <v>3</v>
      </c>
      <c r="E667">
        <v>1024</v>
      </c>
      <c r="F667" t="b">
        <v>1</v>
      </c>
      <c r="G667">
        <v>41.3</v>
      </c>
      <c r="H667">
        <v>31</v>
      </c>
      <c r="I667">
        <v>6</v>
      </c>
      <c r="J667">
        <v>4.92</v>
      </c>
      <c r="K667" t="s">
        <v>1566</v>
      </c>
      <c r="L667">
        <v>0</v>
      </c>
      <c r="N667" t="s">
        <v>1567</v>
      </c>
      <c r="O667" t="s">
        <v>1568</v>
      </c>
      <c r="P667" t="s">
        <v>20</v>
      </c>
      <c r="Q667">
        <f t="shared" si="30"/>
        <v>189.76800043601543</v>
      </c>
      <c r="R667">
        <f t="shared" si="31"/>
        <v>0.14527845036319614</v>
      </c>
      <c r="S667">
        <f t="shared" si="32"/>
        <v>0.75060532687651338</v>
      </c>
    </row>
    <row r="668" spans="1:19" x14ac:dyDescent="0.2">
      <c r="A668">
        <v>60</v>
      </c>
      <c r="B668" t="s">
        <v>25</v>
      </c>
      <c r="C668">
        <v>0</v>
      </c>
      <c r="D668">
        <v>3</v>
      </c>
      <c r="E668">
        <v>1024</v>
      </c>
      <c r="F668" t="b">
        <v>1</v>
      </c>
      <c r="G668">
        <v>60.96</v>
      </c>
      <c r="H668">
        <v>26</v>
      </c>
      <c r="I668">
        <v>2</v>
      </c>
      <c r="J668">
        <v>0.48</v>
      </c>
      <c r="K668" t="s">
        <v>1575</v>
      </c>
      <c r="L668">
        <v>0</v>
      </c>
      <c r="N668" t="s">
        <v>1576</v>
      </c>
      <c r="O668" t="s">
        <v>1577</v>
      </c>
      <c r="P668" t="s">
        <v>20</v>
      </c>
      <c r="Q668">
        <f t="shared" si="30"/>
        <v>276.10100002493709</v>
      </c>
      <c r="R668">
        <f t="shared" si="31"/>
        <v>3.2808398950131233E-2</v>
      </c>
      <c r="S668">
        <f t="shared" si="32"/>
        <v>0.42650918635170604</v>
      </c>
    </row>
    <row r="669" spans="1:19" x14ac:dyDescent="0.2">
      <c r="A669">
        <v>63</v>
      </c>
      <c r="B669" t="s">
        <v>25</v>
      </c>
      <c r="C669">
        <v>2</v>
      </c>
      <c r="D669">
        <v>3</v>
      </c>
      <c r="E669">
        <v>1024</v>
      </c>
      <c r="F669" t="b">
        <v>1</v>
      </c>
      <c r="G669">
        <v>57.963999999999999</v>
      </c>
      <c r="H669">
        <v>33</v>
      </c>
      <c r="I669">
        <v>0</v>
      </c>
      <c r="J669">
        <v>0</v>
      </c>
      <c r="K669" t="s">
        <v>1584</v>
      </c>
      <c r="L669">
        <v>0</v>
      </c>
      <c r="N669" t="s">
        <v>1585</v>
      </c>
      <c r="O669" t="s">
        <v>1586</v>
      </c>
      <c r="P669" t="s">
        <v>20</v>
      </c>
      <c r="Q669">
        <f t="shared" si="30"/>
        <v>254.6589995501563</v>
      </c>
      <c r="R669">
        <f t="shared" si="31"/>
        <v>0</v>
      </c>
      <c r="S669">
        <f t="shared" si="32"/>
        <v>0.56931888758539784</v>
      </c>
    </row>
    <row r="670" spans="1:19" x14ac:dyDescent="0.2">
      <c r="A670">
        <v>66</v>
      </c>
      <c r="B670" t="s">
        <v>25</v>
      </c>
      <c r="C670">
        <v>5</v>
      </c>
      <c r="D670">
        <v>3</v>
      </c>
      <c r="E670">
        <v>1024</v>
      </c>
      <c r="F670" t="b">
        <v>1</v>
      </c>
      <c r="G670">
        <v>39.875999999999998</v>
      </c>
      <c r="H670">
        <v>30</v>
      </c>
      <c r="I670">
        <v>0</v>
      </c>
      <c r="J670">
        <v>0</v>
      </c>
      <c r="K670" t="s">
        <v>1593</v>
      </c>
      <c r="L670">
        <v>0</v>
      </c>
      <c r="N670" t="s">
        <v>1594</v>
      </c>
      <c r="O670" t="s">
        <v>1595</v>
      </c>
      <c r="P670" t="s">
        <v>20</v>
      </c>
      <c r="Q670">
        <f t="shared" si="30"/>
        <v>150.17100011464208</v>
      </c>
      <c r="R670">
        <f t="shared" si="31"/>
        <v>0</v>
      </c>
      <c r="S670">
        <f t="shared" si="32"/>
        <v>0.75233222991272952</v>
      </c>
    </row>
    <row r="671" spans="1:19" hidden="1" x14ac:dyDescent="0.2">
      <c r="A671">
        <v>69</v>
      </c>
      <c r="B671" t="s">
        <v>25</v>
      </c>
      <c r="C671">
        <v>10</v>
      </c>
      <c r="D671">
        <v>3</v>
      </c>
      <c r="E671">
        <v>1024</v>
      </c>
      <c r="F671" t="b">
        <v>1</v>
      </c>
      <c r="G671">
        <v>57.844000000000001</v>
      </c>
      <c r="H671">
        <v>29</v>
      </c>
      <c r="I671">
        <v>0</v>
      </c>
      <c r="J671">
        <v>0</v>
      </c>
      <c r="K671" t="s">
        <v>1602</v>
      </c>
      <c r="L671">
        <v>0</v>
      </c>
      <c r="N671" t="s">
        <v>1603</v>
      </c>
      <c r="O671" t="s">
        <v>1604</v>
      </c>
      <c r="P671" t="s">
        <v>20</v>
      </c>
      <c r="Q671">
        <f t="shared" si="30"/>
        <v>277.358000096865</v>
      </c>
      <c r="R671">
        <f t="shared" si="31"/>
        <v>0</v>
      </c>
      <c r="S671">
        <f t="shared" si="32"/>
        <v>0.50134845446373</v>
      </c>
    </row>
    <row r="672" spans="1:19" hidden="1" x14ac:dyDescent="0.2">
      <c r="A672">
        <v>72</v>
      </c>
      <c r="B672" t="s">
        <v>25</v>
      </c>
      <c r="C672">
        <v>15</v>
      </c>
      <c r="D672">
        <v>3</v>
      </c>
      <c r="E672">
        <v>1024</v>
      </c>
      <c r="F672" t="b">
        <v>1</v>
      </c>
      <c r="G672">
        <v>57.9</v>
      </c>
      <c r="H672">
        <v>28</v>
      </c>
      <c r="I672">
        <v>1</v>
      </c>
      <c r="J672">
        <v>0.36</v>
      </c>
      <c r="K672" t="s">
        <v>1611</v>
      </c>
      <c r="L672">
        <v>0</v>
      </c>
      <c r="N672" t="s">
        <v>1612</v>
      </c>
      <c r="O672" t="s">
        <v>1613</v>
      </c>
      <c r="P672" t="s">
        <v>20</v>
      </c>
      <c r="Q672">
        <f t="shared" si="30"/>
        <v>309.66000000480562</v>
      </c>
      <c r="R672">
        <f t="shared" si="31"/>
        <v>1.7271157167530225E-2</v>
      </c>
      <c r="S672">
        <f t="shared" si="32"/>
        <v>0.4835924006908463</v>
      </c>
    </row>
    <row r="673" spans="1:19" hidden="1" x14ac:dyDescent="0.2">
      <c r="A673">
        <v>75</v>
      </c>
      <c r="B673" t="s">
        <v>25</v>
      </c>
      <c r="C673">
        <v>20</v>
      </c>
      <c r="D673">
        <v>3</v>
      </c>
      <c r="E673">
        <v>1024</v>
      </c>
      <c r="F673" t="b">
        <v>1</v>
      </c>
      <c r="G673">
        <v>52.067999999999998</v>
      </c>
      <c r="H673">
        <v>26</v>
      </c>
      <c r="I673">
        <v>4</v>
      </c>
      <c r="J673">
        <v>1.44</v>
      </c>
      <c r="K673" t="s">
        <v>1620</v>
      </c>
      <c r="L673">
        <v>0</v>
      </c>
      <c r="N673" t="s">
        <v>1621</v>
      </c>
      <c r="O673" t="s">
        <v>1622</v>
      </c>
      <c r="P673" t="s">
        <v>20</v>
      </c>
      <c r="Q673">
        <f t="shared" si="30"/>
        <v>214.7679999936372</v>
      </c>
      <c r="R673">
        <f t="shared" si="31"/>
        <v>7.6822616578320665E-2</v>
      </c>
      <c r="S673">
        <f t="shared" si="32"/>
        <v>0.4993470077590843</v>
      </c>
    </row>
    <row r="674" spans="1:19" hidden="1" x14ac:dyDescent="0.2">
      <c r="A674">
        <v>78</v>
      </c>
      <c r="B674" t="s">
        <v>25</v>
      </c>
      <c r="C674">
        <v>50</v>
      </c>
      <c r="D674">
        <v>3</v>
      </c>
      <c r="E674">
        <v>1024</v>
      </c>
      <c r="F674" t="b">
        <v>1</v>
      </c>
      <c r="G674">
        <v>52.48</v>
      </c>
      <c r="H674">
        <v>30</v>
      </c>
      <c r="I674">
        <v>10</v>
      </c>
      <c r="J674">
        <v>3.24</v>
      </c>
      <c r="K674" t="s">
        <v>1629</v>
      </c>
      <c r="L674">
        <v>0</v>
      </c>
      <c r="N674" t="s">
        <v>1630</v>
      </c>
      <c r="O674" t="s">
        <v>1631</v>
      </c>
      <c r="P674" t="s">
        <v>20</v>
      </c>
      <c r="Q674">
        <f t="shared" si="30"/>
        <v>204.86099969130009</v>
      </c>
      <c r="R674">
        <f t="shared" si="31"/>
        <v>0.19054878048780488</v>
      </c>
      <c r="S674">
        <f t="shared" si="32"/>
        <v>0.57164634146341464</v>
      </c>
    </row>
    <row r="675" spans="1:19" hidden="1" x14ac:dyDescent="0.2">
      <c r="A675">
        <v>81</v>
      </c>
      <c r="B675" t="s">
        <v>25</v>
      </c>
      <c r="C675">
        <v>70</v>
      </c>
      <c r="D675">
        <v>3</v>
      </c>
      <c r="E675">
        <v>1024</v>
      </c>
      <c r="F675" t="b">
        <v>1</v>
      </c>
      <c r="G675">
        <v>52.991999999999997</v>
      </c>
      <c r="H675">
        <v>30</v>
      </c>
      <c r="I675">
        <v>2</v>
      </c>
      <c r="J675">
        <v>0.66</v>
      </c>
      <c r="K675" t="s">
        <v>1638</v>
      </c>
      <c r="L675">
        <v>0</v>
      </c>
      <c r="N675" t="s">
        <v>1639</v>
      </c>
      <c r="O675" t="s">
        <v>1640</v>
      </c>
      <c r="P675" t="s">
        <v>20</v>
      </c>
      <c r="Q675">
        <f t="shared" si="30"/>
        <v>155.33599988557398</v>
      </c>
      <c r="R675">
        <f t="shared" si="31"/>
        <v>3.7741545893719808E-2</v>
      </c>
      <c r="S675">
        <f t="shared" si="32"/>
        <v>0.56612318840579712</v>
      </c>
    </row>
    <row r="676" spans="1:19" x14ac:dyDescent="0.2">
      <c r="A676">
        <v>55</v>
      </c>
      <c r="B676" t="s">
        <v>16</v>
      </c>
      <c r="C676">
        <v>-1</v>
      </c>
      <c r="D676">
        <v>3</v>
      </c>
      <c r="E676">
        <v>1024</v>
      </c>
      <c r="F676" t="b">
        <v>1</v>
      </c>
      <c r="G676">
        <v>46.531999999999996</v>
      </c>
      <c r="H676">
        <v>30</v>
      </c>
      <c r="I676">
        <v>4</v>
      </c>
      <c r="J676">
        <v>4.9800000000000004</v>
      </c>
      <c r="K676" t="s">
        <v>1560</v>
      </c>
      <c r="L676">
        <v>0</v>
      </c>
      <c r="N676" t="s">
        <v>1561</v>
      </c>
      <c r="O676" t="s">
        <v>1562</v>
      </c>
      <c r="P676" t="s">
        <v>20</v>
      </c>
      <c r="Q676">
        <f t="shared" si="30"/>
        <v>142.73600033484399</v>
      </c>
      <c r="R676">
        <f t="shared" si="31"/>
        <v>8.5962348491360793E-2</v>
      </c>
      <c r="S676">
        <f t="shared" si="32"/>
        <v>0.64471761368520597</v>
      </c>
    </row>
    <row r="677" spans="1:19" x14ac:dyDescent="0.2">
      <c r="A677">
        <v>58</v>
      </c>
      <c r="B677" t="s">
        <v>16</v>
      </c>
      <c r="C677">
        <v>0</v>
      </c>
      <c r="D677">
        <v>3</v>
      </c>
      <c r="E677">
        <v>1024</v>
      </c>
      <c r="F677" t="b">
        <v>1</v>
      </c>
      <c r="G677">
        <v>76.536000000000001</v>
      </c>
      <c r="H677">
        <v>29</v>
      </c>
      <c r="I677">
        <v>1</v>
      </c>
      <c r="J677">
        <v>0.9</v>
      </c>
      <c r="K677" t="s">
        <v>1569</v>
      </c>
      <c r="L677">
        <v>0</v>
      </c>
      <c r="N677" t="s">
        <v>1570</v>
      </c>
      <c r="O677" t="s">
        <v>1571</v>
      </c>
      <c r="P677" t="s">
        <v>20</v>
      </c>
      <c r="Q677">
        <f t="shared" si="30"/>
        <v>268.78799968399107</v>
      </c>
      <c r="R677">
        <f t="shared" si="31"/>
        <v>1.3065746838089264E-2</v>
      </c>
      <c r="S677">
        <f t="shared" si="32"/>
        <v>0.37890665830458869</v>
      </c>
    </row>
    <row r="678" spans="1:19" x14ac:dyDescent="0.2">
      <c r="A678">
        <v>61</v>
      </c>
      <c r="B678" t="s">
        <v>16</v>
      </c>
      <c r="C678">
        <v>2</v>
      </c>
      <c r="D678">
        <v>3</v>
      </c>
      <c r="E678">
        <v>1024</v>
      </c>
      <c r="F678" t="b">
        <v>1</v>
      </c>
      <c r="G678">
        <v>73.287999999999997</v>
      </c>
      <c r="H678">
        <v>29</v>
      </c>
      <c r="I678">
        <v>1</v>
      </c>
      <c r="J678">
        <v>0.78</v>
      </c>
      <c r="K678" t="s">
        <v>1578</v>
      </c>
      <c r="L678">
        <v>0</v>
      </c>
      <c r="N678" t="s">
        <v>1579</v>
      </c>
      <c r="O678" t="s">
        <v>1580</v>
      </c>
      <c r="P678" t="s">
        <v>20</v>
      </c>
      <c r="Q678">
        <f t="shared" si="30"/>
        <v>289.43899974692613</v>
      </c>
      <c r="R678">
        <f t="shared" si="31"/>
        <v>1.3644798602772623E-2</v>
      </c>
      <c r="S678">
        <f t="shared" si="32"/>
        <v>0.39569915948040607</v>
      </c>
    </row>
    <row r="679" spans="1:19" x14ac:dyDescent="0.2">
      <c r="A679">
        <v>64</v>
      </c>
      <c r="B679" t="s">
        <v>16</v>
      </c>
      <c r="C679">
        <v>5</v>
      </c>
      <c r="D679">
        <v>3</v>
      </c>
      <c r="E679">
        <v>1024</v>
      </c>
      <c r="F679" t="b">
        <v>1</v>
      </c>
      <c r="G679">
        <v>74.968000000000004</v>
      </c>
      <c r="H679">
        <v>29</v>
      </c>
      <c r="I679">
        <v>1</v>
      </c>
      <c r="J679">
        <v>0.78</v>
      </c>
      <c r="K679" t="s">
        <v>1587</v>
      </c>
      <c r="L679">
        <v>0</v>
      </c>
      <c r="N679" t="s">
        <v>1588</v>
      </c>
      <c r="O679" t="s">
        <v>1589</v>
      </c>
      <c r="P679" t="s">
        <v>20</v>
      </c>
      <c r="Q679">
        <f t="shared" si="30"/>
        <v>288.48800032865256</v>
      </c>
      <c r="R679">
        <f t="shared" si="31"/>
        <v>1.3339024650517553E-2</v>
      </c>
      <c r="S679">
        <f t="shared" si="32"/>
        <v>0.38683171486500906</v>
      </c>
    </row>
    <row r="680" spans="1:19" hidden="1" x14ac:dyDescent="0.2">
      <c r="A680">
        <v>67</v>
      </c>
      <c r="B680" t="s">
        <v>16</v>
      </c>
      <c r="C680">
        <v>10</v>
      </c>
      <c r="D680">
        <v>3</v>
      </c>
      <c r="E680">
        <v>1024</v>
      </c>
      <c r="F680" t="b">
        <v>1</v>
      </c>
      <c r="G680">
        <v>96.456000000000003</v>
      </c>
      <c r="H680">
        <v>29</v>
      </c>
      <c r="I680">
        <v>3</v>
      </c>
      <c r="J680">
        <v>1.02</v>
      </c>
      <c r="K680" t="s">
        <v>1596</v>
      </c>
      <c r="L680">
        <v>0</v>
      </c>
      <c r="N680" t="s">
        <v>1597</v>
      </c>
      <c r="O680" t="s">
        <v>1598</v>
      </c>
      <c r="P680" t="s">
        <v>20</v>
      </c>
      <c r="Q680">
        <f t="shared" si="30"/>
        <v>471.46699992008507</v>
      </c>
      <c r="R680">
        <f t="shared" si="31"/>
        <v>3.1102264244837023E-2</v>
      </c>
      <c r="S680">
        <f t="shared" si="32"/>
        <v>0.30065522103342457</v>
      </c>
    </row>
    <row r="681" spans="1:19" hidden="1" x14ac:dyDescent="0.2">
      <c r="A681">
        <v>70</v>
      </c>
      <c r="B681" t="s">
        <v>16</v>
      </c>
      <c r="C681">
        <v>15</v>
      </c>
      <c r="D681">
        <v>3</v>
      </c>
      <c r="E681">
        <v>1024</v>
      </c>
      <c r="F681" t="b">
        <v>1</v>
      </c>
      <c r="G681">
        <v>62.372</v>
      </c>
      <c r="H681">
        <v>29</v>
      </c>
      <c r="I681">
        <v>6</v>
      </c>
      <c r="J681">
        <v>1.32</v>
      </c>
      <c r="K681" t="s">
        <v>1605</v>
      </c>
      <c r="L681">
        <v>0</v>
      </c>
      <c r="N681" t="s">
        <v>1606</v>
      </c>
      <c r="O681" t="s">
        <v>1607</v>
      </c>
      <c r="P681" t="s">
        <v>20</v>
      </c>
      <c r="Q681">
        <f t="shared" si="30"/>
        <v>325.02399960067123</v>
      </c>
      <c r="R681">
        <f t="shared" si="31"/>
        <v>9.6197011479510042E-2</v>
      </c>
      <c r="S681">
        <f t="shared" si="32"/>
        <v>0.46495222215096516</v>
      </c>
    </row>
    <row r="682" spans="1:19" hidden="1" x14ac:dyDescent="0.2">
      <c r="A682">
        <v>73</v>
      </c>
      <c r="B682" t="s">
        <v>16</v>
      </c>
      <c r="C682">
        <v>20</v>
      </c>
      <c r="D682">
        <v>3</v>
      </c>
      <c r="E682">
        <v>1024</v>
      </c>
      <c r="F682" t="b">
        <v>1</v>
      </c>
      <c r="G682">
        <v>50.76</v>
      </c>
      <c r="H682">
        <v>29</v>
      </c>
      <c r="I682">
        <v>1</v>
      </c>
      <c r="J682">
        <v>0.72</v>
      </c>
      <c r="K682" t="s">
        <v>1614</v>
      </c>
      <c r="L682">
        <v>0</v>
      </c>
      <c r="N682" t="s">
        <v>1615</v>
      </c>
      <c r="O682" t="s">
        <v>1616</v>
      </c>
      <c r="P682" t="s">
        <v>20</v>
      </c>
      <c r="Q682">
        <f t="shared" si="30"/>
        <v>227.16199960559607</v>
      </c>
      <c r="R682">
        <f t="shared" si="31"/>
        <v>1.9700551615445233E-2</v>
      </c>
      <c r="S682">
        <f t="shared" si="32"/>
        <v>0.57131599684791179</v>
      </c>
    </row>
    <row r="683" spans="1:19" hidden="1" x14ac:dyDescent="0.2">
      <c r="A683">
        <v>76</v>
      </c>
      <c r="B683" t="s">
        <v>16</v>
      </c>
      <c r="C683">
        <v>50</v>
      </c>
      <c r="D683">
        <v>3</v>
      </c>
      <c r="E683">
        <v>1024</v>
      </c>
      <c r="F683" t="b">
        <v>1</v>
      </c>
      <c r="G683">
        <v>94.02</v>
      </c>
      <c r="H683">
        <v>29</v>
      </c>
      <c r="I683">
        <v>9</v>
      </c>
      <c r="J683">
        <v>1.8</v>
      </c>
      <c r="K683" t="s">
        <v>1623</v>
      </c>
      <c r="L683">
        <v>0</v>
      </c>
      <c r="N683" t="s">
        <v>1624</v>
      </c>
      <c r="O683" t="s">
        <v>1625</v>
      </c>
      <c r="P683" t="s">
        <v>20</v>
      </c>
      <c r="Q683">
        <f t="shared" si="30"/>
        <v>397.44900029618293</v>
      </c>
      <c r="R683">
        <f t="shared" si="31"/>
        <v>9.5724313975749847E-2</v>
      </c>
      <c r="S683">
        <f t="shared" si="32"/>
        <v>0.30844501169963839</v>
      </c>
    </row>
    <row r="684" spans="1:19" hidden="1" x14ac:dyDescent="0.2">
      <c r="A684">
        <v>79</v>
      </c>
      <c r="B684" t="s">
        <v>16</v>
      </c>
      <c r="C684">
        <v>70</v>
      </c>
      <c r="D684">
        <v>3</v>
      </c>
      <c r="E684">
        <v>1024</v>
      </c>
      <c r="F684" t="b">
        <v>1</v>
      </c>
      <c r="G684">
        <v>67.031999999999996</v>
      </c>
      <c r="H684">
        <v>26</v>
      </c>
      <c r="I684">
        <v>11</v>
      </c>
      <c r="J684">
        <v>1.74</v>
      </c>
      <c r="K684" t="s">
        <v>1632</v>
      </c>
      <c r="L684">
        <v>0</v>
      </c>
      <c r="N684" t="s">
        <v>1633</v>
      </c>
      <c r="O684" t="s">
        <v>1634</v>
      </c>
      <c r="P684" t="s">
        <v>20</v>
      </c>
      <c r="Q684">
        <f t="shared" si="30"/>
        <v>337.57600039243698</v>
      </c>
      <c r="R684">
        <f t="shared" si="31"/>
        <v>0.16410072801050246</v>
      </c>
      <c r="S684">
        <f t="shared" si="32"/>
        <v>0.38787444802482396</v>
      </c>
    </row>
    <row r="685" spans="1:19" x14ac:dyDescent="0.2">
      <c r="A685">
        <v>83</v>
      </c>
      <c r="B685" t="s">
        <v>21</v>
      </c>
      <c r="C685">
        <v>-1</v>
      </c>
      <c r="D685">
        <v>4</v>
      </c>
      <c r="E685">
        <v>1025</v>
      </c>
      <c r="F685" t="b">
        <v>1</v>
      </c>
      <c r="G685">
        <v>67.275999999999996</v>
      </c>
      <c r="H685">
        <v>27</v>
      </c>
      <c r="I685">
        <v>5</v>
      </c>
      <c r="J685">
        <v>3.48</v>
      </c>
      <c r="K685" t="s">
        <v>1644</v>
      </c>
      <c r="L685">
        <v>0</v>
      </c>
      <c r="N685" t="s">
        <v>1645</v>
      </c>
      <c r="O685" t="s">
        <v>1646</v>
      </c>
      <c r="P685" t="s">
        <v>20</v>
      </c>
      <c r="Q685">
        <f t="shared" si="30"/>
        <v>235.57699997909367</v>
      </c>
      <c r="R685">
        <f t="shared" si="31"/>
        <v>7.4320708722278375E-2</v>
      </c>
      <c r="S685">
        <f t="shared" si="32"/>
        <v>0.40133182710030324</v>
      </c>
    </row>
    <row r="686" spans="1:19" x14ac:dyDescent="0.2">
      <c r="A686">
        <v>86</v>
      </c>
      <c r="B686" t="s">
        <v>21</v>
      </c>
      <c r="C686">
        <v>0</v>
      </c>
      <c r="D686">
        <v>4</v>
      </c>
      <c r="E686">
        <v>1025</v>
      </c>
      <c r="F686" t="b">
        <v>1</v>
      </c>
      <c r="G686">
        <v>71.828000000000003</v>
      </c>
      <c r="H686">
        <v>21</v>
      </c>
      <c r="I686">
        <v>0</v>
      </c>
      <c r="J686">
        <v>0</v>
      </c>
      <c r="K686" t="s">
        <v>1653</v>
      </c>
      <c r="L686">
        <v>0</v>
      </c>
      <c r="N686" t="s">
        <v>1654</v>
      </c>
      <c r="O686" t="s">
        <v>1655</v>
      </c>
      <c r="P686" t="s">
        <v>20</v>
      </c>
      <c r="Q686">
        <f t="shared" si="30"/>
        <v>343.87799988035113</v>
      </c>
      <c r="R686">
        <f t="shared" si="31"/>
        <v>0</v>
      </c>
      <c r="S686">
        <f t="shared" si="32"/>
        <v>0.29236509439215902</v>
      </c>
    </row>
    <row r="687" spans="1:19" x14ac:dyDescent="0.2">
      <c r="A687">
        <v>89</v>
      </c>
      <c r="B687" t="s">
        <v>21</v>
      </c>
      <c r="C687">
        <v>2</v>
      </c>
      <c r="D687">
        <v>4</v>
      </c>
      <c r="E687">
        <v>1025</v>
      </c>
      <c r="F687" t="b">
        <v>1</v>
      </c>
      <c r="G687">
        <v>42.128</v>
      </c>
      <c r="H687">
        <v>24</v>
      </c>
      <c r="I687">
        <v>1</v>
      </c>
      <c r="J687">
        <v>0.12</v>
      </c>
      <c r="K687" t="s">
        <v>1662</v>
      </c>
      <c r="L687">
        <v>0</v>
      </c>
      <c r="N687" t="s">
        <v>1663</v>
      </c>
      <c r="O687" t="s">
        <v>1664</v>
      </c>
      <c r="P687" t="s">
        <v>20</v>
      </c>
      <c r="Q687">
        <f t="shared" si="30"/>
        <v>205.57099948637187</v>
      </c>
      <c r="R687">
        <f t="shared" si="31"/>
        <v>2.3737181921762249E-2</v>
      </c>
      <c r="S687">
        <f t="shared" si="32"/>
        <v>0.56969236612229401</v>
      </c>
    </row>
    <row r="688" spans="1:19" x14ac:dyDescent="0.2">
      <c r="A688">
        <v>92</v>
      </c>
      <c r="B688" t="s">
        <v>21</v>
      </c>
      <c r="C688">
        <v>5</v>
      </c>
      <c r="D688">
        <v>4</v>
      </c>
      <c r="E688">
        <v>1025</v>
      </c>
      <c r="F688" t="b">
        <v>1</v>
      </c>
      <c r="G688">
        <v>39.392000000000003</v>
      </c>
      <c r="H688">
        <v>24</v>
      </c>
      <c r="I688">
        <v>1</v>
      </c>
      <c r="J688">
        <v>0.06</v>
      </c>
      <c r="K688" t="s">
        <v>1671</v>
      </c>
      <c r="L688">
        <v>0</v>
      </c>
      <c r="N688" t="s">
        <v>1672</v>
      </c>
      <c r="O688" t="s">
        <v>1673</v>
      </c>
      <c r="P688" t="s">
        <v>20</v>
      </c>
      <c r="Q688">
        <f t="shared" si="30"/>
        <v>185.50800040829927</v>
      </c>
      <c r="R688">
        <f t="shared" si="31"/>
        <v>2.538586515028432E-2</v>
      </c>
      <c r="S688">
        <f t="shared" si="32"/>
        <v>0.60926076360682369</v>
      </c>
    </row>
    <row r="689" spans="1:19" hidden="1" x14ac:dyDescent="0.2">
      <c r="A689">
        <v>95</v>
      </c>
      <c r="B689" t="s">
        <v>21</v>
      </c>
      <c r="C689">
        <v>10</v>
      </c>
      <c r="D689">
        <v>4</v>
      </c>
      <c r="E689">
        <v>1025</v>
      </c>
      <c r="F689" t="b">
        <v>1</v>
      </c>
      <c r="G689">
        <v>75.847999999999999</v>
      </c>
      <c r="H689">
        <v>25</v>
      </c>
      <c r="I689">
        <v>6</v>
      </c>
      <c r="J689">
        <v>2.34</v>
      </c>
      <c r="K689" t="s">
        <v>1680</v>
      </c>
      <c r="L689">
        <v>0</v>
      </c>
      <c r="N689" t="s">
        <v>1681</v>
      </c>
      <c r="O689" t="s">
        <v>1682</v>
      </c>
      <c r="P689" t="s">
        <v>20</v>
      </c>
      <c r="Q689">
        <f t="shared" si="30"/>
        <v>361.12200021743774</v>
      </c>
      <c r="R689">
        <f t="shared" si="31"/>
        <v>7.9105579580213053E-2</v>
      </c>
      <c r="S689">
        <f t="shared" si="32"/>
        <v>0.32960658158422107</v>
      </c>
    </row>
    <row r="690" spans="1:19" hidden="1" x14ac:dyDescent="0.2">
      <c r="A690">
        <v>98</v>
      </c>
      <c r="B690" t="s">
        <v>21</v>
      </c>
      <c r="C690">
        <v>15</v>
      </c>
      <c r="D690">
        <v>4</v>
      </c>
      <c r="E690">
        <v>1025</v>
      </c>
      <c r="F690" t="b">
        <v>1</v>
      </c>
      <c r="G690">
        <v>51.24</v>
      </c>
      <c r="H690">
        <v>25</v>
      </c>
      <c r="I690">
        <v>1</v>
      </c>
      <c r="J690">
        <v>0.18</v>
      </c>
      <c r="K690" t="s">
        <v>1689</v>
      </c>
      <c r="L690">
        <v>0</v>
      </c>
      <c r="N690" t="s">
        <v>1690</v>
      </c>
      <c r="O690" t="s">
        <v>1691</v>
      </c>
      <c r="P690" t="s">
        <v>20</v>
      </c>
      <c r="Q690">
        <f t="shared" si="30"/>
        <v>206.50599994696677</v>
      </c>
      <c r="R690">
        <f t="shared" si="31"/>
        <v>1.95160031225605E-2</v>
      </c>
      <c r="S690">
        <f t="shared" si="32"/>
        <v>0.48790007806401248</v>
      </c>
    </row>
    <row r="691" spans="1:19" hidden="1" x14ac:dyDescent="0.2">
      <c r="A691">
        <v>101</v>
      </c>
      <c r="B691" t="s">
        <v>21</v>
      </c>
      <c r="C691">
        <v>20</v>
      </c>
      <c r="D691">
        <v>4</v>
      </c>
      <c r="E691">
        <v>1025</v>
      </c>
      <c r="F691" t="b">
        <v>1</v>
      </c>
      <c r="G691">
        <v>59.192</v>
      </c>
      <c r="H691">
        <v>25</v>
      </c>
      <c r="I691">
        <v>4</v>
      </c>
      <c r="J691">
        <v>0.72</v>
      </c>
      <c r="K691" t="s">
        <v>1698</v>
      </c>
      <c r="L691">
        <v>0</v>
      </c>
      <c r="N691" t="s">
        <v>1699</v>
      </c>
      <c r="O691" t="s">
        <v>1700</v>
      </c>
      <c r="P691" t="s">
        <v>20</v>
      </c>
      <c r="Q691">
        <f t="shared" si="30"/>
        <v>268.97800003644079</v>
      </c>
      <c r="R691">
        <f t="shared" si="31"/>
        <v>6.7576699553993785E-2</v>
      </c>
      <c r="S691">
        <f t="shared" si="32"/>
        <v>0.42235437221246114</v>
      </c>
    </row>
    <row r="692" spans="1:19" hidden="1" x14ac:dyDescent="0.2">
      <c r="A692">
        <v>104</v>
      </c>
      <c r="B692" t="s">
        <v>21</v>
      </c>
      <c r="C692">
        <v>50</v>
      </c>
      <c r="D692">
        <v>4</v>
      </c>
      <c r="E692">
        <v>1025</v>
      </c>
      <c r="F692" t="b">
        <v>1</v>
      </c>
      <c r="G692">
        <v>72.555999999999997</v>
      </c>
      <c r="H692">
        <v>24</v>
      </c>
      <c r="I692">
        <v>8</v>
      </c>
      <c r="J692">
        <v>2.88</v>
      </c>
      <c r="K692" t="s">
        <v>1707</v>
      </c>
      <c r="L692">
        <v>0</v>
      </c>
      <c r="N692" t="s">
        <v>1708</v>
      </c>
      <c r="O692" t="s">
        <v>1709</v>
      </c>
      <c r="P692" t="s">
        <v>20</v>
      </c>
      <c r="Q692">
        <f t="shared" si="30"/>
        <v>310.41899998672307</v>
      </c>
      <c r="R692">
        <f t="shared" si="31"/>
        <v>0.1102596615028392</v>
      </c>
      <c r="S692">
        <f t="shared" si="32"/>
        <v>0.33077898450851756</v>
      </c>
    </row>
    <row r="693" spans="1:19" hidden="1" x14ac:dyDescent="0.2">
      <c r="A693">
        <v>107</v>
      </c>
      <c r="B693" t="s">
        <v>21</v>
      </c>
      <c r="C693">
        <v>70</v>
      </c>
      <c r="D693">
        <v>4</v>
      </c>
      <c r="E693">
        <v>1025</v>
      </c>
      <c r="F693" t="b">
        <v>1</v>
      </c>
      <c r="G693">
        <v>112.996</v>
      </c>
      <c r="H693">
        <v>20</v>
      </c>
      <c r="I693">
        <v>26</v>
      </c>
      <c r="J693">
        <v>5.94</v>
      </c>
      <c r="K693" t="s">
        <v>1716</v>
      </c>
      <c r="L693">
        <v>0</v>
      </c>
      <c r="N693" t="s">
        <v>1717</v>
      </c>
      <c r="O693" t="s">
        <v>1718</v>
      </c>
      <c r="P693" t="s">
        <v>20</v>
      </c>
      <c r="Q693">
        <f t="shared" si="30"/>
        <v>533.81699994206429</v>
      </c>
      <c r="R693">
        <f t="shared" si="31"/>
        <v>0.23009664058904741</v>
      </c>
      <c r="S693">
        <f t="shared" si="32"/>
        <v>0.17699741583772877</v>
      </c>
    </row>
    <row r="694" spans="1:19" x14ac:dyDescent="0.2">
      <c r="A694">
        <v>84</v>
      </c>
      <c r="B694" t="s">
        <v>25</v>
      </c>
      <c r="C694">
        <v>-1</v>
      </c>
      <c r="D694">
        <v>4</v>
      </c>
      <c r="E694">
        <v>1025</v>
      </c>
      <c r="F694" t="b">
        <v>1</v>
      </c>
      <c r="G694">
        <v>41.7</v>
      </c>
      <c r="H694">
        <v>27</v>
      </c>
      <c r="I694">
        <v>7</v>
      </c>
      <c r="J694">
        <v>4.0199999999999996</v>
      </c>
      <c r="K694" t="s">
        <v>1647</v>
      </c>
      <c r="L694">
        <v>0</v>
      </c>
      <c r="N694" t="s">
        <v>1648</v>
      </c>
      <c r="O694" t="s">
        <v>1649</v>
      </c>
      <c r="P694" t="s">
        <v>20</v>
      </c>
      <c r="Q694">
        <f t="shared" si="30"/>
        <v>228.30799960065633</v>
      </c>
      <c r="R694">
        <f t="shared" si="31"/>
        <v>0.16786570743405274</v>
      </c>
      <c r="S694">
        <f t="shared" si="32"/>
        <v>0.64748201438848918</v>
      </c>
    </row>
    <row r="695" spans="1:19" x14ac:dyDescent="0.2">
      <c r="A695">
        <v>87</v>
      </c>
      <c r="B695" t="s">
        <v>25</v>
      </c>
      <c r="C695">
        <v>0</v>
      </c>
      <c r="D695">
        <v>4</v>
      </c>
      <c r="E695">
        <v>1025</v>
      </c>
      <c r="F695" t="b">
        <v>1</v>
      </c>
      <c r="G695">
        <v>51.676000000000002</v>
      </c>
      <c r="H695">
        <v>21</v>
      </c>
      <c r="I695">
        <v>3</v>
      </c>
      <c r="J695">
        <v>0.96</v>
      </c>
      <c r="K695" t="s">
        <v>1656</v>
      </c>
      <c r="L695">
        <v>0</v>
      </c>
      <c r="N695" t="s">
        <v>1657</v>
      </c>
      <c r="O695" t="s">
        <v>1658</v>
      </c>
      <c r="P695" t="s">
        <v>20</v>
      </c>
      <c r="Q695">
        <f t="shared" si="30"/>
        <v>215.48199984245002</v>
      </c>
      <c r="R695">
        <f t="shared" si="31"/>
        <v>5.80540289496091E-2</v>
      </c>
      <c r="S695">
        <f t="shared" si="32"/>
        <v>0.40637820264726371</v>
      </c>
    </row>
    <row r="696" spans="1:19" x14ac:dyDescent="0.2">
      <c r="A696">
        <v>90</v>
      </c>
      <c r="B696" t="s">
        <v>25</v>
      </c>
      <c r="C696">
        <v>2</v>
      </c>
      <c r="D696">
        <v>4</v>
      </c>
      <c r="E696">
        <v>1025</v>
      </c>
      <c r="F696" t="b">
        <v>1</v>
      </c>
      <c r="G696">
        <v>51.764000000000003</v>
      </c>
      <c r="H696">
        <v>21</v>
      </c>
      <c r="I696">
        <v>2</v>
      </c>
      <c r="J696">
        <v>0.42</v>
      </c>
      <c r="K696" t="s">
        <v>1665</v>
      </c>
      <c r="L696">
        <v>0</v>
      </c>
      <c r="N696" t="s">
        <v>1666</v>
      </c>
      <c r="O696" t="s">
        <v>1667</v>
      </c>
      <c r="P696" t="s">
        <v>20</v>
      </c>
      <c r="Q696">
        <f t="shared" si="30"/>
        <v>281.50699941907078</v>
      </c>
      <c r="R696">
        <f t="shared" si="31"/>
        <v>3.8636890503052315E-2</v>
      </c>
      <c r="S696">
        <f t="shared" si="32"/>
        <v>0.40568735028204927</v>
      </c>
    </row>
    <row r="697" spans="1:19" x14ac:dyDescent="0.2">
      <c r="A697">
        <v>93</v>
      </c>
      <c r="B697" t="s">
        <v>25</v>
      </c>
      <c r="C697">
        <v>5</v>
      </c>
      <c r="D697">
        <v>4</v>
      </c>
      <c r="E697">
        <v>1025</v>
      </c>
      <c r="F697" t="b">
        <v>1</v>
      </c>
      <c r="G697">
        <v>40.340000000000003</v>
      </c>
      <c r="H697">
        <v>22</v>
      </c>
      <c r="I697">
        <v>2</v>
      </c>
      <c r="J697">
        <v>0.3</v>
      </c>
      <c r="K697" t="s">
        <v>1674</v>
      </c>
      <c r="L697">
        <v>0</v>
      </c>
      <c r="N697" t="s">
        <v>1675</v>
      </c>
      <c r="O697" t="s">
        <v>1676</v>
      </c>
      <c r="P697" t="s">
        <v>20</v>
      </c>
      <c r="Q697">
        <f t="shared" si="30"/>
        <v>148.36399988271296</v>
      </c>
      <c r="R697">
        <f t="shared" si="31"/>
        <v>4.9578582052553291E-2</v>
      </c>
      <c r="S697">
        <f t="shared" si="32"/>
        <v>0.54536440257808627</v>
      </c>
    </row>
    <row r="698" spans="1:19" hidden="1" x14ac:dyDescent="0.2">
      <c r="A698">
        <v>96</v>
      </c>
      <c r="B698" t="s">
        <v>25</v>
      </c>
      <c r="C698">
        <v>10</v>
      </c>
      <c r="D698">
        <v>4</v>
      </c>
      <c r="E698">
        <v>1025</v>
      </c>
      <c r="F698" t="b">
        <v>1</v>
      </c>
      <c r="G698">
        <v>41.112000000000002</v>
      </c>
      <c r="H698">
        <v>23</v>
      </c>
      <c r="I698">
        <v>3</v>
      </c>
      <c r="J698">
        <v>0.42</v>
      </c>
      <c r="K698" t="s">
        <v>1683</v>
      </c>
      <c r="L698">
        <v>0</v>
      </c>
      <c r="N698" t="s">
        <v>1684</v>
      </c>
      <c r="O698" t="s">
        <v>1685</v>
      </c>
      <c r="P698" t="s">
        <v>20</v>
      </c>
      <c r="Q698">
        <f t="shared" si="30"/>
        <v>190.08099976927042</v>
      </c>
      <c r="R698">
        <f t="shared" si="31"/>
        <v>7.2971395213076468E-2</v>
      </c>
      <c r="S698">
        <f t="shared" si="32"/>
        <v>0.55944736330025291</v>
      </c>
    </row>
    <row r="699" spans="1:19" hidden="1" x14ac:dyDescent="0.2">
      <c r="A699">
        <v>99</v>
      </c>
      <c r="B699" t="s">
        <v>25</v>
      </c>
      <c r="C699">
        <v>15</v>
      </c>
      <c r="D699">
        <v>4</v>
      </c>
      <c r="E699">
        <v>1025</v>
      </c>
      <c r="F699" t="b">
        <v>1</v>
      </c>
      <c r="G699">
        <v>47.524000000000001</v>
      </c>
      <c r="H699">
        <v>20</v>
      </c>
      <c r="I699">
        <v>4</v>
      </c>
      <c r="J699">
        <v>0.48</v>
      </c>
      <c r="K699" t="s">
        <v>1692</v>
      </c>
      <c r="L699">
        <v>0</v>
      </c>
      <c r="N699" t="s">
        <v>1693</v>
      </c>
      <c r="O699" t="s">
        <v>1694</v>
      </c>
      <c r="P699" t="s">
        <v>20</v>
      </c>
      <c r="Q699">
        <f t="shared" si="30"/>
        <v>217.3410001443699</v>
      </c>
      <c r="R699">
        <f t="shared" si="31"/>
        <v>8.4167999326656001E-2</v>
      </c>
      <c r="S699">
        <f t="shared" si="32"/>
        <v>0.42083999663328003</v>
      </c>
    </row>
    <row r="700" spans="1:19" hidden="1" x14ac:dyDescent="0.2">
      <c r="A700">
        <v>102</v>
      </c>
      <c r="B700" t="s">
        <v>25</v>
      </c>
      <c r="C700">
        <v>20</v>
      </c>
      <c r="D700">
        <v>4</v>
      </c>
      <c r="E700">
        <v>1025</v>
      </c>
      <c r="F700" t="b">
        <v>1</v>
      </c>
      <c r="G700">
        <v>33.875999999999998</v>
      </c>
      <c r="H700">
        <v>24</v>
      </c>
      <c r="I700">
        <v>3</v>
      </c>
      <c r="J700">
        <v>0.54</v>
      </c>
      <c r="K700" t="s">
        <v>1701</v>
      </c>
      <c r="L700">
        <v>0</v>
      </c>
      <c r="N700" t="s">
        <v>1702</v>
      </c>
      <c r="O700" t="s">
        <v>1703</v>
      </c>
      <c r="P700" t="s">
        <v>20</v>
      </c>
      <c r="Q700">
        <f t="shared" si="30"/>
        <v>141.56199996359646</v>
      </c>
      <c r="R700">
        <f t="shared" si="31"/>
        <v>8.8558271342543404E-2</v>
      </c>
      <c r="S700">
        <f t="shared" si="32"/>
        <v>0.70846617074034723</v>
      </c>
    </row>
    <row r="701" spans="1:19" hidden="1" x14ac:dyDescent="0.2">
      <c r="A701">
        <v>105</v>
      </c>
      <c r="B701" t="s">
        <v>25</v>
      </c>
      <c r="C701">
        <v>50</v>
      </c>
      <c r="D701">
        <v>4</v>
      </c>
      <c r="E701">
        <v>1025</v>
      </c>
      <c r="F701" t="b">
        <v>1</v>
      </c>
      <c r="G701">
        <v>37.728000000000002</v>
      </c>
      <c r="H701">
        <v>24</v>
      </c>
      <c r="I701">
        <v>5</v>
      </c>
      <c r="J701">
        <v>2.4</v>
      </c>
      <c r="K701" t="s">
        <v>1710</v>
      </c>
      <c r="L701">
        <v>0</v>
      </c>
      <c r="N701" t="s">
        <v>1711</v>
      </c>
      <c r="O701" t="s">
        <v>1712</v>
      </c>
      <c r="P701" t="s">
        <v>20</v>
      </c>
      <c r="Q701">
        <f t="shared" si="30"/>
        <v>173.32199981901795</v>
      </c>
      <c r="R701">
        <f t="shared" si="31"/>
        <v>0.13252756573367261</v>
      </c>
      <c r="S701">
        <f t="shared" si="32"/>
        <v>0.63613231552162852</v>
      </c>
    </row>
    <row r="702" spans="1:19" hidden="1" x14ac:dyDescent="0.2">
      <c r="A702">
        <v>108</v>
      </c>
      <c r="B702" t="s">
        <v>25</v>
      </c>
      <c r="C702">
        <v>70</v>
      </c>
      <c r="D702">
        <v>4</v>
      </c>
      <c r="E702">
        <v>1025</v>
      </c>
      <c r="F702" t="b">
        <v>1</v>
      </c>
      <c r="G702">
        <v>45.795999999999999</v>
      </c>
      <c r="H702">
        <v>24</v>
      </c>
      <c r="I702">
        <v>4</v>
      </c>
      <c r="J702">
        <v>1.38</v>
      </c>
      <c r="K702" t="s">
        <v>1719</v>
      </c>
      <c r="L702">
        <v>0</v>
      </c>
      <c r="N702" t="s">
        <v>1720</v>
      </c>
      <c r="O702" t="s">
        <v>1721</v>
      </c>
      <c r="P702" t="s">
        <v>20</v>
      </c>
      <c r="Q702">
        <f t="shared" si="30"/>
        <v>211.33800011593848</v>
      </c>
      <c r="R702">
        <f t="shared" si="31"/>
        <v>8.7343872827321159E-2</v>
      </c>
      <c r="S702">
        <f t="shared" si="32"/>
        <v>0.52406323696392698</v>
      </c>
    </row>
    <row r="703" spans="1:19" x14ac:dyDescent="0.2">
      <c r="A703">
        <v>82</v>
      </c>
      <c r="B703" t="s">
        <v>16</v>
      </c>
      <c r="C703">
        <v>-1</v>
      </c>
      <c r="D703">
        <v>4</v>
      </c>
      <c r="E703">
        <v>1025</v>
      </c>
      <c r="F703" t="b">
        <v>1</v>
      </c>
      <c r="G703">
        <v>37.463999999999999</v>
      </c>
      <c r="H703">
        <v>23</v>
      </c>
      <c r="I703">
        <v>1</v>
      </c>
      <c r="J703">
        <v>0.66</v>
      </c>
      <c r="K703" t="s">
        <v>1641</v>
      </c>
      <c r="L703">
        <v>0</v>
      </c>
      <c r="N703" t="s">
        <v>1642</v>
      </c>
      <c r="O703" t="s">
        <v>1643</v>
      </c>
      <c r="P703" t="s">
        <v>20</v>
      </c>
      <c r="Q703">
        <f t="shared" si="30"/>
        <v>180.77999975066632</v>
      </c>
      <c r="R703">
        <f t="shared" si="31"/>
        <v>2.6692291266282298E-2</v>
      </c>
      <c r="S703">
        <f t="shared" si="32"/>
        <v>0.61392269912449282</v>
      </c>
    </row>
    <row r="704" spans="1:19" x14ac:dyDescent="0.2">
      <c r="A704">
        <v>85</v>
      </c>
      <c r="B704" t="s">
        <v>16</v>
      </c>
      <c r="C704">
        <v>0</v>
      </c>
      <c r="D704">
        <v>4</v>
      </c>
      <c r="E704">
        <v>1025</v>
      </c>
      <c r="F704" t="b">
        <v>1</v>
      </c>
      <c r="G704">
        <v>85.656000000000006</v>
      </c>
      <c r="H704">
        <v>24</v>
      </c>
      <c r="I704">
        <v>2</v>
      </c>
      <c r="J704">
        <v>1.38</v>
      </c>
      <c r="K704" t="s">
        <v>1650</v>
      </c>
      <c r="L704">
        <v>0</v>
      </c>
      <c r="N704" t="s">
        <v>1651</v>
      </c>
      <c r="O704" t="s">
        <v>1652</v>
      </c>
      <c r="P704" t="s">
        <v>20</v>
      </c>
      <c r="Q704">
        <f t="shared" si="30"/>
        <v>360.4229997843504</v>
      </c>
      <c r="R704">
        <f t="shared" si="31"/>
        <v>2.3349210796675072E-2</v>
      </c>
      <c r="S704">
        <f t="shared" si="32"/>
        <v>0.28019052956010088</v>
      </c>
    </row>
    <row r="705" spans="1:19" x14ac:dyDescent="0.2">
      <c r="A705">
        <v>88</v>
      </c>
      <c r="B705" t="s">
        <v>16</v>
      </c>
      <c r="C705">
        <v>2</v>
      </c>
      <c r="D705">
        <v>4</v>
      </c>
      <c r="E705">
        <v>1025</v>
      </c>
      <c r="F705" t="b">
        <v>1</v>
      </c>
      <c r="G705">
        <v>95.56</v>
      </c>
      <c r="H705">
        <v>24</v>
      </c>
      <c r="I705">
        <v>3</v>
      </c>
      <c r="J705">
        <v>1.44</v>
      </c>
      <c r="K705" t="s">
        <v>1659</v>
      </c>
      <c r="L705">
        <v>0</v>
      </c>
      <c r="N705" t="s">
        <v>1660</v>
      </c>
      <c r="O705" t="s">
        <v>1661</v>
      </c>
      <c r="P705" t="s">
        <v>20</v>
      </c>
      <c r="Q705">
        <f t="shared" si="30"/>
        <v>353.79299966152757</v>
      </c>
      <c r="R705">
        <f t="shared" si="31"/>
        <v>3.1393888656341566E-2</v>
      </c>
      <c r="S705">
        <f t="shared" si="32"/>
        <v>0.25115110925073253</v>
      </c>
    </row>
    <row r="706" spans="1:19" x14ac:dyDescent="0.2">
      <c r="A706">
        <v>91</v>
      </c>
      <c r="B706" t="s">
        <v>16</v>
      </c>
      <c r="C706">
        <v>5</v>
      </c>
      <c r="D706">
        <v>4</v>
      </c>
      <c r="E706">
        <v>1025</v>
      </c>
      <c r="F706" t="b">
        <v>1</v>
      </c>
      <c r="G706">
        <v>81.947999999999993</v>
      </c>
      <c r="H706">
        <v>24</v>
      </c>
      <c r="I706">
        <v>3</v>
      </c>
      <c r="J706">
        <v>1.26</v>
      </c>
      <c r="K706" t="s">
        <v>1668</v>
      </c>
      <c r="L706">
        <v>0</v>
      </c>
      <c r="N706" t="s">
        <v>1669</v>
      </c>
      <c r="O706" t="s">
        <v>1670</v>
      </c>
      <c r="P706" t="s">
        <v>20</v>
      </c>
      <c r="Q706">
        <f t="shared" ref="Q706:Q769" si="33">(VALUE(LEFT(SUBSTITUTE(O706,"T"," "),23)) - VALUE(LEFT(SUBSTITUTE(N706,"T"," "),23))) * 86400</f>
        <v>376.22499992139637</v>
      </c>
      <c r="R706">
        <f t="shared" ref="R706:R769" si="34">I706/G706</f>
        <v>3.6608581051398449E-2</v>
      </c>
      <c r="S706">
        <f t="shared" ref="S706:S769" si="35">H706/G706</f>
        <v>0.29286864841118759</v>
      </c>
    </row>
    <row r="707" spans="1:19" hidden="1" x14ac:dyDescent="0.2">
      <c r="A707">
        <v>94</v>
      </c>
      <c r="B707" t="s">
        <v>16</v>
      </c>
      <c r="C707">
        <v>10</v>
      </c>
      <c r="D707">
        <v>4</v>
      </c>
      <c r="E707">
        <v>1025</v>
      </c>
      <c r="F707" t="b">
        <v>1</v>
      </c>
      <c r="G707">
        <v>62.368000000000002</v>
      </c>
      <c r="H707">
        <v>21</v>
      </c>
      <c r="I707">
        <v>3</v>
      </c>
      <c r="J707">
        <v>0.66</v>
      </c>
      <c r="K707" t="s">
        <v>1677</v>
      </c>
      <c r="L707">
        <v>0</v>
      </c>
      <c r="N707" t="s">
        <v>1678</v>
      </c>
      <c r="O707" t="s">
        <v>1679</v>
      </c>
      <c r="P707" t="s">
        <v>20</v>
      </c>
      <c r="Q707">
        <f t="shared" si="33"/>
        <v>290.86400019004941</v>
      </c>
      <c r="R707">
        <f t="shared" si="34"/>
        <v>4.8101590559261158E-2</v>
      </c>
      <c r="S707">
        <f t="shared" si="35"/>
        <v>0.3367111339148281</v>
      </c>
    </row>
    <row r="708" spans="1:19" hidden="1" x14ac:dyDescent="0.2">
      <c r="A708">
        <v>97</v>
      </c>
      <c r="B708" t="s">
        <v>16</v>
      </c>
      <c r="C708">
        <v>15</v>
      </c>
      <c r="D708">
        <v>4</v>
      </c>
      <c r="E708">
        <v>1025</v>
      </c>
      <c r="F708" t="b">
        <v>1</v>
      </c>
      <c r="G708">
        <v>80.628</v>
      </c>
      <c r="H708">
        <v>21</v>
      </c>
      <c r="I708">
        <v>6</v>
      </c>
      <c r="J708">
        <v>0.54</v>
      </c>
      <c r="K708" t="s">
        <v>1686</v>
      </c>
      <c r="L708">
        <v>0</v>
      </c>
      <c r="N708" t="s">
        <v>1687</v>
      </c>
      <c r="O708" t="s">
        <v>1688</v>
      </c>
      <c r="P708" t="s">
        <v>20</v>
      </c>
      <c r="Q708">
        <f t="shared" si="33"/>
        <v>301.04500008746982</v>
      </c>
      <c r="R708">
        <f t="shared" si="34"/>
        <v>7.44158356898348E-2</v>
      </c>
      <c r="S708">
        <f t="shared" si="35"/>
        <v>0.26045542491442181</v>
      </c>
    </row>
    <row r="709" spans="1:19" hidden="1" x14ac:dyDescent="0.2">
      <c r="A709">
        <v>100</v>
      </c>
      <c r="B709" t="s">
        <v>16</v>
      </c>
      <c r="C709">
        <v>20</v>
      </c>
      <c r="D709">
        <v>4</v>
      </c>
      <c r="E709">
        <v>1025</v>
      </c>
      <c r="F709" t="b">
        <v>1</v>
      </c>
      <c r="G709">
        <v>90.067999999999998</v>
      </c>
      <c r="H709">
        <v>21</v>
      </c>
      <c r="I709">
        <v>8</v>
      </c>
      <c r="J709">
        <v>2.4</v>
      </c>
      <c r="K709" t="s">
        <v>1695</v>
      </c>
      <c r="L709">
        <v>0</v>
      </c>
      <c r="N709" t="s">
        <v>1696</v>
      </c>
      <c r="O709" t="s">
        <v>1697</v>
      </c>
      <c r="P709" t="s">
        <v>20</v>
      </c>
      <c r="Q709">
        <f t="shared" si="33"/>
        <v>396.51500000618398</v>
      </c>
      <c r="R709">
        <f t="shared" si="34"/>
        <v>8.8821779100235379E-2</v>
      </c>
      <c r="S709">
        <f t="shared" si="35"/>
        <v>0.23315717013811788</v>
      </c>
    </row>
    <row r="710" spans="1:19" hidden="1" x14ac:dyDescent="0.2">
      <c r="A710">
        <v>103</v>
      </c>
      <c r="B710" t="s">
        <v>16</v>
      </c>
      <c r="C710">
        <v>50</v>
      </c>
      <c r="D710">
        <v>4</v>
      </c>
      <c r="E710">
        <v>1025</v>
      </c>
      <c r="F710" t="b">
        <v>1</v>
      </c>
      <c r="G710">
        <v>77.087999999999994</v>
      </c>
      <c r="H710">
        <v>18</v>
      </c>
      <c r="I710">
        <v>6</v>
      </c>
      <c r="J710">
        <v>1.2</v>
      </c>
      <c r="K710" t="s">
        <v>1704</v>
      </c>
      <c r="L710">
        <v>0</v>
      </c>
      <c r="N710" t="s">
        <v>1705</v>
      </c>
      <c r="O710" t="s">
        <v>1706</v>
      </c>
      <c r="P710" t="s">
        <v>20</v>
      </c>
      <c r="Q710">
        <f t="shared" si="33"/>
        <v>340.1629997882992</v>
      </c>
      <c r="R710">
        <f t="shared" si="34"/>
        <v>7.7833125778331264E-2</v>
      </c>
      <c r="S710">
        <f t="shared" si="35"/>
        <v>0.23349937733499379</v>
      </c>
    </row>
    <row r="711" spans="1:19" hidden="1" x14ac:dyDescent="0.2">
      <c r="A711">
        <v>106</v>
      </c>
      <c r="B711" t="s">
        <v>16</v>
      </c>
      <c r="C711">
        <v>70</v>
      </c>
      <c r="D711">
        <v>4</v>
      </c>
      <c r="E711">
        <v>1025</v>
      </c>
      <c r="F711" t="b">
        <v>1</v>
      </c>
      <c r="G711">
        <v>75.760000000000005</v>
      </c>
      <c r="H711">
        <v>18</v>
      </c>
      <c r="I711">
        <v>7</v>
      </c>
      <c r="J711">
        <v>1.38</v>
      </c>
      <c r="K711" t="s">
        <v>1713</v>
      </c>
      <c r="L711">
        <v>0</v>
      </c>
      <c r="N711" t="s">
        <v>1714</v>
      </c>
      <c r="O711" t="s">
        <v>1715</v>
      </c>
      <c r="P711" t="s">
        <v>20</v>
      </c>
      <c r="Q711">
        <f t="shared" si="33"/>
        <v>332.45700029656291</v>
      </c>
      <c r="R711">
        <f t="shared" si="34"/>
        <v>9.2397043294614567E-2</v>
      </c>
      <c r="S711">
        <f t="shared" si="35"/>
        <v>0.2375923970432946</v>
      </c>
    </row>
    <row r="712" spans="1:19" x14ac:dyDescent="0.2">
      <c r="A712">
        <v>110</v>
      </c>
      <c r="B712" t="s">
        <v>21</v>
      </c>
      <c r="C712">
        <v>-1</v>
      </c>
      <c r="D712">
        <v>5</v>
      </c>
      <c r="E712">
        <v>1026</v>
      </c>
      <c r="F712" t="b">
        <v>1</v>
      </c>
      <c r="G712">
        <v>49.256</v>
      </c>
      <c r="H712">
        <v>28</v>
      </c>
      <c r="I712">
        <v>4</v>
      </c>
      <c r="J712">
        <v>4.8600000000000003</v>
      </c>
      <c r="K712" t="s">
        <v>1725</v>
      </c>
      <c r="L712">
        <v>0</v>
      </c>
      <c r="N712" t="s">
        <v>1726</v>
      </c>
      <c r="O712" t="s">
        <v>1727</v>
      </c>
      <c r="P712" t="s">
        <v>20</v>
      </c>
      <c r="Q712">
        <f t="shared" si="33"/>
        <v>196.06900038197637</v>
      </c>
      <c r="R712">
        <f t="shared" si="34"/>
        <v>8.1208380704888741E-2</v>
      </c>
      <c r="S712">
        <f t="shared" si="35"/>
        <v>0.56845866493422126</v>
      </c>
    </row>
    <row r="713" spans="1:19" x14ac:dyDescent="0.2">
      <c r="A713">
        <v>113</v>
      </c>
      <c r="B713" t="s">
        <v>21</v>
      </c>
      <c r="C713">
        <v>0</v>
      </c>
      <c r="D713">
        <v>5</v>
      </c>
      <c r="E713">
        <v>1026</v>
      </c>
      <c r="F713" t="b">
        <v>1</v>
      </c>
      <c r="G713">
        <v>64.876000000000005</v>
      </c>
      <c r="H713">
        <v>24</v>
      </c>
      <c r="I713">
        <v>1</v>
      </c>
      <c r="J713">
        <v>0.06</v>
      </c>
      <c r="K713" t="s">
        <v>1734</v>
      </c>
      <c r="L713">
        <v>0</v>
      </c>
      <c r="N713" t="s">
        <v>1735</v>
      </c>
      <c r="O713" t="s">
        <v>1736</v>
      </c>
      <c r="P713" t="s">
        <v>20</v>
      </c>
      <c r="Q713">
        <f t="shared" si="33"/>
        <v>259.32099963538349</v>
      </c>
      <c r="R713">
        <f t="shared" si="34"/>
        <v>1.5414020593131511E-2</v>
      </c>
      <c r="S713">
        <f t="shared" si="35"/>
        <v>0.36993649423515629</v>
      </c>
    </row>
    <row r="714" spans="1:19" x14ac:dyDescent="0.2">
      <c r="A714">
        <v>116</v>
      </c>
      <c r="B714" t="s">
        <v>21</v>
      </c>
      <c r="C714">
        <v>2</v>
      </c>
      <c r="D714">
        <v>5</v>
      </c>
      <c r="E714">
        <v>1026</v>
      </c>
      <c r="F714" t="b">
        <v>1</v>
      </c>
      <c r="G714">
        <v>84.908000000000001</v>
      </c>
      <c r="H714">
        <v>22</v>
      </c>
      <c r="I714">
        <v>3</v>
      </c>
      <c r="J714">
        <v>2.4</v>
      </c>
      <c r="K714" t="s">
        <v>1743</v>
      </c>
      <c r="L714">
        <v>0</v>
      </c>
      <c r="N714" t="s">
        <v>1744</v>
      </c>
      <c r="O714" t="s">
        <v>1745</v>
      </c>
      <c r="P714" t="s">
        <v>20</v>
      </c>
      <c r="Q714">
        <f t="shared" si="33"/>
        <v>341.01600009016693</v>
      </c>
      <c r="R714">
        <f t="shared" si="34"/>
        <v>3.5332359730531872E-2</v>
      </c>
      <c r="S714">
        <f t="shared" si="35"/>
        <v>0.25910397135723373</v>
      </c>
    </row>
    <row r="715" spans="1:19" x14ac:dyDescent="0.2">
      <c r="A715">
        <v>119</v>
      </c>
      <c r="B715" t="s">
        <v>21</v>
      </c>
      <c r="C715">
        <v>5</v>
      </c>
      <c r="D715">
        <v>5</v>
      </c>
      <c r="E715">
        <v>1026</v>
      </c>
      <c r="F715" t="b">
        <v>1</v>
      </c>
      <c r="G715">
        <v>140.304</v>
      </c>
      <c r="H715">
        <v>23</v>
      </c>
      <c r="I715">
        <v>6</v>
      </c>
      <c r="J715">
        <v>2.16</v>
      </c>
      <c r="K715" t="s">
        <v>1752</v>
      </c>
      <c r="L715">
        <v>0</v>
      </c>
      <c r="N715" t="s">
        <v>1753</v>
      </c>
      <c r="O715" t="s">
        <v>1754</v>
      </c>
      <c r="P715" t="s">
        <v>20</v>
      </c>
      <c r="Q715">
        <f t="shared" si="33"/>
        <v>609.81000016909093</v>
      </c>
      <c r="R715">
        <f t="shared" si="34"/>
        <v>4.2764283270612387E-2</v>
      </c>
      <c r="S715">
        <f t="shared" si="35"/>
        <v>0.16392975253734748</v>
      </c>
    </row>
    <row r="716" spans="1:19" hidden="1" x14ac:dyDescent="0.2">
      <c r="A716">
        <v>122</v>
      </c>
      <c r="B716" t="s">
        <v>21</v>
      </c>
      <c r="C716">
        <v>10</v>
      </c>
      <c r="D716">
        <v>5</v>
      </c>
      <c r="E716">
        <v>1026</v>
      </c>
      <c r="F716" t="b">
        <v>1</v>
      </c>
      <c r="G716">
        <v>113.35599999999999</v>
      </c>
      <c r="H716">
        <v>23</v>
      </c>
      <c r="I716">
        <v>11</v>
      </c>
      <c r="J716">
        <v>2.94</v>
      </c>
      <c r="K716" t="s">
        <v>1761</v>
      </c>
      <c r="L716">
        <v>0</v>
      </c>
      <c r="N716" t="s">
        <v>1762</v>
      </c>
      <c r="O716" t="s">
        <v>1763</v>
      </c>
      <c r="P716" t="s">
        <v>20</v>
      </c>
      <c r="Q716">
        <f t="shared" si="33"/>
        <v>496.95500037632883</v>
      </c>
      <c r="R716">
        <f t="shared" si="34"/>
        <v>9.7039415646282517E-2</v>
      </c>
      <c r="S716">
        <f t="shared" si="35"/>
        <v>0.20290059635131799</v>
      </c>
    </row>
    <row r="717" spans="1:19" hidden="1" x14ac:dyDescent="0.2">
      <c r="A717">
        <v>125</v>
      </c>
      <c r="B717" t="s">
        <v>21</v>
      </c>
      <c r="C717">
        <v>15</v>
      </c>
      <c r="D717">
        <v>5</v>
      </c>
      <c r="E717">
        <v>1026</v>
      </c>
      <c r="F717" t="b">
        <v>1</v>
      </c>
      <c r="G717">
        <v>93.603999999999999</v>
      </c>
      <c r="H717">
        <v>26</v>
      </c>
      <c r="I717">
        <v>8</v>
      </c>
      <c r="J717">
        <v>0.9</v>
      </c>
      <c r="K717" t="s">
        <v>1770</v>
      </c>
      <c r="L717">
        <v>0</v>
      </c>
      <c r="N717" t="s">
        <v>1771</v>
      </c>
      <c r="O717" t="s">
        <v>1772</v>
      </c>
      <c r="P717" t="s">
        <v>20</v>
      </c>
      <c r="Q717">
        <f t="shared" si="33"/>
        <v>391.08900034334511</v>
      </c>
      <c r="R717">
        <f t="shared" si="34"/>
        <v>8.5466433058416308E-2</v>
      </c>
      <c r="S717">
        <f t="shared" si="35"/>
        <v>0.27776590743985302</v>
      </c>
    </row>
    <row r="718" spans="1:19" hidden="1" x14ac:dyDescent="0.2">
      <c r="A718">
        <v>128</v>
      </c>
      <c r="B718" t="s">
        <v>21</v>
      </c>
      <c r="C718">
        <v>20</v>
      </c>
      <c r="D718">
        <v>5</v>
      </c>
      <c r="E718">
        <v>1026</v>
      </c>
      <c r="F718" t="b">
        <v>1</v>
      </c>
      <c r="G718">
        <v>55.148000000000003</v>
      </c>
      <c r="H718">
        <v>24</v>
      </c>
      <c r="I718">
        <v>4</v>
      </c>
      <c r="J718">
        <v>0.6</v>
      </c>
      <c r="K718" t="s">
        <v>1779</v>
      </c>
      <c r="L718">
        <v>0</v>
      </c>
      <c r="N718" t="s">
        <v>1780</v>
      </c>
      <c r="O718" t="s">
        <v>1781</v>
      </c>
      <c r="P718" t="s">
        <v>20</v>
      </c>
      <c r="Q718">
        <f t="shared" si="33"/>
        <v>319.23299990594387</v>
      </c>
      <c r="R718">
        <f t="shared" si="34"/>
        <v>7.2532095452237613E-2</v>
      </c>
      <c r="S718">
        <f t="shared" si="35"/>
        <v>0.43519257271342565</v>
      </c>
    </row>
    <row r="719" spans="1:19" hidden="1" x14ac:dyDescent="0.2">
      <c r="A719">
        <v>131</v>
      </c>
      <c r="B719" t="s">
        <v>21</v>
      </c>
      <c r="C719">
        <v>50</v>
      </c>
      <c r="D719">
        <v>5</v>
      </c>
      <c r="E719">
        <v>1026</v>
      </c>
      <c r="F719" t="b">
        <v>1</v>
      </c>
      <c r="G719">
        <v>76.811999999999998</v>
      </c>
      <c r="H719">
        <v>25</v>
      </c>
      <c r="I719">
        <v>9</v>
      </c>
      <c r="J719">
        <v>1.1399999999999999</v>
      </c>
      <c r="K719" t="s">
        <v>1788</v>
      </c>
      <c r="L719">
        <v>0</v>
      </c>
      <c r="N719" t="s">
        <v>1789</v>
      </c>
      <c r="O719" t="s">
        <v>1790</v>
      </c>
      <c r="P719" t="s">
        <v>20</v>
      </c>
      <c r="Q719">
        <f t="shared" si="33"/>
        <v>412.57700049318373</v>
      </c>
      <c r="R719">
        <f t="shared" si="34"/>
        <v>0.11716919231370099</v>
      </c>
      <c r="S719">
        <f t="shared" si="35"/>
        <v>0.32546997864916943</v>
      </c>
    </row>
    <row r="720" spans="1:19" hidden="1" x14ac:dyDescent="0.2">
      <c r="A720">
        <v>134</v>
      </c>
      <c r="B720" t="s">
        <v>21</v>
      </c>
      <c r="C720">
        <v>70</v>
      </c>
      <c r="D720">
        <v>5</v>
      </c>
      <c r="E720">
        <v>1026</v>
      </c>
      <c r="F720" t="b">
        <v>1</v>
      </c>
      <c r="G720">
        <v>60.603999999999999</v>
      </c>
      <c r="H720">
        <v>28</v>
      </c>
      <c r="I720">
        <v>8</v>
      </c>
      <c r="J720">
        <v>1.32</v>
      </c>
      <c r="K720" t="s">
        <v>1797</v>
      </c>
      <c r="L720">
        <v>0</v>
      </c>
      <c r="N720" t="s">
        <v>1798</v>
      </c>
      <c r="O720" t="s">
        <v>1799</v>
      </c>
      <c r="P720" t="s">
        <v>20</v>
      </c>
      <c r="Q720">
        <f t="shared" si="33"/>
        <v>269.62299942970276</v>
      </c>
      <c r="R720">
        <f t="shared" si="34"/>
        <v>0.13200448815259719</v>
      </c>
      <c r="S720">
        <f t="shared" si="35"/>
        <v>0.46201570853409019</v>
      </c>
    </row>
    <row r="721" spans="1:19" x14ac:dyDescent="0.2">
      <c r="A721">
        <v>111</v>
      </c>
      <c r="B721" t="s">
        <v>25</v>
      </c>
      <c r="C721">
        <v>-1</v>
      </c>
      <c r="D721">
        <v>5</v>
      </c>
      <c r="E721">
        <v>1026</v>
      </c>
      <c r="F721" t="b">
        <v>1</v>
      </c>
      <c r="G721">
        <v>30.44</v>
      </c>
      <c r="H721">
        <v>31</v>
      </c>
      <c r="I721">
        <v>5</v>
      </c>
      <c r="J721">
        <v>5.88</v>
      </c>
      <c r="K721" t="s">
        <v>1728</v>
      </c>
      <c r="L721">
        <v>0</v>
      </c>
      <c r="N721" t="s">
        <v>1729</v>
      </c>
      <c r="O721" t="s">
        <v>1730</v>
      </c>
      <c r="P721" t="s">
        <v>20</v>
      </c>
      <c r="Q721">
        <f t="shared" si="33"/>
        <v>133.04599996190518</v>
      </c>
      <c r="R721">
        <f t="shared" si="34"/>
        <v>0.16425755584756899</v>
      </c>
      <c r="S721">
        <f t="shared" si="35"/>
        <v>1.0183968462549278</v>
      </c>
    </row>
    <row r="722" spans="1:19" x14ac:dyDescent="0.2">
      <c r="A722">
        <v>114</v>
      </c>
      <c r="B722" t="s">
        <v>25</v>
      </c>
      <c r="C722">
        <v>0</v>
      </c>
      <c r="D722">
        <v>5</v>
      </c>
      <c r="E722">
        <v>1026</v>
      </c>
      <c r="F722" t="b">
        <v>1</v>
      </c>
      <c r="G722">
        <v>43.628</v>
      </c>
      <c r="H722">
        <v>31</v>
      </c>
      <c r="I722">
        <v>1</v>
      </c>
      <c r="J722">
        <v>0.06</v>
      </c>
      <c r="K722" t="s">
        <v>1737</v>
      </c>
      <c r="L722">
        <v>0</v>
      </c>
      <c r="N722" t="s">
        <v>1738</v>
      </c>
      <c r="O722" t="s">
        <v>1739</v>
      </c>
      <c r="P722" t="s">
        <v>20</v>
      </c>
      <c r="Q722">
        <f t="shared" si="33"/>
        <v>172.32100004330277</v>
      </c>
      <c r="R722">
        <f t="shared" si="34"/>
        <v>2.2921059869808379E-2</v>
      </c>
      <c r="S722">
        <f t="shared" si="35"/>
        <v>0.71055285596405982</v>
      </c>
    </row>
    <row r="723" spans="1:19" x14ac:dyDescent="0.2">
      <c r="A723">
        <v>117</v>
      </c>
      <c r="B723" t="s">
        <v>25</v>
      </c>
      <c r="C723">
        <v>2</v>
      </c>
      <c r="D723">
        <v>5</v>
      </c>
      <c r="E723">
        <v>1026</v>
      </c>
      <c r="F723" t="b">
        <v>1</v>
      </c>
      <c r="G723">
        <v>53.472000000000001</v>
      </c>
      <c r="H723">
        <v>33</v>
      </c>
      <c r="I723">
        <v>7</v>
      </c>
      <c r="J723">
        <v>1.92</v>
      </c>
      <c r="K723" t="s">
        <v>1746</v>
      </c>
      <c r="L723">
        <v>0</v>
      </c>
      <c r="N723" t="s">
        <v>1747</v>
      </c>
      <c r="O723" t="s">
        <v>1748</v>
      </c>
      <c r="P723" t="s">
        <v>20</v>
      </c>
      <c r="Q723">
        <f t="shared" si="33"/>
        <v>233.79699995275587</v>
      </c>
      <c r="R723">
        <f t="shared" si="34"/>
        <v>0.13090963494913224</v>
      </c>
      <c r="S723">
        <f t="shared" si="35"/>
        <v>0.6171454219030521</v>
      </c>
    </row>
    <row r="724" spans="1:19" x14ac:dyDescent="0.2">
      <c r="A724">
        <v>120</v>
      </c>
      <c r="B724" t="s">
        <v>25</v>
      </c>
      <c r="C724">
        <v>5</v>
      </c>
      <c r="D724">
        <v>5</v>
      </c>
      <c r="E724">
        <v>1026</v>
      </c>
      <c r="F724" t="b">
        <v>1</v>
      </c>
      <c r="G724">
        <v>46.996000000000002</v>
      </c>
      <c r="H724">
        <v>28</v>
      </c>
      <c r="I724">
        <v>1</v>
      </c>
      <c r="J724">
        <v>0.12</v>
      </c>
      <c r="K724" t="s">
        <v>1755</v>
      </c>
      <c r="L724">
        <v>0</v>
      </c>
      <c r="N724" t="s">
        <v>1756</v>
      </c>
      <c r="O724" t="s">
        <v>1757</v>
      </c>
      <c r="P724" t="s">
        <v>20</v>
      </c>
      <c r="Q724">
        <f t="shared" si="33"/>
        <v>170.58800049126148</v>
      </c>
      <c r="R724">
        <f t="shared" si="34"/>
        <v>2.1278406672908333E-2</v>
      </c>
      <c r="S724">
        <f t="shared" si="35"/>
        <v>0.59579538684143329</v>
      </c>
    </row>
    <row r="725" spans="1:19" hidden="1" x14ac:dyDescent="0.2">
      <c r="A725">
        <v>123</v>
      </c>
      <c r="B725" t="s">
        <v>25</v>
      </c>
      <c r="C725">
        <v>10</v>
      </c>
      <c r="D725">
        <v>5</v>
      </c>
      <c r="E725">
        <v>1026</v>
      </c>
      <c r="F725" t="b">
        <v>1</v>
      </c>
      <c r="G725">
        <v>45.223999999999997</v>
      </c>
      <c r="H725">
        <v>29</v>
      </c>
      <c r="I725">
        <v>3</v>
      </c>
      <c r="J725">
        <v>0.3</v>
      </c>
      <c r="K725" t="s">
        <v>1764</v>
      </c>
      <c r="L725">
        <v>0</v>
      </c>
      <c r="N725" t="s">
        <v>1765</v>
      </c>
      <c r="O725" t="s">
        <v>1766</v>
      </c>
      <c r="P725" t="s">
        <v>20</v>
      </c>
      <c r="Q725">
        <f t="shared" si="33"/>
        <v>161.48700001649559</v>
      </c>
      <c r="R725">
        <f t="shared" si="34"/>
        <v>6.6336458517601282E-2</v>
      </c>
      <c r="S725">
        <f t="shared" si="35"/>
        <v>0.64125243233681239</v>
      </c>
    </row>
    <row r="726" spans="1:19" hidden="1" x14ac:dyDescent="0.2">
      <c r="A726">
        <v>126</v>
      </c>
      <c r="B726" t="s">
        <v>25</v>
      </c>
      <c r="C726">
        <v>15</v>
      </c>
      <c r="D726">
        <v>5</v>
      </c>
      <c r="E726">
        <v>1026</v>
      </c>
      <c r="F726" t="b">
        <v>1</v>
      </c>
      <c r="G726">
        <v>52.404000000000003</v>
      </c>
      <c r="H726">
        <v>28</v>
      </c>
      <c r="I726">
        <v>3</v>
      </c>
      <c r="J726">
        <v>0.78</v>
      </c>
      <c r="K726" t="s">
        <v>1773</v>
      </c>
      <c r="L726">
        <v>0</v>
      </c>
      <c r="N726" t="s">
        <v>1774</v>
      </c>
      <c r="O726" t="s">
        <v>1775</v>
      </c>
      <c r="P726" t="s">
        <v>20</v>
      </c>
      <c r="Q726">
        <f t="shared" si="33"/>
        <v>234.30300015024841</v>
      </c>
      <c r="R726">
        <f t="shared" si="34"/>
        <v>5.7247538355850697E-2</v>
      </c>
      <c r="S726">
        <f t="shared" si="35"/>
        <v>0.5343103579879398</v>
      </c>
    </row>
    <row r="727" spans="1:19" hidden="1" x14ac:dyDescent="0.2">
      <c r="A727">
        <v>129</v>
      </c>
      <c r="B727" t="s">
        <v>25</v>
      </c>
      <c r="C727">
        <v>20</v>
      </c>
      <c r="D727">
        <v>5</v>
      </c>
      <c r="E727">
        <v>1026</v>
      </c>
      <c r="F727" t="b">
        <v>1</v>
      </c>
      <c r="G727">
        <v>68.308000000000007</v>
      </c>
      <c r="H727">
        <v>30</v>
      </c>
      <c r="I727">
        <v>7</v>
      </c>
      <c r="J727">
        <v>2.04</v>
      </c>
      <c r="K727" t="s">
        <v>1782</v>
      </c>
      <c r="L727">
        <v>0</v>
      </c>
      <c r="N727" t="s">
        <v>1783</v>
      </c>
      <c r="O727" t="s">
        <v>1784</v>
      </c>
      <c r="P727" t="s">
        <v>20</v>
      </c>
      <c r="Q727">
        <f t="shared" si="33"/>
        <v>303.69999976828694</v>
      </c>
      <c r="R727">
        <f t="shared" si="34"/>
        <v>0.10247701586929787</v>
      </c>
      <c r="S727">
        <f t="shared" si="35"/>
        <v>0.43918721086841944</v>
      </c>
    </row>
    <row r="728" spans="1:19" hidden="1" x14ac:dyDescent="0.2">
      <c r="A728">
        <v>132</v>
      </c>
      <c r="B728" t="s">
        <v>25</v>
      </c>
      <c r="C728">
        <v>50</v>
      </c>
      <c r="D728">
        <v>5</v>
      </c>
      <c r="E728">
        <v>1026</v>
      </c>
      <c r="F728" t="b">
        <v>1</v>
      </c>
      <c r="G728">
        <v>46.183999999999997</v>
      </c>
      <c r="H728">
        <v>30</v>
      </c>
      <c r="I728">
        <v>5</v>
      </c>
      <c r="J728">
        <v>1.2</v>
      </c>
      <c r="K728" t="s">
        <v>1791</v>
      </c>
      <c r="L728">
        <v>0</v>
      </c>
      <c r="N728" t="s">
        <v>1792</v>
      </c>
      <c r="O728" t="s">
        <v>1793</v>
      </c>
      <c r="P728" t="s">
        <v>20</v>
      </c>
      <c r="Q728">
        <f t="shared" si="33"/>
        <v>158.85899991262704</v>
      </c>
      <c r="R728">
        <f t="shared" si="34"/>
        <v>0.10826260176684567</v>
      </c>
      <c r="S728">
        <f t="shared" si="35"/>
        <v>0.64957561060107405</v>
      </c>
    </row>
    <row r="729" spans="1:19" hidden="1" x14ac:dyDescent="0.2">
      <c r="A729">
        <v>135</v>
      </c>
      <c r="B729" t="s">
        <v>25</v>
      </c>
      <c r="C729">
        <v>70</v>
      </c>
      <c r="D729">
        <v>5</v>
      </c>
      <c r="E729">
        <v>1026</v>
      </c>
      <c r="F729" t="b">
        <v>1</v>
      </c>
      <c r="G729">
        <v>37.192</v>
      </c>
      <c r="H729">
        <v>31</v>
      </c>
      <c r="I729">
        <v>6</v>
      </c>
      <c r="J729">
        <v>2.64</v>
      </c>
      <c r="K729" t="s">
        <v>1800</v>
      </c>
      <c r="L729">
        <v>0</v>
      </c>
      <c r="N729" t="s">
        <v>1801</v>
      </c>
      <c r="O729" t="s">
        <v>1802</v>
      </c>
      <c r="P729" t="s">
        <v>20</v>
      </c>
      <c r="Q729">
        <f t="shared" si="33"/>
        <v>97.351000201888382</v>
      </c>
      <c r="R729">
        <f t="shared" si="34"/>
        <v>0.16132501613250161</v>
      </c>
      <c r="S729">
        <f t="shared" si="35"/>
        <v>0.83351258335125833</v>
      </c>
    </row>
    <row r="730" spans="1:19" x14ac:dyDescent="0.2">
      <c r="A730">
        <v>109</v>
      </c>
      <c r="B730" t="s">
        <v>16</v>
      </c>
      <c r="C730">
        <v>-1</v>
      </c>
      <c r="D730">
        <v>5</v>
      </c>
      <c r="E730">
        <v>1026</v>
      </c>
      <c r="F730" t="b">
        <v>1</v>
      </c>
      <c r="G730">
        <v>61.56</v>
      </c>
      <c r="H730">
        <v>29</v>
      </c>
      <c r="I730">
        <v>3</v>
      </c>
      <c r="J730">
        <v>2.34</v>
      </c>
      <c r="K730" t="s">
        <v>1722</v>
      </c>
      <c r="L730">
        <v>0</v>
      </c>
      <c r="N730" t="s">
        <v>1723</v>
      </c>
      <c r="O730" t="s">
        <v>1724</v>
      </c>
      <c r="P730" t="s">
        <v>20</v>
      </c>
      <c r="Q730">
        <f t="shared" si="33"/>
        <v>224.17199998162687</v>
      </c>
      <c r="R730">
        <f t="shared" si="34"/>
        <v>4.8732943469785572E-2</v>
      </c>
      <c r="S730">
        <f t="shared" si="35"/>
        <v>0.4710851202079272</v>
      </c>
    </row>
    <row r="731" spans="1:19" x14ac:dyDescent="0.2">
      <c r="A731">
        <v>112</v>
      </c>
      <c r="B731" t="s">
        <v>16</v>
      </c>
      <c r="C731">
        <v>0</v>
      </c>
      <c r="D731">
        <v>5</v>
      </c>
      <c r="E731">
        <v>1026</v>
      </c>
      <c r="F731" t="b">
        <v>1</v>
      </c>
      <c r="G731">
        <v>62.636000000000003</v>
      </c>
      <c r="H731">
        <v>27</v>
      </c>
      <c r="I731">
        <v>0</v>
      </c>
      <c r="J731">
        <v>0</v>
      </c>
      <c r="K731" t="s">
        <v>1731</v>
      </c>
      <c r="L731">
        <v>0</v>
      </c>
      <c r="N731" t="s">
        <v>1732</v>
      </c>
      <c r="O731" t="s">
        <v>1733</v>
      </c>
      <c r="P731" t="s">
        <v>20</v>
      </c>
      <c r="Q731">
        <f t="shared" si="33"/>
        <v>351.40299992635846</v>
      </c>
      <c r="R731">
        <f t="shared" si="34"/>
        <v>0</v>
      </c>
      <c r="S731">
        <f t="shared" si="35"/>
        <v>0.43106200906826742</v>
      </c>
    </row>
    <row r="732" spans="1:19" x14ac:dyDescent="0.2">
      <c r="A732">
        <v>115</v>
      </c>
      <c r="B732" t="s">
        <v>16</v>
      </c>
      <c r="C732">
        <v>2</v>
      </c>
      <c r="D732">
        <v>5</v>
      </c>
      <c r="E732">
        <v>1026</v>
      </c>
      <c r="F732" t="b">
        <v>1</v>
      </c>
      <c r="G732">
        <v>91.08</v>
      </c>
      <c r="H732">
        <v>28</v>
      </c>
      <c r="I732">
        <v>0</v>
      </c>
      <c r="J732">
        <v>0</v>
      </c>
      <c r="K732" t="s">
        <v>1740</v>
      </c>
      <c r="L732">
        <v>0</v>
      </c>
      <c r="N732" t="s">
        <v>1741</v>
      </c>
      <c r="O732" t="s">
        <v>1742</v>
      </c>
      <c r="P732" t="s">
        <v>20</v>
      </c>
      <c r="Q732">
        <f t="shared" si="33"/>
        <v>331.09700025524944</v>
      </c>
      <c r="R732">
        <f t="shared" si="34"/>
        <v>0</v>
      </c>
      <c r="S732">
        <f t="shared" si="35"/>
        <v>0.30742204655248134</v>
      </c>
    </row>
    <row r="733" spans="1:19" x14ac:dyDescent="0.2">
      <c r="A733">
        <v>118</v>
      </c>
      <c r="B733" t="s">
        <v>16</v>
      </c>
      <c r="C733">
        <v>5</v>
      </c>
      <c r="D733">
        <v>5</v>
      </c>
      <c r="E733">
        <v>1026</v>
      </c>
      <c r="F733" t="b">
        <v>1</v>
      </c>
      <c r="G733">
        <v>59.555999999999997</v>
      </c>
      <c r="H733">
        <v>28</v>
      </c>
      <c r="I733">
        <v>1</v>
      </c>
      <c r="J733">
        <v>0.06</v>
      </c>
      <c r="K733" t="s">
        <v>1749</v>
      </c>
      <c r="L733">
        <v>0</v>
      </c>
      <c r="N733" t="s">
        <v>1750</v>
      </c>
      <c r="O733" t="s">
        <v>1751</v>
      </c>
      <c r="P733" t="s">
        <v>20</v>
      </c>
      <c r="Q733">
        <f t="shared" si="33"/>
        <v>275.03600001800805</v>
      </c>
      <c r="R733">
        <f t="shared" si="34"/>
        <v>1.6790919470750218E-2</v>
      </c>
      <c r="S733">
        <f t="shared" si="35"/>
        <v>0.47014574518100616</v>
      </c>
    </row>
    <row r="734" spans="1:19" hidden="1" x14ac:dyDescent="0.2">
      <c r="A734">
        <v>121</v>
      </c>
      <c r="B734" t="s">
        <v>16</v>
      </c>
      <c r="C734">
        <v>10</v>
      </c>
      <c r="D734">
        <v>5</v>
      </c>
      <c r="E734">
        <v>1026</v>
      </c>
      <c r="F734" t="b">
        <v>1</v>
      </c>
      <c r="G734">
        <v>61.015999999999998</v>
      </c>
      <c r="H734">
        <v>27</v>
      </c>
      <c r="I734">
        <v>9</v>
      </c>
      <c r="J734">
        <v>2.2200000000000002</v>
      </c>
      <c r="K734" t="s">
        <v>1758</v>
      </c>
      <c r="L734">
        <v>0</v>
      </c>
      <c r="N734" t="s">
        <v>1759</v>
      </c>
      <c r="O734" t="s">
        <v>1760</v>
      </c>
      <c r="P734" t="s">
        <v>20</v>
      </c>
      <c r="Q734">
        <f t="shared" si="33"/>
        <v>357.77699975296855</v>
      </c>
      <c r="R734">
        <f t="shared" si="34"/>
        <v>0.14750229448013635</v>
      </c>
      <c r="S734">
        <f t="shared" si="35"/>
        <v>0.44250688344040906</v>
      </c>
    </row>
    <row r="735" spans="1:19" hidden="1" x14ac:dyDescent="0.2">
      <c r="A735">
        <v>124</v>
      </c>
      <c r="B735" t="s">
        <v>16</v>
      </c>
      <c r="C735">
        <v>15</v>
      </c>
      <c r="D735">
        <v>5</v>
      </c>
      <c r="E735">
        <v>1026</v>
      </c>
      <c r="F735" t="b">
        <v>1</v>
      </c>
      <c r="G735">
        <v>56.648000000000003</v>
      </c>
      <c r="H735">
        <v>28</v>
      </c>
      <c r="I735">
        <v>6</v>
      </c>
      <c r="J735">
        <v>0.9</v>
      </c>
      <c r="K735" t="s">
        <v>1767</v>
      </c>
      <c r="L735">
        <v>0</v>
      </c>
      <c r="N735" t="s">
        <v>1768</v>
      </c>
      <c r="O735" t="s">
        <v>1769</v>
      </c>
      <c r="P735" t="s">
        <v>20</v>
      </c>
      <c r="Q735">
        <f t="shared" si="33"/>
        <v>264.01500015053898</v>
      </c>
      <c r="R735">
        <f t="shared" si="34"/>
        <v>0.10591724332721367</v>
      </c>
      <c r="S735">
        <f t="shared" si="35"/>
        <v>0.49428046886033045</v>
      </c>
    </row>
    <row r="736" spans="1:19" hidden="1" x14ac:dyDescent="0.2">
      <c r="A736">
        <v>127</v>
      </c>
      <c r="B736" t="s">
        <v>16</v>
      </c>
      <c r="C736">
        <v>20</v>
      </c>
      <c r="D736">
        <v>5</v>
      </c>
      <c r="E736">
        <v>1026</v>
      </c>
      <c r="F736" t="b">
        <v>1</v>
      </c>
      <c r="G736">
        <v>64.855999999999995</v>
      </c>
      <c r="H736">
        <v>29</v>
      </c>
      <c r="I736">
        <v>4</v>
      </c>
      <c r="J736">
        <v>0.42</v>
      </c>
      <c r="K736" t="s">
        <v>1776</v>
      </c>
      <c r="L736">
        <v>0</v>
      </c>
      <c r="N736" t="s">
        <v>1777</v>
      </c>
      <c r="O736" t="s">
        <v>1778</v>
      </c>
      <c r="P736" t="s">
        <v>20</v>
      </c>
      <c r="Q736">
        <f t="shared" si="33"/>
        <v>241.71300006564707</v>
      </c>
      <c r="R736">
        <f t="shared" si="34"/>
        <v>6.167509559639818E-2</v>
      </c>
      <c r="S736">
        <f t="shared" si="35"/>
        <v>0.44714444307388679</v>
      </c>
    </row>
    <row r="737" spans="1:19" hidden="1" x14ac:dyDescent="0.2">
      <c r="A737">
        <v>130</v>
      </c>
      <c r="B737" t="s">
        <v>16</v>
      </c>
      <c r="C737">
        <v>50</v>
      </c>
      <c r="D737">
        <v>5</v>
      </c>
      <c r="E737">
        <v>1026</v>
      </c>
      <c r="F737" t="b">
        <v>1</v>
      </c>
      <c r="G737">
        <v>62.276000000000003</v>
      </c>
      <c r="H737">
        <v>28</v>
      </c>
      <c r="I737">
        <v>2</v>
      </c>
      <c r="J737">
        <v>0.48</v>
      </c>
      <c r="K737" t="s">
        <v>1785</v>
      </c>
      <c r="L737">
        <v>0</v>
      </c>
      <c r="N737" t="s">
        <v>1786</v>
      </c>
      <c r="O737" t="s">
        <v>1787</v>
      </c>
      <c r="P737" t="s">
        <v>20</v>
      </c>
      <c r="Q737">
        <f t="shared" si="33"/>
        <v>288.03799962624907</v>
      </c>
      <c r="R737">
        <f t="shared" si="34"/>
        <v>3.2115100520264624E-2</v>
      </c>
      <c r="S737">
        <f t="shared" si="35"/>
        <v>0.4496114072837048</v>
      </c>
    </row>
    <row r="738" spans="1:19" hidden="1" x14ac:dyDescent="0.2">
      <c r="A738">
        <v>133</v>
      </c>
      <c r="B738" t="s">
        <v>16</v>
      </c>
      <c r="C738">
        <v>70</v>
      </c>
      <c r="D738">
        <v>5</v>
      </c>
      <c r="E738">
        <v>1026</v>
      </c>
      <c r="F738" t="b">
        <v>1</v>
      </c>
      <c r="G738">
        <v>62.271999999999998</v>
      </c>
      <c r="H738">
        <v>28</v>
      </c>
      <c r="I738">
        <v>2</v>
      </c>
      <c r="J738">
        <v>0.48</v>
      </c>
      <c r="K738" t="s">
        <v>1794</v>
      </c>
      <c r="L738">
        <v>0</v>
      </c>
      <c r="N738" t="s">
        <v>1795</v>
      </c>
      <c r="O738" t="s">
        <v>1796</v>
      </c>
      <c r="P738" t="s">
        <v>20</v>
      </c>
      <c r="Q738">
        <f t="shared" si="33"/>
        <v>283.9439996285364</v>
      </c>
      <c r="R738">
        <f t="shared" si="34"/>
        <v>3.211716341212744E-2</v>
      </c>
      <c r="S738">
        <f t="shared" si="35"/>
        <v>0.44964028776978421</v>
      </c>
    </row>
    <row r="739" spans="1:19" x14ac:dyDescent="0.2">
      <c r="A739">
        <v>2</v>
      </c>
      <c r="B739" t="s">
        <v>21</v>
      </c>
      <c r="C739">
        <v>-1</v>
      </c>
      <c r="D739">
        <v>1</v>
      </c>
      <c r="E739">
        <v>1027</v>
      </c>
      <c r="F739" t="b">
        <v>1</v>
      </c>
      <c r="G739">
        <v>67.739999999999995</v>
      </c>
      <c r="H739">
        <v>29</v>
      </c>
      <c r="I739">
        <v>6</v>
      </c>
      <c r="J739">
        <v>6.12</v>
      </c>
      <c r="K739" t="s">
        <v>2238</v>
      </c>
      <c r="L739">
        <v>0</v>
      </c>
      <c r="N739" t="s">
        <v>2239</v>
      </c>
      <c r="O739" t="s">
        <v>2240</v>
      </c>
      <c r="P739" t="s">
        <v>20</v>
      </c>
      <c r="Q739">
        <f t="shared" si="33"/>
        <v>336.58500043675303</v>
      </c>
      <c r="R739">
        <f t="shared" si="34"/>
        <v>8.8573959255978746E-2</v>
      </c>
      <c r="S739">
        <f t="shared" si="35"/>
        <v>0.42810746973723063</v>
      </c>
    </row>
    <row r="740" spans="1:19" x14ac:dyDescent="0.2">
      <c r="A740">
        <v>5</v>
      </c>
      <c r="B740" t="s">
        <v>21</v>
      </c>
      <c r="C740">
        <v>0</v>
      </c>
      <c r="D740">
        <v>1</v>
      </c>
      <c r="E740">
        <v>1027</v>
      </c>
      <c r="F740" t="b">
        <v>1</v>
      </c>
      <c r="G740">
        <v>78.475999999999999</v>
      </c>
      <c r="H740">
        <v>26</v>
      </c>
      <c r="I740">
        <v>4</v>
      </c>
      <c r="J740">
        <v>3.78</v>
      </c>
      <c r="K740" t="s">
        <v>2247</v>
      </c>
      <c r="L740">
        <v>0</v>
      </c>
      <c r="N740" t="s">
        <v>2248</v>
      </c>
      <c r="O740" t="s">
        <v>2249</v>
      </c>
      <c r="P740" t="s">
        <v>20</v>
      </c>
      <c r="Q740">
        <f t="shared" si="33"/>
        <v>322.84399985801429</v>
      </c>
      <c r="R740">
        <f t="shared" si="34"/>
        <v>5.0970997502421123E-2</v>
      </c>
      <c r="S740">
        <f t="shared" si="35"/>
        <v>0.33131148376573732</v>
      </c>
    </row>
    <row r="741" spans="1:19" x14ac:dyDescent="0.2">
      <c r="A741">
        <v>8</v>
      </c>
      <c r="B741" t="s">
        <v>21</v>
      </c>
      <c r="C741">
        <v>2</v>
      </c>
      <c r="D741">
        <v>1</v>
      </c>
      <c r="E741">
        <v>1027</v>
      </c>
      <c r="F741" t="b">
        <v>1</v>
      </c>
      <c r="G741">
        <v>91.236000000000004</v>
      </c>
      <c r="H741">
        <v>26</v>
      </c>
      <c r="I741">
        <v>2</v>
      </c>
      <c r="J741">
        <v>1.2</v>
      </c>
      <c r="K741" t="s">
        <v>2256</v>
      </c>
      <c r="L741">
        <v>0</v>
      </c>
      <c r="N741" t="s">
        <v>2257</v>
      </c>
      <c r="O741" t="s">
        <v>2258</v>
      </c>
      <c r="P741" t="s">
        <v>20</v>
      </c>
      <c r="Q741">
        <f t="shared" si="33"/>
        <v>393.79800043534487</v>
      </c>
      <c r="R741">
        <f t="shared" si="34"/>
        <v>2.1921171467403217E-2</v>
      </c>
      <c r="S741">
        <f t="shared" si="35"/>
        <v>0.28497522907624184</v>
      </c>
    </row>
    <row r="742" spans="1:19" x14ac:dyDescent="0.2">
      <c r="A742">
        <v>11</v>
      </c>
      <c r="B742" t="s">
        <v>21</v>
      </c>
      <c r="C742">
        <v>5</v>
      </c>
      <c r="D742">
        <v>1</v>
      </c>
      <c r="E742">
        <v>1027</v>
      </c>
      <c r="F742" t="b">
        <v>1</v>
      </c>
      <c r="G742">
        <v>79.823999999999998</v>
      </c>
      <c r="H742">
        <v>26</v>
      </c>
      <c r="I742">
        <v>3</v>
      </c>
      <c r="J742">
        <v>3.72</v>
      </c>
      <c r="K742" t="s">
        <v>2265</v>
      </c>
      <c r="L742">
        <v>0</v>
      </c>
      <c r="N742" t="s">
        <v>2266</v>
      </c>
      <c r="O742" t="s">
        <v>2267</v>
      </c>
      <c r="P742" t="s">
        <v>20</v>
      </c>
      <c r="Q742">
        <f t="shared" si="33"/>
        <v>433.05699967313558</v>
      </c>
      <c r="R742">
        <f t="shared" si="34"/>
        <v>3.7582681900180395E-2</v>
      </c>
      <c r="S742">
        <f t="shared" si="35"/>
        <v>0.3257165764682301</v>
      </c>
    </row>
    <row r="743" spans="1:19" hidden="1" x14ac:dyDescent="0.2">
      <c r="A743">
        <v>14</v>
      </c>
      <c r="B743" t="s">
        <v>21</v>
      </c>
      <c r="C743">
        <v>10</v>
      </c>
      <c r="D743">
        <v>1</v>
      </c>
      <c r="E743">
        <v>1027</v>
      </c>
      <c r="F743" t="b">
        <v>1</v>
      </c>
      <c r="G743">
        <v>72.768000000000001</v>
      </c>
      <c r="H743">
        <v>29</v>
      </c>
      <c r="I743">
        <v>6</v>
      </c>
      <c r="J743">
        <v>2.94</v>
      </c>
      <c r="K743" t="s">
        <v>2274</v>
      </c>
      <c r="L743">
        <v>0</v>
      </c>
      <c r="N743" t="s">
        <v>2275</v>
      </c>
      <c r="O743" t="s">
        <v>2276</v>
      </c>
      <c r="P743" t="s">
        <v>20</v>
      </c>
      <c r="Q743">
        <f t="shared" si="33"/>
        <v>177.30900042224675</v>
      </c>
      <c r="R743">
        <f t="shared" si="34"/>
        <v>8.2453825857519786E-2</v>
      </c>
      <c r="S743">
        <f t="shared" si="35"/>
        <v>0.39852682497801228</v>
      </c>
    </row>
    <row r="744" spans="1:19" hidden="1" x14ac:dyDescent="0.2">
      <c r="A744">
        <v>17</v>
      </c>
      <c r="B744" t="s">
        <v>21</v>
      </c>
      <c r="C744">
        <v>15</v>
      </c>
      <c r="D744">
        <v>1</v>
      </c>
      <c r="E744">
        <v>1027</v>
      </c>
      <c r="F744" t="b">
        <v>1</v>
      </c>
      <c r="G744">
        <v>73.34</v>
      </c>
      <c r="H744">
        <v>25</v>
      </c>
      <c r="I744">
        <v>10</v>
      </c>
      <c r="J744">
        <v>2.4</v>
      </c>
      <c r="K744" t="s">
        <v>2283</v>
      </c>
      <c r="L744">
        <v>0</v>
      </c>
      <c r="N744" t="s">
        <v>2284</v>
      </c>
      <c r="O744" t="s">
        <v>2285</v>
      </c>
      <c r="P744" t="s">
        <v>20</v>
      </c>
      <c r="Q744">
        <f t="shared" si="33"/>
        <v>181.4320003380999</v>
      </c>
      <c r="R744">
        <f t="shared" si="34"/>
        <v>0.13635124079629124</v>
      </c>
      <c r="S744">
        <f t="shared" si="35"/>
        <v>0.3408781019907281</v>
      </c>
    </row>
    <row r="745" spans="1:19" hidden="1" x14ac:dyDescent="0.2">
      <c r="A745">
        <v>20</v>
      </c>
      <c r="B745" t="s">
        <v>21</v>
      </c>
      <c r="C745">
        <v>20</v>
      </c>
      <c r="D745">
        <v>1</v>
      </c>
      <c r="E745">
        <v>1027</v>
      </c>
      <c r="F745" t="b">
        <v>1</v>
      </c>
      <c r="G745">
        <v>69.936000000000007</v>
      </c>
      <c r="H745">
        <v>25</v>
      </c>
      <c r="I745">
        <v>8</v>
      </c>
      <c r="J745">
        <v>4.4400000000000004</v>
      </c>
      <c r="K745" t="s">
        <v>2292</v>
      </c>
      <c r="L745">
        <v>0</v>
      </c>
      <c r="N745" t="s">
        <v>2293</v>
      </c>
      <c r="O745" t="s">
        <v>2294</v>
      </c>
      <c r="P745" t="s">
        <v>20</v>
      </c>
      <c r="Q745">
        <f t="shared" si="33"/>
        <v>181.95000006817281</v>
      </c>
      <c r="R745">
        <f t="shared" si="34"/>
        <v>0.11439029970258521</v>
      </c>
      <c r="S745">
        <f t="shared" si="35"/>
        <v>0.35746968657057876</v>
      </c>
    </row>
    <row r="746" spans="1:19" hidden="1" x14ac:dyDescent="0.2">
      <c r="A746">
        <v>23</v>
      </c>
      <c r="B746" t="s">
        <v>21</v>
      </c>
      <c r="C746">
        <v>50</v>
      </c>
      <c r="D746">
        <v>1</v>
      </c>
      <c r="E746">
        <v>1027</v>
      </c>
      <c r="F746" t="b">
        <v>1</v>
      </c>
      <c r="G746">
        <v>70.396000000000001</v>
      </c>
      <c r="H746">
        <v>26</v>
      </c>
      <c r="I746">
        <v>10</v>
      </c>
      <c r="J746">
        <v>4.32</v>
      </c>
      <c r="K746" t="s">
        <v>2301</v>
      </c>
      <c r="L746">
        <v>0</v>
      </c>
      <c r="N746" t="s">
        <v>2302</v>
      </c>
      <c r="O746" t="s">
        <v>2303</v>
      </c>
      <c r="P746" t="s">
        <v>20</v>
      </c>
      <c r="Q746">
        <f t="shared" si="33"/>
        <v>181.98199986945838</v>
      </c>
      <c r="R746">
        <f t="shared" si="34"/>
        <v>0.14205352576850958</v>
      </c>
      <c r="S746">
        <f t="shared" si="35"/>
        <v>0.36933916699812491</v>
      </c>
    </row>
    <row r="747" spans="1:19" hidden="1" x14ac:dyDescent="0.2">
      <c r="A747">
        <v>26</v>
      </c>
      <c r="B747" t="s">
        <v>21</v>
      </c>
      <c r="C747">
        <v>70</v>
      </c>
      <c r="D747">
        <v>1</v>
      </c>
      <c r="E747">
        <v>1027</v>
      </c>
      <c r="F747" t="b">
        <v>1</v>
      </c>
      <c r="G747">
        <v>70.5</v>
      </c>
      <c r="H747">
        <v>26</v>
      </c>
      <c r="I747">
        <v>7</v>
      </c>
      <c r="J747">
        <v>6.06</v>
      </c>
      <c r="K747" t="s">
        <v>2310</v>
      </c>
      <c r="L747">
        <v>0</v>
      </c>
      <c r="N747" t="s">
        <v>2311</v>
      </c>
      <c r="O747" t="s">
        <v>2312</v>
      </c>
      <c r="P747" t="s">
        <v>20</v>
      </c>
      <c r="Q747">
        <f t="shared" si="33"/>
        <v>180.01600017305464</v>
      </c>
      <c r="R747">
        <f t="shared" si="34"/>
        <v>9.9290780141843976E-2</v>
      </c>
      <c r="S747">
        <f t="shared" si="35"/>
        <v>0.36879432624113473</v>
      </c>
    </row>
    <row r="748" spans="1:19" x14ac:dyDescent="0.2">
      <c r="A748">
        <v>3</v>
      </c>
      <c r="B748" t="s">
        <v>25</v>
      </c>
      <c r="C748">
        <v>-1</v>
      </c>
      <c r="D748">
        <v>1</v>
      </c>
      <c r="E748">
        <v>1027</v>
      </c>
      <c r="F748" t="b">
        <v>1</v>
      </c>
      <c r="G748">
        <v>38.844000000000001</v>
      </c>
      <c r="H748">
        <v>28</v>
      </c>
      <c r="I748">
        <v>3</v>
      </c>
      <c r="J748">
        <v>8.0399999999999991</v>
      </c>
      <c r="K748" t="s">
        <v>2241</v>
      </c>
      <c r="L748">
        <v>0</v>
      </c>
      <c r="N748" t="s">
        <v>2242</v>
      </c>
      <c r="O748" t="s">
        <v>2243</v>
      </c>
      <c r="P748" t="s">
        <v>20</v>
      </c>
      <c r="Q748">
        <f t="shared" si="33"/>
        <v>158.77900009509176</v>
      </c>
      <c r="R748">
        <f t="shared" si="34"/>
        <v>7.723200494284832E-2</v>
      </c>
      <c r="S748">
        <f t="shared" si="35"/>
        <v>0.72083204613325091</v>
      </c>
    </row>
    <row r="749" spans="1:19" x14ac:dyDescent="0.2">
      <c r="A749">
        <v>6</v>
      </c>
      <c r="B749" t="s">
        <v>25</v>
      </c>
      <c r="C749">
        <v>0</v>
      </c>
      <c r="D749">
        <v>1</v>
      </c>
      <c r="E749">
        <v>1027</v>
      </c>
      <c r="F749" t="b">
        <v>1</v>
      </c>
      <c r="G749">
        <v>50.292000000000002</v>
      </c>
      <c r="H749">
        <v>26</v>
      </c>
      <c r="I749">
        <v>1</v>
      </c>
      <c r="J749">
        <v>0.6</v>
      </c>
      <c r="K749" t="s">
        <v>2250</v>
      </c>
      <c r="L749">
        <v>0</v>
      </c>
      <c r="N749" t="s">
        <v>2251</v>
      </c>
      <c r="O749" t="s">
        <v>2252</v>
      </c>
      <c r="P749" t="s">
        <v>20</v>
      </c>
      <c r="Q749">
        <f t="shared" si="33"/>
        <v>190.94999965745956</v>
      </c>
      <c r="R749">
        <f t="shared" si="34"/>
        <v>1.9883878151594685E-2</v>
      </c>
      <c r="S749">
        <f t="shared" si="35"/>
        <v>0.51698083194146183</v>
      </c>
    </row>
    <row r="750" spans="1:19" x14ac:dyDescent="0.2">
      <c r="A750">
        <v>9</v>
      </c>
      <c r="B750" t="s">
        <v>25</v>
      </c>
      <c r="C750">
        <v>2</v>
      </c>
      <c r="D750">
        <v>1</v>
      </c>
      <c r="E750">
        <v>1027</v>
      </c>
      <c r="F750" t="b">
        <v>1</v>
      </c>
      <c r="G750">
        <v>68.772000000000006</v>
      </c>
      <c r="H750">
        <v>24</v>
      </c>
      <c r="I750">
        <v>3</v>
      </c>
      <c r="J750">
        <v>0.3</v>
      </c>
      <c r="K750" t="s">
        <v>2259</v>
      </c>
      <c r="L750">
        <v>0</v>
      </c>
      <c r="N750" t="s">
        <v>2260</v>
      </c>
      <c r="O750" t="s">
        <v>2261</v>
      </c>
      <c r="P750" t="s">
        <v>20</v>
      </c>
      <c r="Q750">
        <f t="shared" si="33"/>
        <v>355.31299996655434</v>
      </c>
      <c r="R750">
        <f t="shared" si="34"/>
        <v>4.3622404466934217E-2</v>
      </c>
      <c r="S750">
        <f t="shared" si="35"/>
        <v>0.34897923573547374</v>
      </c>
    </row>
    <row r="751" spans="1:19" x14ac:dyDescent="0.2">
      <c r="A751">
        <v>12</v>
      </c>
      <c r="B751" t="s">
        <v>25</v>
      </c>
      <c r="C751">
        <v>5</v>
      </c>
      <c r="D751">
        <v>1</v>
      </c>
      <c r="E751">
        <v>1027</v>
      </c>
      <c r="F751" t="b">
        <v>1</v>
      </c>
      <c r="G751">
        <v>62.62</v>
      </c>
      <c r="H751">
        <v>32</v>
      </c>
      <c r="I751">
        <v>3</v>
      </c>
      <c r="J751">
        <v>0.48</v>
      </c>
      <c r="K751" t="s">
        <v>2268</v>
      </c>
      <c r="L751">
        <v>0</v>
      </c>
      <c r="N751" t="s">
        <v>2269</v>
      </c>
      <c r="O751" t="s">
        <v>2270</v>
      </c>
      <c r="P751" t="s">
        <v>20</v>
      </c>
      <c r="Q751">
        <f t="shared" si="33"/>
        <v>237.07199979107827</v>
      </c>
      <c r="R751">
        <f t="shared" si="34"/>
        <v>4.7908016608112426E-2</v>
      </c>
      <c r="S751">
        <f t="shared" si="35"/>
        <v>0.51101884381986584</v>
      </c>
    </row>
    <row r="752" spans="1:19" hidden="1" x14ac:dyDescent="0.2">
      <c r="A752">
        <v>15</v>
      </c>
      <c r="B752" t="s">
        <v>25</v>
      </c>
      <c r="C752">
        <v>10</v>
      </c>
      <c r="D752">
        <v>1</v>
      </c>
      <c r="E752">
        <v>1027</v>
      </c>
      <c r="F752" t="b">
        <v>1</v>
      </c>
      <c r="G752">
        <v>63.628</v>
      </c>
      <c r="H752">
        <v>26</v>
      </c>
      <c r="I752">
        <v>3</v>
      </c>
      <c r="J752">
        <v>1.44</v>
      </c>
      <c r="K752" t="s">
        <v>2277</v>
      </c>
      <c r="L752">
        <v>0</v>
      </c>
      <c r="N752" t="s">
        <v>2278</v>
      </c>
      <c r="O752" t="s">
        <v>2279</v>
      </c>
      <c r="P752" t="s">
        <v>20</v>
      </c>
      <c r="Q752">
        <f t="shared" si="33"/>
        <v>203.57500032987446</v>
      </c>
      <c r="R752">
        <f t="shared" si="34"/>
        <v>4.7149053875652228E-2</v>
      </c>
      <c r="S752">
        <f t="shared" si="35"/>
        <v>0.408625133588986</v>
      </c>
    </row>
    <row r="753" spans="1:19" hidden="1" x14ac:dyDescent="0.2">
      <c r="A753">
        <v>18</v>
      </c>
      <c r="B753" t="s">
        <v>25</v>
      </c>
      <c r="C753">
        <v>15</v>
      </c>
      <c r="D753">
        <v>1</v>
      </c>
      <c r="E753">
        <v>1027</v>
      </c>
      <c r="F753" t="b">
        <v>1</v>
      </c>
      <c r="G753">
        <v>48.404000000000003</v>
      </c>
      <c r="H753">
        <v>30</v>
      </c>
      <c r="I753">
        <v>9</v>
      </c>
      <c r="J753">
        <v>1.74</v>
      </c>
      <c r="K753" t="s">
        <v>2286</v>
      </c>
      <c r="L753">
        <v>0</v>
      </c>
      <c r="N753" t="s">
        <v>2287</v>
      </c>
      <c r="O753" t="s">
        <v>2288</v>
      </c>
      <c r="P753" t="s">
        <v>20</v>
      </c>
      <c r="Q753">
        <f t="shared" si="33"/>
        <v>101.46699955221266</v>
      </c>
      <c r="R753">
        <f t="shared" si="34"/>
        <v>0.18593504669035615</v>
      </c>
      <c r="S753">
        <f t="shared" si="35"/>
        <v>0.61978348896785385</v>
      </c>
    </row>
    <row r="754" spans="1:19" hidden="1" x14ac:dyDescent="0.2">
      <c r="A754">
        <v>21</v>
      </c>
      <c r="B754" t="s">
        <v>25</v>
      </c>
      <c r="C754">
        <v>20</v>
      </c>
      <c r="D754">
        <v>1</v>
      </c>
      <c r="E754">
        <v>1027</v>
      </c>
      <c r="F754" t="b">
        <v>1</v>
      </c>
      <c r="G754">
        <v>69.94</v>
      </c>
      <c r="H754">
        <v>28</v>
      </c>
      <c r="I754">
        <v>18</v>
      </c>
      <c r="J754">
        <v>3.78</v>
      </c>
      <c r="K754" t="s">
        <v>2295</v>
      </c>
      <c r="L754">
        <v>0</v>
      </c>
      <c r="N754" t="s">
        <v>2296</v>
      </c>
      <c r="O754" t="s">
        <v>2297</v>
      </c>
      <c r="P754" t="s">
        <v>20</v>
      </c>
      <c r="Q754">
        <f t="shared" si="33"/>
        <v>134.84999968204647</v>
      </c>
      <c r="R754">
        <f t="shared" si="34"/>
        <v>0.25736345438947672</v>
      </c>
      <c r="S754">
        <f t="shared" si="35"/>
        <v>0.40034315127251929</v>
      </c>
    </row>
    <row r="755" spans="1:19" hidden="1" x14ac:dyDescent="0.2">
      <c r="A755">
        <v>24</v>
      </c>
      <c r="B755" t="s">
        <v>25</v>
      </c>
      <c r="C755">
        <v>50</v>
      </c>
      <c r="D755">
        <v>1</v>
      </c>
      <c r="E755">
        <v>1027</v>
      </c>
      <c r="F755" t="b">
        <v>1</v>
      </c>
      <c r="G755">
        <v>47.484000000000002</v>
      </c>
      <c r="H755">
        <v>29</v>
      </c>
      <c r="I755">
        <v>7</v>
      </c>
      <c r="J755">
        <v>1.74</v>
      </c>
      <c r="K755" t="s">
        <v>2304</v>
      </c>
      <c r="L755">
        <v>0</v>
      </c>
      <c r="N755" t="s">
        <v>2305</v>
      </c>
      <c r="O755" t="s">
        <v>2306</v>
      </c>
      <c r="P755" t="s">
        <v>20</v>
      </c>
      <c r="Q755">
        <f t="shared" si="33"/>
        <v>87.100999848917127</v>
      </c>
      <c r="R755">
        <f t="shared" si="34"/>
        <v>0.1474180776682672</v>
      </c>
      <c r="S755">
        <f t="shared" si="35"/>
        <v>0.61073203605424986</v>
      </c>
    </row>
    <row r="756" spans="1:19" hidden="1" x14ac:dyDescent="0.2">
      <c r="A756">
        <v>27</v>
      </c>
      <c r="B756" t="s">
        <v>25</v>
      </c>
      <c r="C756">
        <v>70</v>
      </c>
      <c r="D756">
        <v>1</v>
      </c>
      <c r="E756">
        <v>1027</v>
      </c>
      <c r="F756" t="b">
        <v>1</v>
      </c>
      <c r="G756">
        <v>44.636000000000003</v>
      </c>
      <c r="H756">
        <v>29</v>
      </c>
      <c r="I756">
        <v>13</v>
      </c>
      <c r="J756">
        <v>2.16</v>
      </c>
      <c r="K756" t="s">
        <v>2313</v>
      </c>
      <c r="L756">
        <v>0</v>
      </c>
      <c r="N756" t="s">
        <v>2314</v>
      </c>
      <c r="O756" t="s">
        <v>2315</v>
      </c>
      <c r="P756" t="s">
        <v>20</v>
      </c>
      <c r="Q756">
        <f t="shared" si="33"/>
        <v>98.265999765135348</v>
      </c>
      <c r="R756">
        <f t="shared" si="34"/>
        <v>0.29124473519132538</v>
      </c>
      <c r="S756">
        <f t="shared" si="35"/>
        <v>0.6496997938883412</v>
      </c>
    </row>
    <row r="757" spans="1:19" x14ac:dyDescent="0.2">
      <c r="A757">
        <v>1</v>
      </c>
      <c r="B757" t="s">
        <v>16</v>
      </c>
      <c r="C757">
        <v>-1</v>
      </c>
      <c r="D757">
        <v>1</v>
      </c>
      <c r="E757">
        <v>1027</v>
      </c>
      <c r="F757" t="b">
        <v>1</v>
      </c>
      <c r="G757">
        <v>63.652000000000001</v>
      </c>
      <c r="H757">
        <v>28</v>
      </c>
      <c r="I757">
        <v>9</v>
      </c>
      <c r="J757">
        <v>10.56</v>
      </c>
      <c r="K757" t="s">
        <v>2235</v>
      </c>
      <c r="L757">
        <v>0</v>
      </c>
      <c r="N757" t="s">
        <v>2236</v>
      </c>
      <c r="O757" t="s">
        <v>2237</v>
      </c>
      <c r="P757" t="s">
        <v>20</v>
      </c>
      <c r="Q757">
        <f t="shared" si="33"/>
        <v>320.85099995601922</v>
      </c>
      <c r="R757">
        <f t="shared" si="34"/>
        <v>0.14139382894488783</v>
      </c>
      <c r="S757">
        <f t="shared" si="35"/>
        <v>0.43989191227298435</v>
      </c>
    </row>
    <row r="758" spans="1:19" x14ac:dyDescent="0.2">
      <c r="A758">
        <v>4</v>
      </c>
      <c r="B758" t="s">
        <v>16</v>
      </c>
      <c r="C758">
        <v>0</v>
      </c>
      <c r="D758">
        <v>1</v>
      </c>
      <c r="E758">
        <v>1027</v>
      </c>
      <c r="F758" t="b">
        <v>1</v>
      </c>
      <c r="G758">
        <v>102.876</v>
      </c>
      <c r="H758">
        <v>28</v>
      </c>
      <c r="I758">
        <v>2</v>
      </c>
      <c r="J758">
        <v>1.5</v>
      </c>
      <c r="K758" t="s">
        <v>2244</v>
      </c>
      <c r="L758">
        <v>0</v>
      </c>
      <c r="N758" t="s">
        <v>2245</v>
      </c>
      <c r="O758" t="s">
        <v>2246</v>
      </c>
      <c r="P758" t="s">
        <v>20</v>
      </c>
      <c r="Q758">
        <f t="shared" si="33"/>
        <v>456.19000007864088</v>
      </c>
      <c r="R758">
        <f t="shared" si="34"/>
        <v>1.9440880283059216E-2</v>
      </c>
      <c r="S758">
        <f t="shared" si="35"/>
        <v>0.27217232396282903</v>
      </c>
    </row>
    <row r="759" spans="1:19" x14ac:dyDescent="0.2">
      <c r="A759">
        <v>7</v>
      </c>
      <c r="B759" t="s">
        <v>16</v>
      </c>
      <c r="C759">
        <v>2</v>
      </c>
      <c r="D759">
        <v>1</v>
      </c>
      <c r="E759">
        <v>1027</v>
      </c>
      <c r="F759" t="b">
        <v>1</v>
      </c>
      <c r="G759">
        <v>77.524000000000001</v>
      </c>
      <c r="H759">
        <v>26</v>
      </c>
      <c r="I759">
        <v>4</v>
      </c>
      <c r="J759">
        <v>0.36</v>
      </c>
      <c r="K759" t="s">
        <v>2253</v>
      </c>
      <c r="L759">
        <v>0</v>
      </c>
      <c r="N759" t="s">
        <v>2254</v>
      </c>
      <c r="O759" t="s">
        <v>2255</v>
      </c>
      <c r="P759" t="s">
        <v>20</v>
      </c>
      <c r="Q759">
        <f t="shared" si="33"/>
        <v>290.54099977947772</v>
      </c>
      <c r="R759">
        <f t="shared" si="34"/>
        <v>5.1596924823280529E-2</v>
      </c>
      <c r="S759">
        <f t="shared" si="35"/>
        <v>0.33538001135132345</v>
      </c>
    </row>
    <row r="760" spans="1:19" x14ac:dyDescent="0.2">
      <c r="A760">
        <v>10</v>
      </c>
      <c r="B760" t="s">
        <v>16</v>
      </c>
      <c r="C760">
        <v>5</v>
      </c>
      <c r="D760">
        <v>1</v>
      </c>
      <c r="E760">
        <v>1027</v>
      </c>
      <c r="F760" t="b">
        <v>1</v>
      </c>
      <c r="G760">
        <v>106.212</v>
      </c>
      <c r="H760">
        <v>29</v>
      </c>
      <c r="I760">
        <v>6</v>
      </c>
      <c r="J760">
        <v>0.84</v>
      </c>
      <c r="K760" t="s">
        <v>2262</v>
      </c>
      <c r="L760">
        <v>0</v>
      </c>
      <c r="N760" t="s">
        <v>2263</v>
      </c>
      <c r="O760" t="s">
        <v>2264</v>
      </c>
      <c r="P760" t="s">
        <v>20</v>
      </c>
      <c r="Q760">
        <f t="shared" si="33"/>
        <v>503.39299980551004</v>
      </c>
      <c r="R760">
        <f t="shared" si="34"/>
        <v>5.6490792000903851E-2</v>
      </c>
      <c r="S760">
        <f t="shared" si="35"/>
        <v>0.27303882800436863</v>
      </c>
    </row>
    <row r="761" spans="1:19" hidden="1" x14ac:dyDescent="0.2">
      <c r="A761">
        <v>13</v>
      </c>
      <c r="B761" t="s">
        <v>16</v>
      </c>
      <c r="C761">
        <v>10</v>
      </c>
      <c r="D761">
        <v>1</v>
      </c>
      <c r="E761">
        <v>1027</v>
      </c>
      <c r="F761" t="b">
        <v>1</v>
      </c>
      <c r="G761">
        <v>65.227999999999994</v>
      </c>
      <c r="H761">
        <v>27</v>
      </c>
      <c r="I761">
        <v>11</v>
      </c>
      <c r="J761">
        <v>2.88</v>
      </c>
      <c r="K761" t="s">
        <v>2271</v>
      </c>
      <c r="L761">
        <v>0</v>
      </c>
      <c r="N761" t="s">
        <v>2272</v>
      </c>
      <c r="O761" t="s">
        <v>2273</v>
      </c>
      <c r="P761" t="s">
        <v>20</v>
      </c>
      <c r="Q761">
        <f t="shared" si="33"/>
        <v>348.53400019928813</v>
      </c>
      <c r="R761">
        <f t="shared" si="34"/>
        <v>0.16863923468449132</v>
      </c>
      <c r="S761">
        <f t="shared" si="35"/>
        <v>0.41393266695284237</v>
      </c>
    </row>
    <row r="762" spans="1:19" hidden="1" x14ac:dyDescent="0.2">
      <c r="A762">
        <v>16</v>
      </c>
      <c r="B762" t="s">
        <v>16</v>
      </c>
      <c r="C762">
        <v>15</v>
      </c>
      <c r="D762">
        <v>1</v>
      </c>
      <c r="E762">
        <v>1027</v>
      </c>
      <c r="F762" t="b">
        <v>1</v>
      </c>
      <c r="G762">
        <v>62.292000000000002</v>
      </c>
      <c r="H762">
        <v>26</v>
      </c>
      <c r="I762">
        <v>3</v>
      </c>
      <c r="J762">
        <v>0.3</v>
      </c>
      <c r="K762" t="s">
        <v>2280</v>
      </c>
      <c r="L762">
        <v>0</v>
      </c>
      <c r="N762" t="s">
        <v>2281</v>
      </c>
      <c r="O762" t="s">
        <v>2282</v>
      </c>
      <c r="P762" t="s">
        <v>20</v>
      </c>
      <c r="Q762">
        <f t="shared" si="33"/>
        <v>131.17000053171068</v>
      </c>
      <c r="R762">
        <f t="shared" si="34"/>
        <v>4.8160277403197845E-2</v>
      </c>
      <c r="S762">
        <f t="shared" si="35"/>
        <v>0.41738907082771465</v>
      </c>
    </row>
    <row r="763" spans="1:19" hidden="1" x14ac:dyDescent="0.2">
      <c r="A763">
        <v>19</v>
      </c>
      <c r="B763" t="s">
        <v>16</v>
      </c>
      <c r="C763">
        <v>20</v>
      </c>
      <c r="D763">
        <v>1</v>
      </c>
      <c r="E763">
        <v>1027</v>
      </c>
      <c r="F763" t="b">
        <v>1</v>
      </c>
      <c r="G763">
        <v>52.875999999999998</v>
      </c>
      <c r="H763">
        <v>27</v>
      </c>
      <c r="I763">
        <v>4</v>
      </c>
      <c r="J763">
        <v>0.6</v>
      </c>
      <c r="K763" t="s">
        <v>2289</v>
      </c>
      <c r="L763">
        <v>0</v>
      </c>
      <c r="N763" t="s">
        <v>2290</v>
      </c>
      <c r="O763" t="s">
        <v>2291</v>
      </c>
      <c r="P763" t="s">
        <v>20</v>
      </c>
      <c r="Q763">
        <f t="shared" si="33"/>
        <v>108.58200006186962</v>
      </c>
      <c r="R763">
        <f t="shared" si="34"/>
        <v>7.5648687495271955E-2</v>
      </c>
      <c r="S763">
        <f t="shared" si="35"/>
        <v>0.51062864059308577</v>
      </c>
    </row>
    <row r="764" spans="1:19" hidden="1" x14ac:dyDescent="0.2">
      <c r="A764">
        <v>22</v>
      </c>
      <c r="B764" t="s">
        <v>16</v>
      </c>
      <c r="C764">
        <v>50</v>
      </c>
      <c r="D764">
        <v>1</v>
      </c>
      <c r="E764">
        <v>1027</v>
      </c>
      <c r="F764" t="b">
        <v>1</v>
      </c>
      <c r="G764">
        <v>79.444000000000003</v>
      </c>
      <c r="H764">
        <v>28</v>
      </c>
      <c r="I764">
        <v>9</v>
      </c>
      <c r="J764">
        <v>1.44</v>
      </c>
      <c r="K764" t="s">
        <v>2298</v>
      </c>
      <c r="L764">
        <v>0</v>
      </c>
      <c r="N764" t="s">
        <v>2299</v>
      </c>
      <c r="O764" t="s">
        <v>2300</v>
      </c>
      <c r="P764" t="s">
        <v>20</v>
      </c>
      <c r="Q764">
        <f t="shared" si="33"/>
        <v>180.8029999025166</v>
      </c>
      <c r="R764">
        <f t="shared" si="34"/>
        <v>0.11328734706208146</v>
      </c>
      <c r="S764">
        <f t="shared" si="35"/>
        <v>0.35244952419314235</v>
      </c>
    </row>
    <row r="765" spans="1:19" hidden="1" x14ac:dyDescent="0.2">
      <c r="A765">
        <v>25</v>
      </c>
      <c r="B765" t="s">
        <v>16</v>
      </c>
      <c r="C765">
        <v>70</v>
      </c>
      <c r="D765">
        <v>1</v>
      </c>
      <c r="E765">
        <v>1027</v>
      </c>
      <c r="F765" t="b">
        <v>1</v>
      </c>
      <c r="G765">
        <v>63.756</v>
      </c>
      <c r="H765">
        <v>28</v>
      </c>
      <c r="I765">
        <v>7</v>
      </c>
      <c r="J765">
        <v>1.86</v>
      </c>
      <c r="K765" t="s">
        <v>2307</v>
      </c>
      <c r="L765">
        <v>0</v>
      </c>
      <c r="N765" t="s">
        <v>2308</v>
      </c>
      <c r="O765" t="s">
        <v>2309</v>
      </c>
      <c r="P765" t="s">
        <v>20</v>
      </c>
      <c r="Q765">
        <f t="shared" si="33"/>
        <v>120.16400007996708</v>
      </c>
      <c r="R765">
        <f t="shared" si="34"/>
        <v>0.10979358805445762</v>
      </c>
      <c r="S765">
        <f t="shared" si="35"/>
        <v>0.43917435221783047</v>
      </c>
    </row>
    <row r="766" spans="1:19" x14ac:dyDescent="0.2">
      <c r="A766">
        <v>29</v>
      </c>
      <c r="B766" t="s">
        <v>21</v>
      </c>
      <c r="C766">
        <v>-1</v>
      </c>
      <c r="D766">
        <v>2</v>
      </c>
      <c r="E766">
        <v>1028</v>
      </c>
      <c r="F766" t="b">
        <v>1</v>
      </c>
      <c r="G766">
        <v>54.375999999999998</v>
      </c>
      <c r="H766">
        <v>30</v>
      </c>
      <c r="I766">
        <v>6</v>
      </c>
      <c r="J766">
        <v>5.28</v>
      </c>
      <c r="K766" t="s">
        <v>2319</v>
      </c>
      <c r="L766">
        <v>0</v>
      </c>
      <c r="N766" t="s">
        <v>2320</v>
      </c>
      <c r="O766" t="s">
        <v>2321</v>
      </c>
      <c r="P766" t="s">
        <v>20</v>
      </c>
      <c r="Q766">
        <f t="shared" si="33"/>
        <v>121.62100032437593</v>
      </c>
      <c r="R766">
        <f t="shared" si="34"/>
        <v>0.11034279829336473</v>
      </c>
      <c r="S766">
        <f t="shared" si="35"/>
        <v>0.55171399146682365</v>
      </c>
    </row>
    <row r="767" spans="1:19" x14ac:dyDescent="0.2">
      <c r="A767">
        <v>32</v>
      </c>
      <c r="B767" t="s">
        <v>21</v>
      </c>
      <c r="C767">
        <v>0</v>
      </c>
      <c r="D767">
        <v>2</v>
      </c>
      <c r="E767">
        <v>1028</v>
      </c>
      <c r="F767" t="b">
        <v>1</v>
      </c>
      <c r="G767">
        <v>66.132000000000005</v>
      </c>
      <c r="H767">
        <v>32</v>
      </c>
      <c r="I767">
        <v>2</v>
      </c>
      <c r="J767">
        <v>1.38</v>
      </c>
      <c r="K767" t="s">
        <v>2328</v>
      </c>
      <c r="L767">
        <v>0</v>
      </c>
      <c r="N767" t="s">
        <v>2329</v>
      </c>
      <c r="O767" t="s">
        <v>2330</v>
      </c>
      <c r="P767" t="s">
        <v>20</v>
      </c>
      <c r="Q767">
        <f t="shared" si="33"/>
        <v>177.52400001045316</v>
      </c>
      <c r="R767">
        <f t="shared" si="34"/>
        <v>3.0242545212605089E-2</v>
      </c>
      <c r="S767">
        <f t="shared" si="35"/>
        <v>0.48388072340168142</v>
      </c>
    </row>
    <row r="768" spans="1:19" x14ac:dyDescent="0.2">
      <c r="A768">
        <v>35</v>
      </c>
      <c r="B768" t="s">
        <v>21</v>
      </c>
      <c r="C768">
        <v>2</v>
      </c>
      <c r="D768">
        <v>2</v>
      </c>
      <c r="E768">
        <v>1028</v>
      </c>
      <c r="F768" t="b">
        <v>1</v>
      </c>
      <c r="G768">
        <v>85.7</v>
      </c>
      <c r="H768">
        <v>33</v>
      </c>
      <c r="I768">
        <v>2</v>
      </c>
      <c r="J768">
        <v>2.1</v>
      </c>
      <c r="K768" t="s">
        <v>2337</v>
      </c>
      <c r="L768">
        <v>0</v>
      </c>
      <c r="N768" t="s">
        <v>2338</v>
      </c>
      <c r="O768" t="s">
        <v>2339</v>
      </c>
      <c r="P768" t="s">
        <v>20</v>
      </c>
      <c r="Q768">
        <f t="shared" si="33"/>
        <v>233.52299972902983</v>
      </c>
      <c r="R768">
        <f t="shared" si="34"/>
        <v>2.3337222870478413E-2</v>
      </c>
      <c r="S768">
        <f t="shared" si="35"/>
        <v>0.38506417736289378</v>
      </c>
    </row>
    <row r="769" spans="1:19" x14ac:dyDescent="0.2">
      <c r="A769">
        <v>38</v>
      </c>
      <c r="B769" t="s">
        <v>21</v>
      </c>
      <c r="C769">
        <v>5</v>
      </c>
      <c r="D769">
        <v>2</v>
      </c>
      <c r="E769">
        <v>1028</v>
      </c>
      <c r="F769" t="b">
        <v>1</v>
      </c>
      <c r="G769">
        <v>73.531999999999996</v>
      </c>
      <c r="H769">
        <v>31</v>
      </c>
      <c r="I769">
        <v>2</v>
      </c>
      <c r="J769">
        <v>1.1399999999999999</v>
      </c>
      <c r="K769" t="s">
        <v>2346</v>
      </c>
      <c r="L769">
        <v>0</v>
      </c>
      <c r="N769" t="s">
        <v>2347</v>
      </c>
      <c r="O769" t="s">
        <v>2348</v>
      </c>
      <c r="P769" t="s">
        <v>20</v>
      </c>
      <c r="Q769">
        <f t="shared" si="33"/>
        <v>202.38100031856447</v>
      </c>
      <c r="R769">
        <f t="shared" si="34"/>
        <v>2.7199042593700703E-2</v>
      </c>
      <c r="S769">
        <f t="shared" si="35"/>
        <v>0.42158516020236092</v>
      </c>
    </row>
    <row r="770" spans="1:19" hidden="1" x14ac:dyDescent="0.2">
      <c r="A770">
        <v>41</v>
      </c>
      <c r="B770" t="s">
        <v>21</v>
      </c>
      <c r="C770">
        <v>10</v>
      </c>
      <c r="D770">
        <v>2</v>
      </c>
      <c r="E770">
        <v>1028</v>
      </c>
      <c r="F770" t="b">
        <v>1</v>
      </c>
      <c r="G770">
        <v>68.36</v>
      </c>
      <c r="H770">
        <v>29</v>
      </c>
      <c r="I770">
        <v>2</v>
      </c>
      <c r="J770">
        <v>2.76</v>
      </c>
      <c r="K770" t="s">
        <v>2355</v>
      </c>
      <c r="L770">
        <v>0</v>
      </c>
      <c r="N770" t="s">
        <v>2356</v>
      </c>
      <c r="O770" t="s">
        <v>2357</v>
      </c>
      <c r="P770" t="s">
        <v>20</v>
      </c>
      <c r="Q770">
        <f t="shared" ref="Q770:Q819" si="36">(VALUE(LEFT(SUBSTITUTE(O770,"T"," "),23)) - VALUE(LEFT(SUBSTITUTE(N770,"T"," "),23))) * 86400</f>
        <v>157.49599998816848</v>
      </c>
      <c r="R770">
        <f t="shared" ref="R770:R819" si="37">I770/G770</f>
        <v>2.9256875365710942E-2</v>
      </c>
      <c r="S770">
        <f t="shared" ref="S770:S819" si="38">H770/G770</f>
        <v>0.42422469280280867</v>
      </c>
    </row>
    <row r="771" spans="1:19" hidden="1" x14ac:dyDescent="0.2">
      <c r="A771">
        <v>44</v>
      </c>
      <c r="B771" t="s">
        <v>21</v>
      </c>
      <c r="C771">
        <v>15</v>
      </c>
      <c r="D771">
        <v>2</v>
      </c>
      <c r="E771">
        <v>1028</v>
      </c>
      <c r="F771" t="b">
        <v>1</v>
      </c>
      <c r="G771">
        <v>77.804000000000002</v>
      </c>
      <c r="H771">
        <v>29</v>
      </c>
      <c r="I771">
        <v>3</v>
      </c>
      <c r="J771">
        <v>0.54</v>
      </c>
      <c r="K771" t="s">
        <v>2363</v>
      </c>
      <c r="L771">
        <v>0</v>
      </c>
      <c r="N771" t="s">
        <v>2364</v>
      </c>
      <c r="O771" t="s">
        <v>2365</v>
      </c>
      <c r="P771" t="s">
        <v>20</v>
      </c>
      <c r="Q771">
        <f t="shared" si="36"/>
        <v>196.84999971650541</v>
      </c>
      <c r="R771">
        <f t="shared" si="37"/>
        <v>3.8558428872551537E-2</v>
      </c>
      <c r="S771">
        <f t="shared" si="38"/>
        <v>0.37273147910133153</v>
      </c>
    </row>
    <row r="772" spans="1:19" hidden="1" x14ac:dyDescent="0.2">
      <c r="A772">
        <v>47</v>
      </c>
      <c r="B772" t="s">
        <v>21</v>
      </c>
      <c r="C772">
        <v>20</v>
      </c>
      <c r="D772">
        <v>2</v>
      </c>
      <c r="E772">
        <v>1028</v>
      </c>
      <c r="F772" t="b">
        <v>1</v>
      </c>
      <c r="G772">
        <v>58.48</v>
      </c>
      <c r="H772">
        <v>30</v>
      </c>
      <c r="I772">
        <v>3</v>
      </c>
      <c r="J772">
        <v>0.78</v>
      </c>
      <c r="K772" t="s">
        <v>2372</v>
      </c>
      <c r="L772">
        <v>0</v>
      </c>
      <c r="N772" t="s">
        <v>2373</v>
      </c>
      <c r="O772" t="s">
        <v>2374</v>
      </c>
      <c r="P772" t="s">
        <v>20</v>
      </c>
      <c r="Q772">
        <f t="shared" si="36"/>
        <v>150.85899992845953</v>
      </c>
      <c r="R772">
        <f t="shared" si="37"/>
        <v>5.1299589603283173E-2</v>
      </c>
      <c r="S772">
        <f t="shared" si="38"/>
        <v>0.5129958960328318</v>
      </c>
    </row>
    <row r="773" spans="1:19" hidden="1" x14ac:dyDescent="0.2">
      <c r="A773">
        <v>50</v>
      </c>
      <c r="B773" t="s">
        <v>21</v>
      </c>
      <c r="C773">
        <v>50</v>
      </c>
      <c r="D773">
        <v>2</v>
      </c>
      <c r="E773">
        <v>1028</v>
      </c>
      <c r="F773" t="b">
        <v>1</v>
      </c>
      <c r="G773">
        <v>75.231999999999999</v>
      </c>
      <c r="H773">
        <v>30</v>
      </c>
      <c r="I773">
        <v>14</v>
      </c>
      <c r="J773">
        <v>3</v>
      </c>
      <c r="K773" t="s">
        <v>2381</v>
      </c>
      <c r="L773">
        <v>0</v>
      </c>
      <c r="N773" t="s">
        <v>2382</v>
      </c>
      <c r="O773" t="s">
        <v>2383</v>
      </c>
      <c r="P773" t="s">
        <v>20</v>
      </c>
      <c r="Q773">
        <f t="shared" si="36"/>
        <v>185.24199966341257</v>
      </c>
      <c r="R773">
        <f t="shared" si="37"/>
        <v>0.18609102509570397</v>
      </c>
      <c r="S773">
        <f t="shared" si="38"/>
        <v>0.39876648234793705</v>
      </c>
    </row>
    <row r="774" spans="1:19" hidden="1" x14ac:dyDescent="0.2">
      <c r="A774">
        <v>53</v>
      </c>
      <c r="B774" t="s">
        <v>21</v>
      </c>
      <c r="C774">
        <v>70</v>
      </c>
      <c r="D774">
        <v>2</v>
      </c>
      <c r="E774">
        <v>1028</v>
      </c>
      <c r="F774" t="b">
        <v>1</v>
      </c>
      <c r="G774">
        <v>121.54</v>
      </c>
      <c r="H774">
        <v>31</v>
      </c>
      <c r="I774">
        <v>9</v>
      </c>
      <c r="J774">
        <v>2.4</v>
      </c>
      <c r="K774" t="s">
        <v>2390</v>
      </c>
      <c r="L774">
        <v>0</v>
      </c>
      <c r="N774" t="s">
        <v>2391</v>
      </c>
      <c r="O774" t="s">
        <v>2392</v>
      </c>
      <c r="P774" t="s">
        <v>20</v>
      </c>
      <c r="Q774">
        <f t="shared" si="36"/>
        <v>287.1649996843189</v>
      </c>
      <c r="R774">
        <f t="shared" si="37"/>
        <v>7.4049695573473753E-2</v>
      </c>
      <c r="S774">
        <f t="shared" si="38"/>
        <v>0.255060062530854</v>
      </c>
    </row>
    <row r="775" spans="1:19" x14ac:dyDescent="0.2">
      <c r="A775">
        <v>30</v>
      </c>
      <c r="B775" t="s">
        <v>25</v>
      </c>
      <c r="C775">
        <v>-1</v>
      </c>
      <c r="D775">
        <v>2</v>
      </c>
      <c r="E775">
        <v>1028</v>
      </c>
      <c r="F775" t="b">
        <v>1</v>
      </c>
      <c r="G775">
        <v>56.764000000000003</v>
      </c>
      <c r="H775">
        <v>33</v>
      </c>
      <c r="I775">
        <v>4</v>
      </c>
      <c r="J775">
        <v>3.72</v>
      </c>
      <c r="K775" t="s">
        <v>2322</v>
      </c>
      <c r="L775">
        <v>0</v>
      </c>
      <c r="N775" t="s">
        <v>2323</v>
      </c>
      <c r="O775" t="s">
        <v>2324</v>
      </c>
      <c r="P775" t="s">
        <v>20</v>
      </c>
      <c r="Q775">
        <f t="shared" si="36"/>
        <v>128.23300051968545</v>
      </c>
      <c r="R775">
        <f t="shared" si="37"/>
        <v>7.0467197519554645E-2</v>
      </c>
      <c r="S775">
        <f t="shared" si="38"/>
        <v>0.58135437953632585</v>
      </c>
    </row>
    <row r="776" spans="1:19" x14ac:dyDescent="0.2">
      <c r="A776">
        <v>33</v>
      </c>
      <c r="B776" t="s">
        <v>25</v>
      </c>
      <c r="C776">
        <v>0</v>
      </c>
      <c r="D776">
        <v>2</v>
      </c>
      <c r="E776">
        <v>1028</v>
      </c>
      <c r="F776" t="b">
        <v>1</v>
      </c>
      <c r="G776">
        <v>59.048000000000002</v>
      </c>
      <c r="H776">
        <v>29</v>
      </c>
      <c r="I776">
        <v>3</v>
      </c>
      <c r="J776">
        <v>1.86</v>
      </c>
      <c r="K776" t="s">
        <v>2331</v>
      </c>
      <c r="L776">
        <v>0</v>
      </c>
      <c r="N776" t="s">
        <v>2332</v>
      </c>
      <c r="O776" t="s">
        <v>2333</v>
      </c>
      <c r="P776" t="s">
        <v>20</v>
      </c>
      <c r="Q776">
        <f t="shared" si="36"/>
        <v>203.59300025738776</v>
      </c>
      <c r="R776">
        <f t="shared" si="37"/>
        <v>5.0806123831459153E-2</v>
      </c>
      <c r="S776">
        <f t="shared" si="38"/>
        <v>0.4911258637041051</v>
      </c>
    </row>
    <row r="777" spans="1:19" x14ac:dyDescent="0.2">
      <c r="A777">
        <v>36</v>
      </c>
      <c r="B777" t="s">
        <v>25</v>
      </c>
      <c r="C777">
        <v>2</v>
      </c>
      <c r="D777">
        <v>2</v>
      </c>
      <c r="E777">
        <v>1028</v>
      </c>
      <c r="F777" t="b">
        <v>1</v>
      </c>
      <c r="G777">
        <v>52.332000000000001</v>
      </c>
      <c r="H777">
        <v>30</v>
      </c>
      <c r="I777">
        <v>0</v>
      </c>
      <c r="J777">
        <v>0</v>
      </c>
      <c r="K777" t="s">
        <v>2340</v>
      </c>
      <c r="L777">
        <v>0</v>
      </c>
      <c r="N777" t="s">
        <v>2341</v>
      </c>
      <c r="O777" t="s">
        <v>2342</v>
      </c>
      <c r="P777" t="s">
        <v>20</v>
      </c>
      <c r="Q777">
        <f t="shared" si="36"/>
        <v>105.81699984613806</v>
      </c>
      <c r="R777">
        <f t="shared" si="37"/>
        <v>0</v>
      </c>
      <c r="S777">
        <f t="shared" si="38"/>
        <v>0.57326301307039673</v>
      </c>
    </row>
    <row r="778" spans="1:19" x14ac:dyDescent="0.2">
      <c r="A778">
        <v>39</v>
      </c>
      <c r="B778" t="s">
        <v>25</v>
      </c>
      <c r="C778">
        <v>5</v>
      </c>
      <c r="D778">
        <v>2</v>
      </c>
      <c r="E778">
        <v>1028</v>
      </c>
      <c r="F778" t="b">
        <v>1</v>
      </c>
      <c r="G778">
        <v>70.635999999999996</v>
      </c>
      <c r="H778">
        <v>27</v>
      </c>
      <c r="I778">
        <v>1</v>
      </c>
      <c r="J778">
        <v>0.12</v>
      </c>
      <c r="K778" t="s">
        <v>2349</v>
      </c>
      <c r="L778">
        <v>0</v>
      </c>
      <c r="N778" t="s">
        <v>2350</v>
      </c>
      <c r="O778" t="s">
        <v>2351</v>
      </c>
      <c r="P778" t="s">
        <v>20</v>
      </c>
      <c r="Q778">
        <f t="shared" si="36"/>
        <v>163.58600039966404</v>
      </c>
      <c r="R778">
        <f t="shared" si="37"/>
        <v>1.415708703777111E-2</v>
      </c>
      <c r="S778">
        <f t="shared" si="38"/>
        <v>0.38224135001981996</v>
      </c>
    </row>
    <row r="779" spans="1:19" hidden="1" x14ac:dyDescent="0.2">
      <c r="A779">
        <v>42</v>
      </c>
      <c r="B779" t="s">
        <v>25</v>
      </c>
      <c r="C779">
        <v>10</v>
      </c>
      <c r="D779">
        <v>2</v>
      </c>
      <c r="E779">
        <v>1028</v>
      </c>
      <c r="F779" t="b">
        <v>1</v>
      </c>
      <c r="G779">
        <v>58.223999999999997</v>
      </c>
      <c r="H779">
        <v>27</v>
      </c>
      <c r="I779">
        <v>6</v>
      </c>
      <c r="J779">
        <v>0.54</v>
      </c>
      <c r="K779" t="s">
        <v>576</v>
      </c>
      <c r="L779">
        <v>0</v>
      </c>
      <c r="N779" t="s">
        <v>2358</v>
      </c>
      <c r="O779" t="s">
        <v>2359</v>
      </c>
      <c r="P779" t="s">
        <v>20</v>
      </c>
      <c r="Q779">
        <f t="shared" si="36"/>
        <v>120.76399996876717</v>
      </c>
      <c r="R779">
        <f t="shared" si="37"/>
        <v>0.10305028854080792</v>
      </c>
      <c r="S779">
        <f t="shared" si="38"/>
        <v>0.46372629843363566</v>
      </c>
    </row>
    <row r="780" spans="1:19" hidden="1" x14ac:dyDescent="0.2">
      <c r="A780">
        <v>45</v>
      </c>
      <c r="B780" t="s">
        <v>25</v>
      </c>
      <c r="C780">
        <v>15</v>
      </c>
      <c r="D780">
        <v>2</v>
      </c>
      <c r="E780">
        <v>1028</v>
      </c>
      <c r="F780" t="b">
        <v>1</v>
      </c>
      <c r="G780">
        <v>56.712000000000003</v>
      </c>
      <c r="H780">
        <v>30</v>
      </c>
      <c r="I780">
        <v>1</v>
      </c>
      <c r="J780">
        <v>0.42</v>
      </c>
      <c r="K780" t="s">
        <v>2366</v>
      </c>
      <c r="L780">
        <v>0</v>
      </c>
      <c r="N780" t="s">
        <v>2367</v>
      </c>
      <c r="O780" t="s">
        <v>2368</v>
      </c>
      <c r="P780" t="s">
        <v>20</v>
      </c>
      <c r="Q780">
        <f t="shared" si="36"/>
        <v>103.58200015034527</v>
      </c>
      <c r="R780">
        <f t="shared" si="37"/>
        <v>1.7632952461560162E-2</v>
      </c>
      <c r="S780">
        <f t="shared" si="38"/>
        <v>0.52898857384680487</v>
      </c>
    </row>
    <row r="781" spans="1:19" hidden="1" x14ac:dyDescent="0.2">
      <c r="A781">
        <v>48</v>
      </c>
      <c r="B781" t="s">
        <v>25</v>
      </c>
      <c r="C781">
        <v>20</v>
      </c>
      <c r="D781">
        <v>2</v>
      </c>
      <c r="E781">
        <v>1028</v>
      </c>
      <c r="F781" t="b">
        <v>1</v>
      </c>
      <c r="G781">
        <v>43.707999999999998</v>
      </c>
      <c r="H781">
        <v>27</v>
      </c>
      <c r="I781">
        <v>2</v>
      </c>
      <c r="J781">
        <v>1.38</v>
      </c>
      <c r="K781" t="s">
        <v>2375</v>
      </c>
      <c r="L781">
        <v>0</v>
      </c>
      <c r="N781" t="s">
        <v>2376</v>
      </c>
      <c r="O781" t="s">
        <v>2377</v>
      </c>
      <c r="P781" t="s">
        <v>20</v>
      </c>
      <c r="Q781">
        <f t="shared" si="36"/>
        <v>84.523999644443393</v>
      </c>
      <c r="R781">
        <f t="shared" si="37"/>
        <v>4.5758213599341083E-2</v>
      </c>
      <c r="S781">
        <f t="shared" si="38"/>
        <v>0.61773588359110465</v>
      </c>
    </row>
    <row r="782" spans="1:19" hidden="1" x14ac:dyDescent="0.2">
      <c r="A782">
        <v>51</v>
      </c>
      <c r="B782" t="s">
        <v>25</v>
      </c>
      <c r="C782">
        <v>50</v>
      </c>
      <c r="D782">
        <v>2</v>
      </c>
      <c r="E782">
        <v>1028</v>
      </c>
      <c r="F782" t="b">
        <v>1</v>
      </c>
      <c r="G782">
        <v>46.06</v>
      </c>
      <c r="H782">
        <v>29</v>
      </c>
      <c r="I782">
        <v>2</v>
      </c>
      <c r="J782">
        <v>0.36</v>
      </c>
      <c r="K782" t="s">
        <v>2384</v>
      </c>
      <c r="L782">
        <v>0</v>
      </c>
      <c r="N782" t="s">
        <v>2385</v>
      </c>
      <c r="O782" t="s">
        <v>2386</v>
      </c>
      <c r="P782" t="s">
        <v>20</v>
      </c>
      <c r="Q782">
        <f t="shared" si="36"/>
        <v>143.99999971501529</v>
      </c>
      <c r="R782">
        <f t="shared" si="37"/>
        <v>4.3421623968736431E-2</v>
      </c>
      <c r="S782">
        <f t="shared" si="38"/>
        <v>0.6296135475466782</v>
      </c>
    </row>
    <row r="783" spans="1:19" hidden="1" x14ac:dyDescent="0.2">
      <c r="A783">
        <v>54</v>
      </c>
      <c r="B783" t="s">
        <v>25</v>
      </c>
      <c r="C783">
        <v>70</v>
      </c>
      <c r="D783">
        <v>2</v>
      </c>
      <c r="E783">
        <v>1028</v>
      </c>
      <c r="F783" t="b">
        <v>1</v>
      </c>
      <c r="G783">
        <v>41.432000000000002</v>
      </c>
      <c r="H783">
        <v>32</v>
      </c>
      <c r="I783">
        <v>9</v>
      </c>
      <c r="J783">
        <v>0.9</v>
      </c>
      <c r="K783" t="s">
        <v>2393</v>
      </c>
      <c r="L783">
        <v>0</v>
      </c>
      <c r="N783" t="s">
        <v>2394</v>
      </c>
      <c r="O783" t="s">
        <v>2395</v>
      </c>
      <c r="P783" t="s">
        <v>20</v>
      </c>
      <c r="Q783">
        <f t="shared" si="36"/>
        <v>108.25999982189387</v>
      </c>
      <c r="R783">
        <f t="shared" si="37"/>
        <v>0.21722340220119712</v>
      </c>
      <c r="S783">
        <f t="shared" si="38"/>
        <v>0.77234987449314541</v>
      </c>
    </row>
    <row r="784" spans="1:19" x14ac:dyDescent="0.2">
      <c r="A784">
        <v>28</v>
      </c>
      <c r="B784" t="s">
        <v>16</v>
      </c>
      <c r="C784">
        <v>-1</v>
      </c>
      <c r="D784">
        <v>2</v>
      </c>
      <c r="E784">
        <v>1028</v>
      </c>
      <c r="F784" t="b">
        <v>1</v>
      </c>
      <c r="G784">
        <v>85.2</v>
      </c>
      <c r="H784">
        <v>31</v>
      </c>
      <c r="I784">
        <v>12</v>
      </c>
      <c r="J784">
        <v>10.56</v>
      </c>
      <c r="K784" t="s">
        <v>2316</v>
      </c>
      <c r="L784">
        <v>0</v>
      </c>
      <c r="N784" t="s">
        <v>2317</v>
      </c>
      <c r="O784" t="s">
        <v>2318</v>
      </c>
      <c r="P784" t="s">
        <v>20</v>
      </c>
      <c r="Q784">
        <f t="shared" si="36"/>
        <v>168.54099954944104</v>
      </c>
      <c r="R784">
        <f t="shared" si="37"/>
        <v>0.14084507042253522</v>
      </c>
      <c r="S784">
        <f t="shared" si="38"/>
        <v>0.36384976525821594</v>
      </c>
    </row>
    <row r="785" spans="1:19" x14ac:dyDescent="0.2">
      <c r="A785">
        <v>31</v>
      </c>
      <c r="B785" t="s">
        <v>16</v>
      </c>
      <c r="C785">
        <v>0</v>
      </c>
      <c r="D785">
        <v>2</v>
      </c>
      <c r="E785">
        <v>1028</v>
      </c>
      <c r="F785" t="b">
        <v>1</v>
      </c>
      <c r="G785">
        <v>75.528000000000006</v>
      </c>
      <c r="H785">
        <v>31</v>
      </c>
      <c r="I785">
        <v>0</v>
      </c>
      <c r="J785">
        <v>0</v>
      </c>
      <c r="K785" t="s">
        <v>2325</v>
      </c>
      <c r="L785">
        <v>0</v>
      </c>
      <c r="N785" t="s">
        <v>2326</v>
      </c>
      <c r="O785" t="s">
        <v>2327</v>
      </c>
      <c r="P785" t="s">
        <v>20</v>
      </c>
      <c r="Q785">
        <f t="shared" si="36"/>
        <v>181.49600056931376</v>
      </c>
      <c r="R785">
        <f t="shared" si="37"/>
        <v>0</v>
      </c>
      <c r="S785">
        <f t="shared" si="38"/>
        <v>0.41044380891854676</v>
      </c>
    </row>
    <row r="786" spans="1:19" x14ac:dyDescent="0.2">
      <c r="A786">
        <v>34</v>
      </c>
      <c r="B786" t="s">
        <v>16</v>
      </c>
      <c r="C786">
        <v>2</v>
      </c>
      <c r="D786">
        <v>2</v>
      </c>
      <c r="E786">
        <v>1028</v>
      </c>
      <c r="F786" t="b">
        <v>1</v>
      </c>
      <c r="G786">
        <v>64.444000000000003</v>
      </c>
      <c r="H786">
        <v>28</v>
      </c>
      <c r="I786">
        <v>4</v>
      </c>
      <c r="J786">
        <v>0.96</v>
      </c>
      <c r="K786" t="s">
        <v>2334</v>
      </c>
      <c r="L786">
        <v>0</v>
      </c>
      <c r="N786" t="s">
        <v>2335</v>
      </c>
      <c r="O786" t="s">
        <v>2336</v>
      </c>
      <c r="P786" t="s">
        <v>20</v>
      </c>
      <c r="Q786">
        <f t="shared" si="36"/>
        <v>150.21300036460161</v>
      </c>
      <c r="R786">
        <f t="shared" si="37"/>
        <v>6.20693935820247E-2</v>
      </c>
      <c r="S786">
        <f t="shared" si="38"/>
        <v>0.43448575507417292</v>
      </c>
    </row>
    <row r="787" spans="1:19" x14ac:dyDescent="0.2">
      <c r="A787">
        <v>37</v>
      </c>
      <c r="B787" t="s">
        <v>16</v>
      </c>
      <c r="C787">
        <v>5</v>
      </c>
      <c r="D787">
        <v>2</v>
      </c>
      <c r="E787">
        <v>1028</v>
      </c>
      <c r="F787" t="b">
        <v>1</v>
      </c>
      <c r="G787">
        <v>91.744</v>
      </c>
      <c r="H787">
        <v>28</v>
      </c>
      <c r="I787">
        <v>3</v>
      </c>
      <c r="J787">
        <v>0.3</v>
      </c>
      <c r="K787" t="s">
        <v>2343</v>
      </c>
      <c r="L787">
        <v>0</v>
      </c>
      <c r="N787" t="s">
        <v>2344</v>
      </c>
      <c r="O787" t="s">
        <v>2345</v>
      </c>
      <c r="P787" t="s">
        <v>20</v>
      </c>
      <c r="Q787">
        <f t="shared" si="36"/>
        <v>228.38299982249737</v>
      </c>
      <c r="R787">
        <f t="shared" si="37"/>
        <v>3.2699686083013602E-2</v>
      </c>
      <c r="S787">
        <f t="shared" si="38"/>
        <v>0.30519707010812697</v>
      </c>
    </row>
    <row r="788" spans="1:19" hidden="1" x14ac:dyDescent="0.2">
      <c r="A788">
        <v>40</v>
      </c>
      <c r="B788" t="s">
        <v>16</v>
      </c>
      <c r="C788">
        <v>10</v>
      </c>
      <c r="D788">
        <v>2</v>
      </c>
      <c r="E788">
        <v>1028</v>
      </c>
      <c r="F788" t="b">
        <v>1</v>
      </c>
      <c r="G788">
        <v>77.239999999999995</v>
      </c>
      <c r="H788">
        <v>28</v>
      </c>
      <c r="I788">
        <v>2</v>
      </c>
      <c r="J788">
        <v>0.3</v>
      </c>
      <c r="K788" t="s">
        <v>2352</v>
      </c>
      <c r="L788">
        <v>0</v>
      </c>
      <c r="N788" t="s">
        <v>2353</v>
      </c>
      <c r="O788" t="s">
        <v>2354</v>
      </c>
      <c r="P788" t="s">
        <v>20</v>
      </c>
      <c r="Q788">
        <f t="shared" si="36"/>
        <v>180.85099991876632</v>
      </c>
      <c r="R788">
        <f t="shared" si="37"/>
        <v>2.5893319523562924E-2</v>
      </c>
      <c r="S788">
        <f t="shared" si="38"/>
        <v>0.3625064733298809</v>
      </c>
    </row>
    <row r="789" spans="1:19" hidden="1" x14ac:dyDescent="0.2">
      <c r="A789">
        <v>43</v>
      </c>
      <c r="B789" t="s">
        <v>16</v>
      </c>
      <c r="C789">
        <v>15</v>
      </c>
      <c r="D789">
        <v>2</v>
      </c>
      <c r="E789">
        <v>1028</v>
      </c>
      <c r="F789" t="b">
        <v>1</v>
      </c>
      <c r="G789">
        <v>91.656000000000006</v>
      </c>
      <c r="H789">
        <v>28</v>
      </c>
      <c r="I789">
        <v>14</v>
      </c>
      <c r="J789">
        <v>2.2200000000000002</v>
      </c>
      <c r="K789" t="s">
        <v>2360</v>
      </c>
      <c r="L789">
        <v>0</v>
      </c>
      <c r="N789" t="s">
        <v>2361</v>
      </c>
      <c r="O789" t="s">
        <v>2362</v>
      </c>
      <c r="P789" t="s">
        <v>20</v>
      </c>
      <c r="Q789">
        <f t="shared" si="36"/>
        <v>182.99599997699261</v>
      </c>
      <c r="R789">
        <f t="shared" si="37"/>
        <v>0.15274504669634284</v>
      </c>
      <c r="S789">
        <f t="shared" si="38"/>
        <v>0.30549009339268568</v>
      </c>
    </row>
    <row r="790" spans="1:19" hidden="1" x14ac:dyDescent="0.2">
      <c r="A790">
        <v>46</v>
      </c>
      <c r="B790" t="s">
        <v>16</v>
      </c>
      <c r="C790">
        <v>20</v>
      </c>
      <c r="D790">
        <v>2</v>
      </c>
      <c r="E790">
        <v>1028</v>
      </c>
      <c r="F790" t="b">
        <v>1</v>
      </c>
      <c r="G790">
        <v>67.763999999999996</v>
      </c>
      <c r="H790">
        <v>30</v>
      </c>
      <c r="I790">
        <v>8</v>
      </c>
      <c r="J790">
        <v>2.88</v>
      </c>
      <c r="K790" t="s">
        <v>2369</v>
      </c>
      <c r="L790">
        <v>0</v>
      </c>
      <c r="N790" t="s">
        <v>2370</v>
      </c>
      <c r="O790" t="s">
        <v>2371</v>
      </c>
      <c r="P790" t="s">
        <v>20</v>
      </c>
      <c r="Q790">
        <f t="shared" si="36"/>
        <v>199.93499983102083</v>
      </c>
      <c r="R790">
        <f t="shared" si="37"/>
        <v>0.11805678531373591</v>
      </c>
      <c r="S790">
        <f t="shared" si="38"/>
        <v>0.4427129449265097</v>
      </c>
    </row>
    <row r="791" spans="1:19" hidden="1" x14ac:dyDescent="0.2">
      <c r="A791">
        <v>49</v>
      </c>
      <c r="B791" t="s">
        <v>16</v>
      </c>
      <c r="C791">
        <v>50</v>
      </c>
      <c r="D791">
        <v>2</v>
      </c>
      <c r="E791">
        <v>1028</v>
      </c>
      <c r="F791" t="b">
        <v>1</v>
      </c>
      <c r="G791">
        <v>94.563999999999993</v>
      </c>
      <c r="H791">
        <v>29</v>
      </c>
      <c r="I791">
        <v>9</v>
      </c>
      <c r="J791">
        <v>4.62</v>
      </c>
      <c r="K791" t="s">
        <v>2378</v>
      </c>
      <c r="L791">
        <v>0</v>
      </c>
      <c r="N791" t="s">
        <v>2379</v>
      </c>
      <c r="O791" t="s">
        <v>2380</v>
      </c>
      <c r="P791" t="s">
        <v>20</v>
      </c>
      <c r="Q791">
        <f t="shared" si="36"/>
        <v>198.5040002502501</v>
      </c>
      <c r="R791">
        <f t="shared" si="37"/>
        <v>9.5173639016962061E-2</v>
      </c>
      <c r="S791">
        <f t="shared" si="38"/>
        <v>0.30667061461021111</v>
      </c>
    </row>
    <row r="792" spans="1:19" hidden="1" x14ac:dyDescent="0.2">
      <c r="A792">
        <v>52</v>
      </c>
      <c r="B792" t="s">
        <v>16</v>
      </c>
      <c r="C792">
        <v>70</v>
      </c>
      <c r="D792">
        <v>2</v>
      </c>
      <c r="E792">
        <v>1028</v>
      </c>
      <c r="F792" t="b">
        <v>1</v>
      </c>
      <c r="G792">
        <v>67.355999999999995</v>
      </c>
      <c r="H792">
        <v>30</v>
      </c>
      <c r="I792">
        <v>8</v>
      </c>
      <c r="J792">
        <v>2.16</v>
      </c>
      <c r="K792" t="s">
        <v>2387</v>
      </c>
      <c r="L792">
        <v>0</v>
      </c>
      <c r="N792" t="s">
        <v>2388</v>
      </c>
      <c r="O792" t="s">
        <v>2389</v>
      </c>
      <c r="P792" t="s">
        <v>20</v>
      </c>
      <c r="Q792">
        <f t="shared" si="36"/>
        <v>161.45299987401813</v>
      </c>
      <c r="R792">
        <f t="shared" si="37"/>
        <v>0.11877189856879863</v>
      </c>
      <c r="S792">
        <f t="shared" si="38"/>
        <v>0.44539461963299487</v>
      </c>
    </row>
    <row r="793" spans="1:19" x14ac:dyDescent="0.2">
      <c r="A793">
        <v>56</v>
      </c>
      <c r="B793" t="s">
        <v>21</v>
      </c>
      <c r="C793">
        <v>-1</v>
      </c>
      <c r="D793">
        <v>3</v>
      </c>
      <c r="E793">
        <v>1029</v>
      </c>
      <c r="F793" t="b">
        <v>1</v>
      </c>
      <c r="G793">
        <v>46.636000000000003</v>
      </c>
      <c r="H793">
        <v>26</v>
      </c>
      <c r="I793">
        <v>5</v>
      </c>
      <c r="J793">
        <v>4.8600000000000003</v>
      </c>
      <c r="K793" t="s">
        <v>2399</v>
      </c>
      <c r="L793">
        <v>0</v>
      </c>
      <c r="N793" t="s">
        <v>2400</v>
      </c>
      <c r="O793" t="s">
        <v>2401</v>
      </c>
      <c r="P793" t="s">
        <v>20</v>
      </c>
      <c r="Q793">
        <f t="shared" si="36"/>
        <v>128.38799993041903</v>
      </c>
      <c r="R793">
        <f t="shared" si="37"/>
        <v>0.10721331160476884</v>
      </c>
      <c r="S793">
        <f t="shared" si="38"/>
        <v>0.557509220344798</v>
      </c>
    </row>
    <row r="794" spans="1:19" x14ac:dyDescent="0.2">
      <c r="A794">
        <v>59</v>
      </c>
      <c r="B794" t="s">
        <v>21</v>
      </c>
      <c r="C794">
        <v>0</v>
      </c>
      <c r="D794">
        <v>3</v>
      </c>
      <c r="E794">
        <v>1029</v>
      </c>
      <c r="F794" t="b">
        <v>1</v>
      </c>
      <c r="G794">
        <v>59.968000000000004</v>
      </c>
      <c r="H794">
        <v>23</v>
      </c>
      <c r="I794">
        <v>0</v>
      </c>
      <c r="J794">
        <v>0</v>
      </c>
      <c r="K794" t="s">
        <v>2408</v>
      </c>
      <c r="L794">
        <v>0</v>
      </c>
      <c r="N794" t="s">
        <v>2409</v>
      </c>
      <c r="O794" t="s">
        <v>2410</v>
      </c>
      <c r="P794" t="s">
        <v>20</v>
      </c>
      <c r="Q794">
        <f t="shared" si="36"/>
        <v>163.49499996285886</v>
      </c>
      <c r="R794">
        <f t="shared" si="37"/>
        <v>0</v>
      </c>
      <c r="S794">
        <f t="shared" si="38"/>
        <v>0.38353788687299889</v>
      </c>
    </row>
    <row r="795" spans="1:19" x14ac:dyDescent="0.2">
      <c r="A795">
        <v>62</v>
      </c>
      <c r="B795" t="s">
        <v>21</v>
      </c>
      <c r="C795">
        <v>2</v>
      </c>
      <c r="D795">
        <v>3</v>
      </c>
      <c r="E795">
        <v>1029</v>
      </c>
      <c r="F795" t="b">
        <v>1</v>
      </c>
      <c r="G795">
        <v>47.183999999999997</v>
      </c>
      <c r="H795">
        <v>24</v>
      </c>
      <c r="I795">
        <v>2</v>
      </c>
      <c r="J795">
        <v>1.74</v>
      </c>
      <c r="K795" t="s">
        <v>2417</v>
      </c>
      <c r="L795">
        <v>0</v>
      </c>
      <c r="N795" t="s">
        <v>2418</v>
      </c>
      <c r="O795" t="s">
        <v>2419</v>
      </c>
      <c r="P795" t="s">
        <v>20</v>
      </c>
      <c r="Q795">
        <f t="shared" si="36"/>
        <v>139.69099950045347</v>
      </c>
      <c r="R795">
        <f t="shared" si="37"/>
        <v>4.2387249915225501E-2</v>
      </c>
      <c r="S795">
        <f t="shared" si="38"/>
        <v>0.50864699898270604</v>
      </c>
    </row>
    <row r="796" spans="1:19" x14ac:dyDescent="0.2">
      <c r="A796">
        <v>65</v>
      </c>
      <c r="B796" t="s">
        <v>21</v>
      </c>
      <c r="C796">
        <v>5</v>
      </c>
      <c r="D796">
        <v>3</v>
      </c>
      <c r="E796">
        <v>1029</v>
      </c>
      <c r="F796" t="b">
        <v>1</v>
      </c>
      <c r="G796">
        <v>37.624000000000002</v>
      </c>
      <c r="H796">
        <v>24</v>
      </c>
      <c r="I796">
        <v>1</v>
      </c>
      <c r="J796">
        <v>0.24</v>
      </c>
      <c r="K796" t="s">
        <v>2426</v>
      </c>
      <c r="L796">
        <v>0</v>
      </c>
      <c r="N796" t="s">
        <v>2427</v>
      </c>
      <c r="O796" t="s">
        <v>2428</v>
      </c>
      <c r="P796" t="s">
        <v>20</v>
      </c>
      <c r="Q796">
        <f t="shared" si="36"/>
        <v>115.7490000128746</v>
      </c>
      <c r="R796">
        <f t="shared" si="37"/>
        <v>2.6578779502445245E-2</v>
      </c>
      <c r="S796">
        <f t="shared" si="38"/>
        <v>0.63789070805868586</v>
      </c>
    </row>
    <row r="797" spans="1:19" hidden="1" x14ac:dyDescent="0.2">
      <c r="A797">
        <v>68</v>
      </c>
      <c r="B797" t="s">
        <v>21</v>
      </c>
      <c r="C797">
        <v>10</v>
      </c>
      <c r="D797">
        <v>3</v>
      </c>
      <c r="E797">
        <v>1029</v>
      </c>
      <c r="F797" t="b">
        <v>1</v>
      </c>
      <c r="G797">
        <v>54.515999999999998</v>
      </c>
      <c r="H797">
        <v>22</v>
      </c>
      <c r="I797">
        <v>5</v>
      </c>
      <c r="J797">
        <v>3.24</v>
      </c>
      <c r="K797" t="s">
        <v>2435</v>
      </c>
      <c r="L797">
        <v>0</v>
      </c>
      <c r="N797" t="s">
        <v>2436</v>
      </c>
      <c r="O797" t="s">
        <v>2437</v>
      </c>
      <c r="P797" t="s">
        <v>20</v>
      </c>
      <c r="Q797">
        <f t="shared" si="36"/>
        <v>151.66199987288564</v>
      </c>
      <c r="R797">
        <f t="shared" si="37"/>
        <v>9.1716193411108662E-2</v>
      </c>
      <c r="S797">
        <f t="shared" si="38"/>
        <v>0.40355125100887812</v>
      </c>
    </row>
    <row r="798" spans="1:19" hidden="1" x14ac:dyDescent="0.2">
      <c r="A798">
        <v>71</v>
      </c>
      <c r="B798" t="s">
        <v>21</v>
      </c>
      <c r="C798">
        <v>15</v>
      </c>
      <c r="D798">
        <v>3</v>
      </c>
      <c r="E798">
        <v>1029</v>
      </c>
      <c r="F798" t="b">
        <v>1</v>
      </c>
      <c r="G798">
        <v>69.459999999999994</v>
      </c>
      <c r="H798">
        <v>24</v>
      </c>
      <c r="I798">
        <v>4</v>
      </c>
      <c r="J798">
        <v>1.8</v>
      </c>
      <c r="K798" t="s">
        <v>2444</v>
      </c>
      <c r="L798">
        <v>0</v>
      </c>
      <c r="N798" t="s">
        <v>2445</v>
      </c>
      <c r="O798" t="s">
        <v>2446</v>
      </c>
      <c r="P798" t="s">
        <v>20</v>
      </c>
      <c r="Q798">
        <f t="shared" si="36"/>
        <v>155.06100011989474</v>
      </c>
      <c r="R798">
        <f t="shared" si="37"/>
        <v>5.758710048949036E-2</v>
      </c>
      <c r="S798">
        <f t="shared" si="38"/>
        <v>0.34552260293694215</v>
      </c>
    </row>
    <row r="799" spans="1:19" hidden="1" x14ac:dyDescent="0.2">
      <c r="A799">
        <v>74</v>
      </c>
      <c r="B799" t="s">
        <v>21</v>
      </c>
      <c r="C799">
        <v>20</v>
      </c>
      <c r="D799">
        <v>3</v>
      </c>
      <c r="E799">
        <v>1029</v>
      </c>
      <c r="F799" t="b">
        <v>1</v>
      </c>
      <c r="G799">
        <v>66.424000000000007</v>
      </c>
      <c r="H799">
        <v>27</v>
      </c>
      <c r="I799">
        <v>7</v>
      </c>
      <c r="J799">
        <v>3.78</v>
      </c>
      <c r="K799" t="s">
        <v>2453</v>
      </c>
      <c r="L799">
        <v>0</v>
      </c>
      <c r="N799" t="s">
        <v>2454</v>
      </c>
      <c r="O799" t="s">
        <v>2455</v>
      </c>
      <c r="P799" t="s">
        <v>20</v>
      </c>
      <c r="Q799">
        <f t="shared" si="36"/>
        <v>164.83999995980412</v>
      </c>
      <c r="R799">
        <f t="shared" si="37"/>
        <v>0.1053835962904974</v>
      </c>
      <c r="S799">
        <f t="shared" si="38"/>
        <v>0.40647958569191855</v>
      </c>
    </row>
    <row r="800" spans="1:19" hidden="1" x14ac:dyDescent="0.2">
      <c r="A800">
        <v>77</v>
      </c>
      <c r="B800" t="s">
        <v>21</v>
      </c>
      <c r="C800">
        <v>50</v>
      </c>
      <c r="D800">
        <v>3</v>
      </c>
      <c r="E800">
        <v>1029</v>
      </c>
      <c r="F800" t="b">
        <v>1</v>
      </c>
      <c r="G800">
        <v>59.648000000000003</v>
      </c>
      <c r="H800">
        <v>28</v>
      </c>
      <c r="I800">
        <v>6</v>
      </c>
      <c r="J800">
        <v>1.86</v>
      </c>
      <c r="K800" t="s">
        <v>2462</v>
      </c>
      <c r="L800">
        <v>0</v>
      </c>
      <c r="N800" t="s">
        <v>2463</v>
      </c>
      <c r="O800" t="s">
        <v>2464</v>
      </c>
      <c r="P800" t="s">
        <v>20</v>
      </c>
      <c r="Q800">
        <f t="shared" si="36"/>
        <v>171.17199953645468</v>
      </c>
      <c r="R800">
        <f t="shared" si="37"/>
        <v>0.1005901287553648</v>
      </c>
      <c r="S800">
        <f t="shared" si="38"/>
        <v>0.46942060085836906</v>
      </c>
    </row>
    <row r="801" spans="1:19" hidden="1" x14ac:dyDescent="0.2">
      <c r="A801">
        <v>80</v>
      </c>
      <c r="B801" t="s">
        <v>21</v>
      </c>
      <c r="C801">
        <v>70</v>
      </c>
      <c r="D801">
        <v>3</v>
      </c>
      <c r="E801">
        <v>1029</v>
      </c>
      <c r="F801" t="b">
        <v>1</v>
      </c>
      <c r="G801">
        <v>51.536000000000001</v>
      </c>
      <c r="H801">
        <v>28</v>
      </c>
      <c r="I801">
        <v>6</v>
      </c>
      <c r="J801">
        <v>0.9</v>
      </c>
      <c r="K801" t="s">
        <v>2471</v>
      </c>
      <c r="L801">
        <v>0</v>
      </c>
      <c r="N801" t="s">
        <v>2472</v>
      </c>
      <c r="O801" t="s">
        <v>2473</v>
      </c>
      <c r="P801" t="s">
        <v>20</v>
      </c>
      <c r="Q801">
        <f t="shared" si="36"/>
        <v>111.64699990767986</v>
      </c>
      <c r="R801">
        <f t="shared" si="37"/>
        <v>0.11642347097174791</v>
      </c>
      <c r="S801">
        <f t="shared" si="38"/>
        <v>0.54330953120149017</v>
      </c>
    </row>
    <row r="802" spans="1:19" x14ac:dyDescent="0.2">
      <c r="A802">
        <v>57</v>
      </c>
      <c r="B802" t="s">
        <v>25</v>
      </c>
      <c r="C802">
        <v>-1</v>
      </c>
      <c r="D802">
        <v>3</v>
      </c>
      <c r="E802">
        <v>1029</v>
      </c>
      <c r="F802" t="b">
        <v>1</v>
      </c>
      <c r="G802">
        <v>31.46</v>
      </c>
      <c r="H802">
        <v>29</v>
      </c>
      <c r="I802">
        <v>5</v>
      </c>
      <c r="J802">
        <v>7.32</v>
      </c>
      <c r="K802" t="s">
        <v>2402</v>
      </c>
      <c r="L802">
        <v>0</v>
      </c>
      <c r="N802" t="s">
        <v>2403</v>
      </c>
      <c r="O802" t="s">
        <v>2404</v>
      </c>
      <c r="P802" t="s">
        <v>20</v>
      </c>
      <c r="Q802">
        <f t="shared" si="36"/>
        <v>68.693999759852886</v>
      </c>
      <c r="R802">
        <f t="shared" si="37"/>
        <v>0.15893197711379528</v>
      </c>
      <c r="S802">
        <f t="shared" si="38"/>
        <v>0.92180546726001267</v>
      </c>
    </row>
    <row r="803" spans="1:19" x14ac:dyDescent="0.2">
      <c r="A803">
        <v>60</v>
      </c>
      <c r="B803" t="s">
        <v>25</v>
      </c>
      <c r="C803">
        <v>0</v>
      </c>
      <c r="D803">
        <v>3</v>
      </c>
      <c r="E803">
        <v>1029</v>
      </c>
      <c r="F803" t="b">
        <v>1</v>
      </c>
      <c r="G803">
        <v>57.223999999999997</v>
      </c>
      <c r="H803">
        <v>27</v>
      </c>
      <c r="I803">
        <v>1</v>
      </c>
      <c r="J803">
        <v>0.06</v>
      </c>
      <c r="K803" t="s">
        <v>2411</v>
      </c>
      <c r="L803">
        <v>0</v>
      </c>
      <c r="N803" t="s">
        <v>2412</v>
      </c>
      <c r="O803" t="s">
        <v>2413</v>
      </c>
      <c r="P803" t="s">
        <v>20</v>
      </c>
      <c r="Q803">
        <f t="shared" si="36"/>
        <v>148.8700000802055</v>
      </c>
      <c r="R803">
        <f t="shared" si="37"/>
        <v>1.7475185236963512E-2</v>
      </c>
      <c r="S803">
        <f t="shared" si="38"/>
        <v>0.47183000139801484</v>
      </c>
    </row>
    <row r="804" spans="1:19" x14ac:dyDescent="0.2">
      <c r="A804">
        <v>63</v>
      </c>
      <c r="B804" t="s">
        <v>25</v>
      </c>
      <c r="C804">
        <v>2</v>
      </c>
      <c r="D804">
        <v>3</v>
      </c>
      <c r="E804">
        <v>1029</v>
      </c>
      <c r="F804" t="b">
        <v>1</v>
      </c>
      <c r="G804">
        <v>42.103999999999999</v>
      </c>
      <c r="H804">
        <v>27</v>
      </c>
      <c r="I804">
        <v>0</v>
      </c>
      <c r="J804">
        <v>0</v>
      </c>
      <c r="K804" t="s">
        <v>2420</v>
      </c>
      <c r="L804">
        <v>0</v>
      </c>
      <c r="N804" t="s">
        <v>2421</v>
      </c>
      <c r="O804" t="s">
        <v>2422</v>
      </c>
      <c r="P804" t="s">
        <v>20</v>
      </c>
      <c r="Q804">
        <f t="shared" si="36"/>
        <v>164.94900032412261</v>
      </c>
      <c r="R804">
        <f t="shared" si="37"/>
        <v>0</v>
      </c>
      <c r="S804">
        <f t="shared" si="38"/>
        <v>0.64126923807714231</v>
      </c>
    </row>
    <row r="805" spans="1:19" x14ac:dyDescent="0.2">
      <c r="A805">
        <v>66</v>
      </c>
      <c r="B805" t="s">
        <v>25</v>
      </c>
      <c r="C805">
        <v>5</v>
      </c>
      <c r="D805">
        <v>3</v>
      </c>
      <c r="E805">
        <v>1029</v>
      </c>
      <c r="F805" t="b">
        <v>1</v>
      </c>
      <c r="G805">
        <v>42.508000000000003</v>
      </c>
      <c r="H805">
        <v>28</v>
      </c>
      <c r="I805">
        <v>2</v>
      </c>
      <c r="J805">
        <v>0.18</v>
      </c>
      <c r="K805" t="s">
        <v>2429</v>
      </c>
      <c r="L805">
        <v>0</v>
      </c>
      <c r="N805" t="s">
        <v>2430</v>
      </c>
      <c r="O805" t="s">
        <v>2431</v>
      </c>
      <c r="P805" t="s">
        <v>20</v>
      </c>
      <c r="Q805">
        <f t="shared" si="36"/>
        <v>152.66600016038865</v>
      </c>
      <c r="R805">
        <f t="shared" si="37"/>
        <v>4.7049967065023054E-2</v>
      </c>
      <c r="S805">
        <f t="shared" si="38"/>
        <v>0.65869953891032273</v>
      </c>
    </row>
    <row r="806" spans="1:19" hidden="1" x14ac:dyDescent="0.2">
      <c r="A806">
        <v>69</v>
      </c>
      <c r="B806" t="s">
        <v>25</v>
      </c>
      <c r="C806">
        <v>10</v>
      </c>
      <c r="D806">
        <v>3</v>
      </c>
      <c r="E806">
        <v>1029</v>
      </c>
      <c r="F806" t="b">
        <v>1</v>
      </c>
      <c r="G806">
        <v>44.223999999999997</v>
      </c>
      <c r="H806">
        <v>26</v>
      </c>
      <c r="I806">
        <v>7</v>
      </c>
      <c r="J806">
        <v>0.54</v>
      </c>
      <c r="K806" t="s">
        <v>2438</v>
      </c>
      <c r="L806">
        <v>0</v>
      </c>
      <c r="N806" t="s">
        <v>2439</v>
      </c>
      <c r="O806" t="s">
        <v>2440</v>
      </c>
      <c r="P806" t="s">
        <v>20</v>
      </c>
      <c r="Q806">
        <f t="shared" si="36"/>
        <v>87.686999863944948</v>
      </c>
      <c r="R806">
        <f t="shared" si="37"/>
        <v>0.15828509406657021</v>
      </c>
      <c r="S806">
        <f t="shared" si="38"/>
        <v>0.58791606367583216</v>
      </c>
    </row>
    <row r="807" spans="1:19" hidden="1" x14ac:dyDescent="0.2">
      <c r="A807">
        <v>72</v>
      </c>
      <c r="B807" t="s">
        <v>25</v>
      </c>
      <c r="C807">
        <v>15</v>
      </c>
      <c r="D807">
        <v>3</v>
      </c>
      <c r="E807">
        <v>1029</v>
      </c>
      <c r="F807" t="b">
        <v>1</v>
      </c>
      <c r="G807">
        <v>49.387999999999998</v>
      </c>
      <c r="H807">
        <v>29</v>
      </c>
      <c r="I807">
        <v>4</v>
      </c>
      <c r="J807">
        <v>1.44</v>
      </c>
      <c r="K807" t="s">
        <v>2447</v>
      </c>
      <c r="L807">
        <v>0</v>
      </c>
      <c r="N807" t="s">
        <v>2448</v>
      </c>
      <c r="O807" t="s">
        <v>2449</v>
      </c>
      <c r="P807" t="s">
        <v>20</v>
      </c>
      <c r="Q807">
        <f t="shared" si="36"/>
        <v>111.50800008326769</v>
      </c>
      <c r="R807">
        <f t="shared" si="37"/>
        <v>8.0991333927269787E-2</v>
      </c>
      <c r="S807">
        <f t="shared" si="38"/>
        <v>0.5871871709727059</v>
      </c>
    </row>
    <row r="808" spans="1:19" hidden="1" x14ac:dyDescent="0.2">
      <c r="A808">
        <v>75</v>
      </c>
      <c r="B808" t="s">
        <v>25</v>
      </c>
      <c r="C808">
        <v>20</v>
      </c>
      <c r="D808">
        <v>3</v>
      </c>
      <c r="E808">
        <v>1029</v>
      </c>
      <c r="F808" t="b">
        <v>1</v>
      </c>
      <c r="G808">
        <v>50.148000000000003</v>
      </c>
      <c r="H808">
        <v>29</v>
      </c>
      <c r="I808">
        <v>1</v>
      </c>
      <c r="J808">
        <v>0.06</v>
      </c>
      <c r="K808" t="s">
        <v>2456</v>
      </c>
      <c r="L808">
        <v>0</v>
      </c>
      <c r="N808" t="s">
        <v>2457</v>
      </c>
      <c r="O808" t="s">
        <v>2458</v>
      </c>
      <c r="P808" t="s">
        <v>20</v>
      </c>
      <c r="Q808">
        <f t="shared" si="36"/>
        <v>102.43399981409311</v>
      </c>
      <c r="R808">
        <f t="shared" si="37"/>
        <v>1.9940974714844059E-2</v>
      </c>
      <c r="S808">
        <f t="shared" si="38"/>
        <v>0.57828826673047773</v>
      </c>
    </row>
    <row r="809" spans="1:19" hidden="1" x14ac:dyDescent="0.2">
      <c r="A809">
        <v>78</v>
      </c>
      <c r="B809" t="s">
        <v>25</v>
      </c>
      <c r="C809">
        <v>50</v>
      </c>
      <c r="D809">
        <v>3</v>
      </c>
      <c r="E809">
        <v>1029</v>
      </c>
      <c r="F809" t="b">
        <v>1</v>
      </c>
      <c r="G809">
        <v>34.084000000000003</v>
      </c>
      <c r="H809">
        <v>28</v>
      </c>
      <c r="I809">
        <v>5</v>
      </c>
      <c r="J809">
        <v>1.26</v>
      </c>
      <c r="K809" t="s">
        <v>2465</v>
      </c>
      <c r="L809">
        <v>0</v>
      </c>
      <c r="N809" t="s">
        <v>2466</v>
      </c>
      <c r="O809" t="s">
        <v>2467</v>
      </c>
      <c r="P809" t="s">
        <v>20</v>
      </c>
      <c r="Q809">
        <f t="shared" si="36"/>
        <v>74.647999601438642</v>
      </c>
      <c r="R809">
        <f t="shared" si="37"/>
        <v>0.1466963971364863</v>
      </c>
      <c r="S809">
        <f t="shared" si="38"/>
        <v>0.82149982396432331</v>
      </c>
    </row>
    <row r="810" spans="1:19" hidden="1" x14ac:dyDescent="0.2">
      <c r="A810">
        <v>81</v>
      </c>
      <c r="B810" t="s">
        <v>25</v>
      </c>
      <c r="C810">
        <v>70</v>
      </c>
      <c r="D810">
        <v>3</v>
      </c>
      <c r="E810">
        <v>1029</v>
      </c>
      <c r="F810" t="b">
        <v>1</v>
      </c>
      <c r="G810">
        <v>43.503999999999998</v>
      </c>
      <c r="H810">
        <v>30</v>
      </c>
      <c r="I810">
        <v>5</v>
      </c>
      <c r="J810">
        <v>0.6</v>
      </c>
      <c r="K810" t="s">
        <v>2474</v>
      </c>
      <c r="L810">
        <v>0</v>
      </c>
      <c r="N810" t="s">
        <v>2475</v>
      </c>
      <c r="O810" t="s">
        <v>2476</v>
      </c>
      <c r="P810" t="s">
        <v>20</v>
      </c>
      <c r="Q810">
        <f t="shared" si="36"/>
        <v>101.00799982901663</v>
      </c>
      <c r="R810">
        <f t="shared" si="37"/>
        <v>0.11493196027951454</v>
      </c>
      <c r="S810">
        <f t="shared" si="38"/>
        <v>0.68959176167708724</v>
      </c>
    </row>
    <row r="811" spans="1:19" x14ac:dyDescent="0.2">
      <c r="A811">
        <v>55</v>
      </c>
      <c r="B811" t="s">
        <v>16</v>
      </c>
      <c r="C811">
        <v>-1</v>
      </c>
      <c r="D811">
        <v>3</v>
      </c>
      <c r="E811">
        <v>1029</v>
      </c>
      <c r="F811" t="b">
        <v>1</v>
      </c>
      <c r="G811">
        <v>67.707999999999998</v>
      </c>
      <c r="H811">
        <v>25</v>
      </c>
      <c r="I811">
        <v>7</v>
      </c>
      <c r="J811">
        <v>9.18</v>
      </c>
      <c r="K811" t="s">
        <v>2396</v>
      </c>
      <c r="L811">
        <v>0</v>
      </c>
      <c r="N811" t="s">
        <v>2397</v>
      </c>
      <c r="O811" t="s">
        <v>2398</v>
      </c>
      <c r="P811" t="s">
        <v>20</v>
      </c>
      <c r="Q811">
        <f t="shared" si="36"/>
        <v>157.15599982067943</v>
      </c>
      <c r="R811">
        <f t="shared" si="37"/>
        <v>0.1033851243575353</v>
      </c>
      <c r="S811">
        <f t="shared" si="38"/>
        <v>0.36923258699119749</v>
      </c>
    </row>
    <row r="812" spans="1:19" x14ac:dyDescent="0.2">
      <c r="A812">
        <v>58</v>
      </c>
      <c r="B812" t="s">
        <v>16</v>
      </c>
      <c r="C812">
        <v>0</v>
      </c>
      <c r="D812">
        <v>3</v>
      </c>
      <c r="E812">
        <v>1029</v>
      </c>
      <c r="F812" t="b">
        <v>1</v>
      </c>
      <c r="G812">
        <v>67.756</v>
      </c>
      <c r="H812">
        <v>24</v>
      </c>
      <c r="I812">
        <v>3</v>
      </c>
      <c r="J812">
        <v>0.9</v>
      </c>
      <c r="K812" t="s">
        <v>2405</v>
      </c>
      <c r="L812">
        <v>0</v>
      </c>
      <c r="N812" t="s">
        <v>2406</v>
      </c>
      <c r="O812" t="s">
        <v>2407</v>
      </c>
      <c r="P812" t="s">
        <v>20</v>
      </c>
      <c r="Q812">
        <f t="shared" si="36"/>
        <v>189.14499976672232</v>
      </c>
      <c r="R812">
        <f t="shared" si="37"/>
        <v>4.4276521636460238E-2</v>
      </c>
      <c r="S812">
        <f t="shared" si="38"/>
        <v>0.3542121730916819</v>
      </c>
    </row>
    <row r="813" spans="1:19" x14ac:dyDescent="0.2">
      <c r="A813">
        <v>61</v>
      </c>
      <c r="B813" t="s">
        <v>16</v>
      </c>
      <c r="C813">
        <v>2</v>
      </c>
      <c r="D813">
        <v>3</v>
      </c>
      <c r="E813">
        <v>1029</v>
      </c>
      <c r="F813" t="b">
        <v>1</v>
      </c>
      <c r="G813">
        <v>66.12</v>
      </c>
      <c r="H813">
        <v>24</v>
      </c>
      <c r="I813">
        <v>3</v>
      </c>
      <c r="J813">
        <v>1.5</v>
      </c>
      <c r="K813" t="s">
        <v>2414</v>
      </c>
      <c r="L813">
        <v>0</v>
      </c>
      <c r="N813" t="s">
        <v>2415</v>
      </c>
      <c r="O813" t="s">
        <v>2416</v>
      </c>
      <c r="P813" t="s">
        <v>20</v>
      </c>
      <c r="Q813">
        <f t="shared" si="36"/>
        <v>138.41300024650991</v>
      </c>
      <c r="R813">
        <f t="shared" si="37"/>
        <v>4.5372050816696909E-2</v>
      </c>
      <c r="S813">
        <f t="shared" si="38"/>
        <v>0.36297640653357527</v>
      </c>
    </row>
    <row r="814" spans="1:19" x14ac:dyDescent="0.2">
      <c r="A814">
        <v>64</v>
      </c>
      <c r="B814" t="s">
        <v>16</v>
      </c>
      <c r="C814">
        <v>5</v>
      </c>
      <c r="D814">
        <v>3</v>
      </c>
      <c r="E814">
        <v>1029</v>
      </c>
      <c r="F814" t="b">
        <v>1</v>
      </c>
      <c r="G814">
        <v>86.391999999999996</v>
      </c>
      <c r="H814">
        <v>24</v>
      </c>
      <c r="I814">
        <v>5</v>
      </c>
      <c r="J814">
        <v>3.12</v>
      </c>
      <c r="K814" t="s">
        <v>2423</v>
      </c>
      <c r="L814">
        <v>0</v>
      </c>
      <c r="N814" t="s">
        <v>2424</v>
      </c>
      <c r="O814" t="s">
        <v>2425</v>
      </c>
      <c r="P814" t="s">
        <v>20</v>
      </c>
      <c r="Q814">
        <f t="shared" si="36"/>
        <v>192.12100014556199</v>
      </c>
      <c r="R814">
        <f t="shared" si="37"/>
        <v>5.7875729234188357E-2</v>
      </c>
      <c r="S814">
        <f t="shared" si="38"/>
        <v>0.27780350032410411</v>
      </c>
    </row>
    <row r="815" spans="1:19" hidden="1" x14ac:dyDescent="0.2">
      <c r="A815">
        <v>67</v>
      </c>
      <c r="B815" t="s">
        <v>16</v>
      </c>
      <c r="C815">
        <v>10</v>
      </c>
      <c r="D815">
        <v>3</v>
      </c>
      <c r="E815">
        <v>1029</v>
      </c>
      <c r="F815" t="b">
        <v>1</v>
      </c>
      <c r="G815">
        <v>58.192</v>
      </c>
      <c r="H815">
        <v>25</v>
      </c>
      <c r="I815">
        <v>11</v>
      </c>
      <c r="J815">
        <v>1.92</v>
      </c>
      <c r="K815" t="s">
        <v>2432</v>
      </c>
      <c r="L815">
        <v>0</v>
      </c>
      <c r="N815" t="s">
        <v>2433</v>
      </c>
      <c r="O815" t="s">
        <v>2434</v>
      </c>
      <c r="P815" t="s">
        <v>20</v>
      </c>
      <c r="Q815">
        <f t="shared" si="36"/>
        <v>164.05700028408319</v>
      </c>
      <c r="R815">
        <f t="shared" si="37"/>
        <v>0.18902941985152599</v>
      </c>
      <c r="S815">
        <f t="shared" si="38"/>
        <v>0.42961231784437726</v>
      </c>
    </row>
    <row r="816" spans="1:19" hidden="1" x14ac:dyDescent="0.2">
      <c r="A816">
        <v>70</v>
      </c>
      <c r="B816" t="s">
        <v>16</v>
      </c>
      <c r="C816">
        <v>15</v>
      </c>
      <c r="D816">
        <v>3</v>
      </c>
      <c r="E816">
        <v>1029</v>
      </c>
      <c r="F816" t="b">
        <v>1</v>
      </c>
      <c r="G816">
        <v>94.528000000000006</v>
      </c>
      <c r="H816">
        <v>24</v>
      </c>
      <c r="I816">
        <v>13</v>
      </c>
      <c r="J816">
        <v>2.82</v>
      </c>
      <c r="K816" t="s">
        <v>2441</v>
      </c>
      <c r="L816">
        <v>0</v>
      </c>
      <c r="N816" t="s">
        <v>2442</v>
      </c>
      <c r="O816" t="s">
        <v>2443</v>
      </c>
      <c r="P816" t="s">
        <v>20</v>
      </c>
      <c r="Q816">
        <f t="shared" si="36"/>
        <v>179.16999980807304</v>
      </c>
      <c r="R816">
        <f t="shared" si="37"/>
        <v>0.13752538930264047</v>
      </c>
      <c r="S816">
        <f t="shared" si="38"/>
        <v>0.25389302640487471</v>
      </c>
    </row>
    <row r="817" spans="1:19" hidden="1" x14ac:dyDescent="0.2">
      <c r="A817">
        <v>73</v>
      </c>
      <c r="B817" t="s">
        <v>16</v>
      </c>
      <c r="C817">
        <v>20</v>
      </c>
      <c r="D817">
        <v>3</v>
      </c>
      <c r="E817">
        <v>1029</v>
      </c>
      <c r="F817" t="b">
        <v>1</v>
      </c>
      <c r="G817">
        <v>60.707999999999998</v>
      </c>
      <c r="H817">
        <v>25</v>
      </c>
      <c r="I817">
        <v>7</v>
      </c>
      <c r="J817">
        <v>1.2</v>
      </c>
      <c r="K817" t="s">
        <v>2450</v>
      </c>
      <c r="L817">
        <v>0</v>
      </c>
      <c r="N817" t="s">
        <v>2451</v>
      </c>
      <c r="O817" t="s">
        <v>2452</v>
      </c>
      <c r="P817" t="s">
        <v>20</v>
      </c>
      <c r="Q817">
        <f t="shared" si="36"/>
        <v>137.61200001463294</v>
      </c>
      <c r="R817">
        <f t="shared" si="37"/>
        <v>0.11530605521512816</v>
      </c>
      <c r="S817">
        <f t="shared" si="38"/>
        <v>0.41180734005402914</v>
      </c>
    </row>
    <row r="818" spans="1:19" hidden="1" x14ac:dyDescent="0.2">
      <c r="A818">
        <v>76</v>
      </c>
      <c r="B818" t="s">
        <v>16</v>
      </c>
      <c r="C818">
        <v>50</v>
      </c>
      <c r="D818">
        <v>3</v>
      </c>
      <c r="E818">
        <v>1029</v>
      </c>
      <c r="F818" t="b">
        <v>1</v>
      </c>
      <c r="G818">
        <v>56.463999999999999</v>
      </c>
      <c r="H818">
        <v>25</v>
      </c>
      <c r="I818">
        <v>5</v>
      </c>
      <c r="J818">
        <v>0.72</v>
      </c>
      <c r="K818" t="s">
        <v>2459</v>
      </c>
      <c r="L818">
        <v>0</v>
      </c>
      <c r="N818" t="s">
        <v>2460</v>
      </c>
      <c r="O818" t="s">
        <v>2461</v>
      </c>
      <c r="P818" t="s">
        <v>20</v>
      </c>
      <c r="Q818">
        <f t="shared" si="36"/>
        <v>123.43899991828948</v>
      </c>
      <c r="R818">
        <f t="shared" si="37"/>
        <v>8.8551997733068863E-2</v>
      </c>
      <c r="S818">
        <f t="shared" si="38"/>
        <v>0.44275998866534433</v>
      </c>
    </row>
    <row r="819" spans="1:19" hidden="1" x14ac:dyDescent="0.2">
      <c r="A819">
        <v>79</v>
      </c>
      <c r="B819" t="s">
        <v>16</v>
      </c>
      <c r="C819">
        <v>70</v>
      </c>
      <c r="D819">
        <v>3</v>
      </c>
      <c r="E819">
        <v>1029</v>
      </c>
      <c r="F819" t="b">
        <v>1</v>
      </c>
      <c r="G819">
        <v>75.347999999999999</v>
      </c>
      <c r="H819">
        <v>22</v>
      </c>
      <c r="I819">
        <v>10</v>
      </c>
      <c r="J819">
        <v>1.68</v>
      </c>
      <c r="K819" t="s">
        <v>2468</v>
      </c>
      <c r="L819">
        <v>0</v>
      </c>
      <c r="N819" t="s">
        <v>2469</v>
      </c>
      <c r="O819" t="s">
        <v>2470</v>
      </c>
      <c r="P819" t="s">
        <v>20</v>
      </c>
      <c r="Q819">
        <f t="shared" si="36"/>
        <v>175.55500043090433</v>
      </c>
      <c r="R819">
        <f t="shared" si="37"/>
        <v>0.13271752402187184</v>
      </c>
      <c r="S819">
        <f t="shared" si="38"/>
        <v>0.29197855284811808</v>
      </c>
    </row>
    <row r="820" spans="1:19" x14ac:dyDescent="0.2">
      <c r="A820">
        <v>1</v>
      </c>
      <c r="B820" t="s">
        <v>2477</v>
      </c>
      <c r="C820">
        <v>-1</v>
      </c>
      <c r="D820">
        <v>1</v>
      </c>
      <c r="E820">
        <v>1007</v>
      </c>
      <c r="F820" t="b">
        <v>1</v>
      </c>
      <c r="G820">
        <v>45</v>
      </c>
      <c r="H820">
        <v>26</v>
      </c>
      <c r="I820">
        <v>3</v>
      </c>
      <c r="J820">
        <v>4.62</v>
      </c>
      <c r="K820" t="s">
        <v>2478</v>
      </c>
      <c r="L820">
        <v>0</v>
      </c>
      <c r="N820" t="s">
        <v>2479</v>
      </c>
      <c r="O820" t="s">
        <v>2480</v>
      </c>
      <c r="P820" t="s">
        <v>20</v>
      </c>
      <c r="Q820">
        <f t="shared" ref="Q820:Q837" si="39">(VALUE(LEFT(SUBSTITUTE(O820,"T"," "),23)) - VALUE(LEFT(SUBSTITUTE(N820,"T"," "),23))) * 86400</f>
        <v>183.20299945771694</v>
      </c>
      <c r="R820">
        <f t="shared" ref="R820:R837" si="40">I820/G820</f>
        <v>6.6666666666666666E-2</v>
      </c>
      <c r="S820">
        <f t="shared" ref="S820:S837" si="41">H820/G820</f>
        <v>0.57777777777777772</v>
      </c>
    </row>
    <row r="821" spans="1:19" x14ac:dyDescent="0.2">
      <c r="A821">
        <v>2</v>
      </c>
      <c r="B821" t="s">
        <v>2477</v>
      </c>
      <c r="C821">
        <v>2</v>
      </c>
      <c r="D821">
        <v>1</v>
      </c>
      <c r="E821">
        <v>1007</v>
      </c>
      <c r="F821" t="b">
        <v>1</v>
      </c>
      <c r="G821">
        <v>41.308</v>
      </c>
      <c r="H821">
        <v>27</v>
      </c>
      <c r="I821">
        <v>0</v>
      </c>
      <c r="J821">
        <v>0</v>
      </c>
      <c r="K821" t="s">
        <v>2481</v>
      </c>
      <c r="L821">
        <v>0</v>
      </c>
      <c r="N821" t="s">
        <v>2482</v>
      </c>
      <c r="O821" t="s">
        <v>2483</v>
      </c>
      <c r="P821" t="s">
        <v>20</v>
      </c>
      <c r="Q821">
        <f t="shared" si="39"/>
        <v>172.53300037700683</v>
      </c>
      <c r="R821">
        <f t="shared" si="40"/>
        <v>0</v>
      </c>
      <c r="S821">
        <f t="shared" si="41"/>
        <v>0.65362641619056838</v>
      </c>
    </row>
    <row r="822" spans="1:19" x14ac:dyDescent="0.2">
      <c r="A822">
        <v>3</v>
      </c>
      <c r="B822" t="s">
        <v>2477</v>
      </c>
      <c r="C822">
        <v>-1</v>
      </c>
      <c r="D822">
        <v>2</v>
      </c>
      <c r="E822">
        <v>1008</v>
      </c>
      <c r="F822" t="b">
        <v>1</v>
      </c>
      <c r="G822">
        <v>56.872</v>
      </c>
      <c r="H822">
        <v>25</v>
      </c>
      <c r="I822">
        <v>9</v>
      </c>
      <c r="J822">
        <v>11.04</v>
      </c>
      <c r="K822" t="s">
        <v>2484</v>
      </c>
      <c r="L822">
        <v>0</v>
      </c>
      <c r="N822" t="s">
        <v>2485</v>
      </c>
      <c r="O822" t="s">
        <v>2486</v>
      </c>
      <c r="P822" t="s">
        <v>20</v>
      </c>
      <c r="Q822">
        <f t="shared" si="39"/>
        <v>199.93199994787574</v>
      </c>
      <c r="R822">
        <f t="shared" si="40"/>
        <v>0.15825010550007032</v>
      </c>
      <c r="S822">
        <f t="shared" si="41"/>
        <v>0.43958362638908427</v>
      </c>
    </row>
    <row r="823" spans="1:19" x14ac:dyDescent="0.2">
      <c r="A823">
        <v>4</v>
      </c>
      <c r="B823" t="s">
        <v>2477</v>
      </c>
      <c r="C823">
        <v>2</v>
      </c>
      <c r="D823">
        <v>2</v>
      </c>
      <c r="E823">
        <v>1008</v>
      </c>
      <c r="F823" t="b">
        <v>1</v>
      </c>
      <c r="G823">
        <v>73.084000000000003</v>
      </c>
      <c r="H823">
        <v>24</v>
      </c>
      <c r="I823">
        <v>4</v>
      </c>
      <c r="J823">
        <v>1.68</v>
      </c>
      <c r="K823" t="s">
        <v>2487</v>
      </c>
      <c r="L823">
        <v>0</v>
      </c>
      <c r="N823" t="s">
        <v>2488</v>
      </c>
      <c r="O823" t="s">
        <v>2489</v>
      </c>
      <c r="P823" t="s">
        <v>20</v>
      </c>
      <c r="Q823">
        <f t="shared" si="39"/>
        <v>262.58199959993362</v>
      </c>
      <c r="R823">
        <f t="shared" si="40"/>
        <v>5.4731541787532152E-2</v>
      </c>
      <c r="S823">
        <f t="shared" si="41"/>
        <v>0.32838925072519293</v>
      </c>
    </row>
    <row r="824" spans="1:19" x14ac:dyDescent="0.2">
      <c r="A824">
        <v>5</v>
      </c>
      <c r="B824" t="s">
        <v>2477</v>
      </c>
      <c r="C824">
        <v>-1</v>
      </c>
      <c r="D824">
        <v>3</v>
      </c>
      <c r="E824">
        <v>1009</v>
      </c>
      <c r="F824" t="b">
        <v>1</v>
      </c>
      <c r="G824">
        <v>37.584000000000003</v>
      </c>
      <c r="H824">
        <v>28</v>
      </c>
      <c r="I824">
        <v>8</v>
      </c>
      <c r="J824">
        <v>5.88</v>
      </c>
      <c r="K824" t="s">
        <v>2490</v>
      </c>
      <c r="L824">
        <v>-9</v>
      </c>
      <c r="N824" t="s">
        <v>2491</v>
      </c>
      <c r="O824" t="s">
        <v>2492</v>
      </c>
      <c r="P824" t="s">
        <v>20</v>
      </c>
      <c r="Q824">
        <f t="shared" si="39"/>
        <v>197.79299965593964</v>
      </c>
      <c r="R824">
        <f t="shared" si="40"/>
        <v>0.21285653469561513</v>
      </c>
      <c r="S824">
        <f t="shared" si="41"/>
        <v>0.74499787143465301</v>
      </c>
    </row>
    <row r="825" spans="1:19" x14ac:dyDescent="0.2">
      <c r="A825">
        <v>6</v>
      </c>
      <c r="B825" t="s">
        <v>2477</v>
      </c>
      <c r="C825">
        <v>2</v>
      </c>
      <c r="D825">
        <v>3</v>
      </c>
      <c r="E825">
        <v>1009</v>
      </c>
      <c r="F825" t="b">
        <v>1</v>
      </c>
      <c r="G825">
        <v>61.488</v>
      </c>
      <c r="H825">
        <v>28</v>
      </c>
      <c r="I825">
        <v>2</v>
      </c>
      <c r="J825">
        <v>0.6</v>
      </c>
      <c r="K825" t="s">
        <v>2493</v>
      </c>
      <c r="L825">
        <v>0</v>
      </c>
      <c r="N825" t="s">
        <v>2494</v>
      </c>
      <c r="O825" t="s">
        <v>2495</v>
      </c>
      <c r="P825" t="s">
        <v>20</v>
      </c>
      <c r="Q825">
        <f t="shared" si="39"/>
        <v>258.04699980653822</v>
      </c>
      <c r="R825">
        <f t="shared" si="40"/>
        <v>3.2526671870934165E-2</v>
      </c>
      <c r="S825">
        <f t="shared" si="41"/>
        <v>0.45537340619307831</v>
      </c>
    </row>
    <row r="826" spans="1:19" x14ac:dyDescent="0.2">
      <c r="A826">
        <v>1</v>
      </c>
      <c r="B826" t="s">
        <v>2477</v>
      </c>
      <c r="C826">
        <v>-1</v>
      </c>
      <c r="D826">
        <v>1</v>
      </c>
      <c r="E826">
        <v>1017</v>
      </c>
      <c r="F826" t="b">
        <v>1</v>
      </c>
      <c r="G826">
        <v>86.548000000000002</v>
      </c>
      <c r="H826">
        <v>27</v>
      </c>
      <c r="I826">
        <v>10</v>
      </c>
      <c r="J826">
        <v>15.42</v>
      </c>
      <c r="K826" t="s">
        <v>2496</v>
      </c>
      <c r="L826">
        <v>0</v>
      </c>
      <c r="N826" t="s">
        <v>2497</v>
      </c>
      <c r="O826" t="s">
        <v>2498</v>
      </c>
      <c r="P826" t="s">
        <v>20</v>
      </c>
      <c r="Q826">
        <f t="shared" si="39"/>
        <v>342.53899964969605</v>
      </c>
      <c r="R826">
        <f t="shared" si="40"/>
        <v>0.11554282016915468</v>
      </c>
      <c r="S826">
        <f t="shared" si="41"/>
        <v>0.31196561445671767</v>
      </c>
    </row>
    <row r="827" spans="1:19" x14ac:dyDescent="0.2">
      <c r="A827">
        <v>2</v>
      </c>
      <c r="B827" t="s">
        <v>2477</v>
      </c>
      <c r="C827">
        <v>2</v>
      </c>
      <c r="D827">
        <v>1</v>
      </c>
      <c r="E827">
        <v>1017</v>
      </c>
      <c r="F827" t="b">
        <v>1</v>
      </c>
      <c r="G827">
        <v>74.028000000000006</v>
      </c>
      <c r="H827">
        <v>30</v>
      </c>
      <c r="I827">
        <v>3</v>
      </c>
      <c r="J827">
        <v>0.3</v>
      </c>
      <c r="K827" t="s">
        <v>2499</v>
      </c>
      <c r="L827">
        <v>0</v>
      </c>
      <c r="N827" t="s">
        <v>2500</v>
      </c>
      <c r="O827" t="s">
        <v>2501</v>
      </c>
      <c r="P827" t="s">
        <v>20</v>
      </c>
      <c r="Q827">
        <f t="shared" si="39"/>
        <v>335.15900045167655</v>
      </c>
      <c r="R827">
        <f t="shared" si="40"/>
        <v>4.0525206678554054E-2</v>
      </c>
      <c r="S827">
        <f t="shared" si="41"/>
        <v>0.4052520667855406</v>
      </c>
    </row>
    <row r="828" spans="1:19" x14ac:dyDescent="0.2">
      <c r="A828">
        <v>3</v>
      </c>
      <c r="B828" t="s">
        <v>2477</v>
      </c>
      <c r="C828">
        <v>-1</v>
      </c>
      <c r="D828">
        <v>2</v>
      </c>
      <c r="E828">
        <v>1018</v>
      </c>
      <c r="F828" t="b">
        <v>1</v>
      </c>
      <c r="G828">
        <v>45.5</v>
      </c>
      <c r="H828">
        <v>28</v>
      </c>
      <c r="I828">
        <v>5</v>
      </c>
      <c r="J828">
        <v>3.3</v>
      </c>
      <c r="K828" t="s">
        <v>2502</v>
      </c>
      <c r="L828">
        <v>0</v>
      </c>
      <c r="N828" t="s">
        <v>2503</v>
      </c>
      <c r="O828" t="s">
        <v>2504</v>
      </c>
      <c r="P828" t="s">
        <v>20</v>
      </c>
      <c r="Q828">
        <f t="shared" si="39"/>
        <v>150.58000010903925</v>
      </c>
      <c r="R828">
        <f t="shared" si="40"/>
        <v>0.10989010989010989</v>
      </c>
      <c r="S828">
        <f t="shared" si="41"/>
        <v>0.61538461538461542</v>
      </c>
    </row>
    <row r="829" spans="1:19" x14ac:dyDescent="0.2">
      <c r="A829">
        <v>4</v>
      </c>
      <c r="B829" t="s">
        <v>2477</v>
      </c>
      <c r="C829">
        <v>2</v>
      </c>
      <c r="D829">
        <v>2</v>
      </c>
      <c r="E829">
        <v>1018</v>
      </c>
      <c r="F829" t="b">
        <v>1</v>
      </c>
      <c r="G829">
        <v>69.36</v>
      </c>
      <c r="H829">
        <v>26</v>
      </c>
      <c r="I829">
        <v>3</v>
      </c>
      <c r="J829">
        <v>0.9</v>
      </c>
      <c r="K829" t="s">
        <v>2505</v>
      </c>
      <c r="L829">
        <v>0</v>
      </c>
      <c r="N829" t="s">
        <v>2506</v>
      </c>
      <c r="O829" t="s">
        <v>2507</v>
      </c>
      <c r="P829" t="s">
        <v>20</v>
      </c>
      <c r="Q829">
        <f t="shared" si="39"/>
        <v>261.46399998106062</v>
      </c>
      <c r="R829">
        <f t="shared" si="40"/>
        <v>4.3252595155709346E-2</v>
      </c>
      <c r="S829">
        <f t="shared" si="41"/>
        <v>0.37485582468281431</v>
      </c>
    </row>
    <row r="830" spans="1:19" x14ac:dyDescent="0.2">
      <c r="A830">
        <v>5</v>
      </c>
      <c r="B830" t="s">
        <v>2477</v>
      </c>
      <c r="C830">
        <v>-1</v>
      </c>
      <c r="D830">
        <v>3</v>
      </c>
      <c r="E830">
        <v>1019</v>
      </c>
      <c r="F830" t="b">
        <v>1</v>
      </c>
      <c r="G830">
        <v>56.055999999999997</v>
      </c>
      <c r="H830">
        <v>26</v>
      </c>
      <c r="I830">
        <v>5</v>
      </c>
      <c r="J830">
        <v>3.78</v>
      </c>
      <c r="K830" t="s">
        <v>2508</v>
      </c>
      <c r="L830">
        <v>0</v>
      </c>
      <c r="N830" t="s">
        <v>2509</v>
      </c>
      <c r="O830" t="s">
        <v>2510</v>
      </c>
      <c r="P830" t="s">
        <v>20</v>
      </c>
      <c r="Q830">
        <f t="shared" si="39"/>
        <v>180.87800012435764</v>
      </c>
      <c r="R830">
        <f t="shared" si="40"/>
        <v>8.9196517767946348E-2</v>
      </c>
      <c r="S830">
        <f t="shared" si="41"/>
        <v>0.463821892393321</v>
      </c>
    </row>
    <row r="831" spans="1:19" x14ac:dyDescent="0.2">
      <c r="A831">
        <v>6</v>
      </c>
      <c r="B831" t="s">
        <v>2477</v>
      </c>
      <c r="C831">
        <v>2</v>
      </c>
      <c r="D831">
        <v>3</v>
      </c>
      <c r="E831">
        <v>1019</v>
      </c>
      <c r="F831" t="b">
        <v>1</v>
      </c>
      <c r="G831">
        <v>90.492000000000004</v>
      </c>
      <c r="H831">
        <v>24</v>
      </c>
      <c r="I831">
        <v>4</v>
      </c>
      <c r="J831">
        <v>1.38</v>
      </c>
      <c r="K831" t="s">
        <v>2511</v>
      </c>
      <c r="L831">
        <v>0</v>
      </c>
      <c r="N831" t="s">
        <v>2512</v>
      </c>
      <c r="O831" t="s">
        <v>2513</v>
      </c>
      <c r="P831" t="s">
        <v>20</v>
      </c>
      <c r="Q831">
        <f t="shared" si="39"/>
        <v>178.19700040854514</v>
      </c>
      <c r="R831">
        <f t="shared" si="40"/>
        <v>4.4202802457675813E-2</v>
      </c>
      <c r="S831">
        <f t="shared" si="41"/>
        <v>0.26521681474605491</v>
      </c>
    </row>
    <row r="832" spans="1:19" x14ac:dyDescent="0.2">
      <c r="A832">
        <v>1</v>
      </c>
      <c r="B832" t="s">
        <v>2477</v>
      </c>
      <c r="C832">
        <v>-1</v>
      </c>
      <c r="D832">
        <v>1</v>
      </c>
      <c r="E832">
        <v>1027</v>
      </c>
      <c r="F832" t="b">
        <v>1</v>
      </c>
      <c r="G832">
        <v>53.287999999999997</v>
      </c>
      <c r="H832">
        <v>26</v>
      </c>
      <c r="I832">
        <v>8</v>
      </c>
      <c r="J832">
        <v>8.82</v>
      </c>
      <c r="K832" t="s">
        <v>2514</v>
      </c>
      <c r="L832">
        <v>0</v>
      </c>
      <c r="N832" t="s">
        <v>2515</v>
      </c>
      <c r="O832" t="s">
        <v>2516</v>
      </c>
      <c r="P832" t="s">
        <v>20</v>
      </c>
      <c r="Q832">
        <f t="shared" si="39"/>
        <v>245.76599998399615</v>
      </c>
      <c r="R832">
        <f t="shared" si="40"/>
        <v>0.15012760846719714</v>
      </c>
      <c r="S832">
        <f t="shared" si="41"/>
        <v>0.48791472751839066</v>
      </c>
    </row>
    <row r="833" spans="1:19" x14ac:dyDescent="0.2">
      <c r="A833">
        <v>2</v>
      </c>
      <c r="B833" t="s">
        <v>2477</v>
      </c>
      <c r="C833">
        <v>2</v>
      </c>
      <c r="D833">
        <v>1</v>
      </c>
      <c r="E833">
        <v>1027</v>
      </c>
      <c r="F833" t="b">
        <v>1</v>
      </c>
      <c r="G833">
        <v>42.451999999999998</v>
      </c>
      <c r="H833">
        <v>27</v>
      </c>
      <c r="I833">
        <v>1</v>
      </c>
      <c r="J833">
        <v>0.12</v>
      </c>
      <c r="K833" t="s">
        <v>2517</v>
      </c>
      <c r="L833">
        <v>0</v>
      </c>
      <c r="N833" t="s">
        <v>2518</v>
      </c>
      <c r="O833" t="s">
        <v>2519</v>
      </c>
      <c r="P833" t="s">
        <v>20</v>
      </c>
      <c r="Q833">
        <f t="shared" si="39"/>
        <v>155.79299989622086</v>
      </c>
      <c r="R833">
        <f t="shared" si="40"/>
        <v>2.3556016206539149E-2</v>
      </c>
      <c r="S833">
        <f t="shared" si="41"/>
        <v>0.63601243757655712</v>
      </c>
    </row>
    <row r="834" spans="1:19" x14ac:dyDescent="0.2">
      <c r="A834">
        <v>3</v>
      </c>
      <c r="B834" t="s">
        <v>2477</v>
      </c>
      <c r="C834">
        <v>-1</v>
      </c>
      <c r="D834">
        <v>2</v>
      </c>
      <c r="E834">
        <v>1028</v>
      </c>
      <c r="F834" t="b">
        <v>1</v>
      </c>
      <c r="G834">
        <v>55.988</v>
      </c>
      <c r="H834">
        <v>29</v>
      </c>
      <c r="I834">
        <v>5</v>
      </c>
      <c r="J834">
        <v>4.9800000000000004</v>
      </c>
      <c r="K834" t="s">
        <v>2520</v>
      </c>
      <c r="L834">
        <v>0</v>
      </c>
      <c r="N834" t="s">
        <v>2521</v>
      </c>
      <c r="O834" t="s">
        <v>2522</v>
      </c>
      <c r="P834" t="s">
        <v>20</v>
      </c>
      <c r="Q834">
        <f t="shared" si="39"/>
        <v>214.61399949621409</v>
      </c>
      <c r="R834">
        <f t="shared" si="40"/>
        <v>8.930485103950847E-2</v>
      </c>
      <c r="S834">
        <f t="shared" si="41"/>
        <v>0.51796813602914915</v>
      </c>
    </row>
    <row r="835" spans="1:19" x14ac:dyDescent="0.2">
      <c r="A835">
        <v>4</v>
      </c>
      <c r="B835" t="s">
        <v>2477</v>
      </c>
      <c r="C835">
        <v>2</v>
      </c>
      <c r="D835">
        <v>2</v>
      </c>
      <c r="E835">
        <v>1028</v>
      </c>
      <c r="F835" t="b">
        <v>1</v>
      </c>
      <c r="G835">
        <v>99.207999999999998</v>
      </c>
      <c r="H835">
        <v>29</v>
      </c>
      <c r="I835">
        <v>0</v>
      </c>
      <c r="J835">
        <v>0</v>
      </c>
      <c r="K835" t="s">
        <v>2523</v>
      </c>
      <c r="L835">
        <v>0</v>
      </c>
      <c r="N835" t="s">
        <v>2524</v>
      </c>
      <c r="O835" t="s">
        <v>2525</v>
      </c>
      <c r="P835" t="s">
        <v>20</v>
      </c>
      <c r="Q835">
        <f t="shared" si="39"/>
        <v>335.25499985553324</v>
      </c>
      <c r="R835">
        <f t="shared" si="40"/>
        <v>0</v>
      </c>
      <c r="S835">
        <f t="shared" si="41"/>
        <v>0.292315135876139</v>
      </c>
    </row>
    <row r="836" spans="1:19" x14ac:dyDescent="0.2">
      <c r="A836">
        <v>5</v>
      </c>
      <c r="B836" t="s">
        <v>2477</v>
      </c>
      <c r="C836">
        <v>-1</v>
      </c>
      <c r="D836">
        <v>3</v>
      </c>
      <c r="E836">
        <v>1029</v>
      </c>
      <c r="F836" t="b">
        <v>1</v>
      </c>
      <c r="G836">
        <v>39.856000000000002</v>
      </c>
      <c r="H836">
        <v>25</v>
      </c>
      <c r="I836">
        <v>3</v>
      </c>
      <c r="J836">
        <v>2.82</v>
      </c>
      <c r="K836" t="s">
        <v>2526</v>
      </c>
      <c r="L836">
        <v>0</v>
      </c>
      <c r="N836" t="s">
        <v>2527</v>
      </c>
      <c r="O836" t="s">
        <v>2528</v>
      </c>
      <c r="P836" t="s">
        <v>20</v>
      </c>
      <c r="Q836">
        <f t="shared" si="39"/>
        <v>163.50100035779178</v>
      </c>
      <c r="R836">
        <f t="shared" si="40"/>
        <v>7.5270975511842628E-2</v>
      </c>
      <c r="S836">
        <f t="shared" si="41"/>
        <v>0.62725812926535529</v>
      </c>
    </row>
    <row r="837" spans="1:19" x14ac:dyDescent="0.2">
      <c r="A837">
        <v>6</v>
      </c>
      <c r="B837" t="s">
        <v>2477</v>
      </c>
      <c r="C837">
        <v>2</v>
      </c>
      <c r="D837">
        <v>3</v>
      </c>
      <c r="E837">
        <v>1029</v>
      </c>
      <c r="F837" t="b">
        <v>1</v>
      </c>
      <c r="G837">
        <v>38.94</v>
      </c>
      <c r="H837">
        <v>24</v>
      </c>
      <c r="I837">
        <v>2</v>
      </c>
      <c r="J837">
        <v>0.3</v>
      </c>
      <c r="K837" t="s">
        <v>2529</v>
      </c>
      <c r="L837">
        <v>0</v>
      </c>
      <c r="N837" t="s">
        <v>2530</v>
      </c>
      <c r="O837" t="s">
        <v>2531</v>
      </c>
      <c r="P837" t="s">
        <v>20</v>
      </c>
      <c r="Q837">
        <f t="shared" si="39"/>
        <v>154.08299986738712</v>
      </c>
      <c r="R837">
        <f t="shared" si="40"/>
        <v>5.1361068310220859E-2</v>
      </c>
      <c r="S837">
        <f t="shared" si="41"/>
        <v>0.6163328197226503</v>
      </c>
    </row>
  </sheetData>
  <autoFilter ref="B1:E837" xr:uid="{E4514B18-3D81-5A48-9BE5-09FFF423584D}">
    <filterColumn colId="1">
      <filters>
        <filter val="-1"/>
        <filter val="0"/>
        <filter val="2"/>
        <filter val="5"/>
      </filters>
    </filterColumn>
  </autoFilter>
  <sortState xmlns:xlrd2="http://schemas.microsoft.com/office/spreadsheetml/2017/richdata2" ref="A2:S819">
    <sortCondition ref="E2:E819"/>
    <sortCondition ref="B2:B819"/>
    <sortCondition ref="C2:C81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Yucong Cao</dc:creator>
  <cp:lastModifiedBy>Yucong Cao</cp:lastModifiedBy>
  <dcterms:created xsi:type="dcterms:W3CDTF">2026-02-18T09:20:51Z</dcterms:created>
  <dcterms:modified xsi:type="dcterms:W3CDTF">2026-02-19T12:15:29Z</dcterms:modified>
</cp:coreProperties>
</file>