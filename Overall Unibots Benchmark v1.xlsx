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cong/Library/Mobile Documents/com~apple~CloudDocs/Desktop/"/>
    </mc:Choice>
  </mc:AlternateContent>
  <xr:revisionPtr revIDLastSave="0" documentId="13_ncr:1_{754061E3-6AA3-444D-9E7B-55B5D2B4B19B}" xr6:coauthVersionLast="47" xr6:coauthVersionMax="47" xr10:uidLastSave="{00000000-0000-0000-0000-000000000000}"/>
  <bookViews>
    <workbookView xWindow="1040" yWindow="600" windowWidth="25920" windowHeight="19440" xr2:uid="{ADE10BCA-7541-5544-8BF5-72B3F50F8422}"/>
  </bookViews>
  <sheets>
    <sheet name="Raw Data" sheetId="1" r:id="rId1"/>
  </sheets>
  <definedNames>
    <definedName name="_xlnm._FilterDatabase" localSheetId="0" hidden="1">'Raw Data'!$B$1:$E$1264</definedName>
    <definedName name="_xlchart.v1.0" hidden="1">'Raw Data'!$B$2:$B$2804</definedName>
    <definedName name="_xlchart.v1.1" hidden="1">'Raw Data'!$H$1</definedName>
    <definedName name="_xlchart.v1.10" hidden="1">'Raw Data'!$R$1</definedName>
    <definedName name="_xlchart.v1.11" hidden="1">'Raw Data'!$R$2:$R$1224</definedName>
    <definedName name="_xlchart.v1.2" hidden="1">'Raw Data'!$H$2:$H$2804</definedName>
    <definedName name="_xlchart.v1.3" hidden="1">'Raw Data'!$B$2:$B$1939</definedName>
    <definedName name="_xlchart.v1.4" hidden="1">'Raw Data'!$S$1</definedName>
    <definedName name="_xlchart.v1.5" hidden="1">'Raw Data'!$S$2:$S$1939</definedName>
    <definedName name="_xlchart.v1.6" hidden="1">'Raw Data'!$C$2:$C$2490</definedName>
    <definedName name="_xlchart.v1.7" hidden="1">'Raw Data'!$S$1</definedName>
    <definedName name="_xlchart.v1.8" hidden="1">'Raw Data'!$S$2:$S$2490</definedName>
    <definedName name="_xlchart.v1.9" hidden="1">'Raw Data'!$C$2:$C$1224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3" i="1" l="1"/>
  <c r="R903" i="1"/>
  <c r="S903" i="1"/>
  <c r="Q322" i="1"/>
  <c r="R322" i="1"/>
  <c r="S322" i="1"/>
  <c r="Q1134" i="1"/>
  <c r="R1134" i="1"/>
  <c r="S1134" i="1"/>
  <c r="Q1135" i="1"/>
  <c r="R1135" i="1"/>
  <c r="S1135" i="1"/>
  <c r="Q1136" i="1"/>
  <c r="R1136" i="1"/>
  <c r="S1136" i="1"/>
  <c r="Q1137" i="1"/>
  <c r="R1137" i="1"/>
  <c r="S1137" i="1"/>
  <c r="Q1138" i="1"/>
  <c r="R1138" i="1"/>
  <c r="S1138" i="1"/>
  <c r="Q1139" i="1"/>
  <c r="R1139" i="1"/>
  <c r="S1139" i="1"/>
  <c r="Q1140" i="1"/>
  <c r="R1140" i="1"/>
  <c r="S1140" i="1"/>
  <c r="Q1141" i="1"/>
  <c r="R1141" i="1"/>
  <c r="S1141" i="1"/>
  <c r="Q586" i="1"/>
  <c r="R586" i="1"/>
  <c r="S586" i="1"/>
  <c r="Q121" i="1"/>
  <c r="R121" i="1"/>
  <c r="S121" i="1"/>
  <c r="Q1144" i="1"/>
  <c r="R1144" i="1"/>
  <c r="S1144" i="1"/>
  <c r="Q1145" i="1"/>
  <c r="R1145" i="1"/>
  <c r="S1145" i="1"/>
  <c r="Q1146" i="1"/>
  <c r="R1146" i="1"/>
  <c r="S1146" i="1"/>
  <c r="Q1147" i="1"/>
  <c r="R1147" i="1"/>
  <c r="S1147" i="1"/>
  <c r="Q1148" i="1"/>
  <c r="R1148" i="1"/>
  <c r="S1148" i="1"/>
  <c r="Q1149" i="1"/>
  <c r="R1149" i="1"/>
  <c r="S1149" i="1"/>
  <c r="Q1150" i="1"/>
  <c r="R1150" i="1"/>
  <c r="S1150" i="1"/>
  <c r="Q1151" i="1"/>
  <c r="R1151" i="1"/>
  <c r="S1151" i="1"/>
  <c r="Q802" i="1"/>
  <c r="R802" i="1"/>
  <c r="S802" i="1"/>
  <c r="Q475" i="1"/>
  <c r="R475" i="1"/>
  <c r="S475" i="1"/>
  <c r="Q1154" i="1"/>
  <c r="R1154" i="1"/>
  <c r="S1154" i="1"/>
  <c r="Q1155" i="1"/>
  <c r="R1155" i="1"/>
  <c r="S1155" i="1"/>
  <c r="Q1156" i="1"/>
  <c r="R1156" i="1"/>
  <c r="S1156" i="1"/>
  <c r="Q1157" i="1"/>
  <c r="R1157" i="1"/>
  <c r="S1157" i="1"/>
  <c r="Q1158" i="1"/>
  <c r="R1158" i="1"/>
  <c r="S1158" i="1"/>
  <c r="Q1159" i="1"/>
  <c r="R1159" i="1"/>
  <c r="S1159" i="1"/>
  <c r="Q1160" i="1"/>
  <c r="R1160" i="1"/>
  <c r="S1160" i="1"/>
  <c r="Q1161" i="1"/>
  <c r="R1161" i="1"/>
  <c r="S1161" i="1"/>
  <c r="Q703" i="1"/>
  <c r="R703" i="1"/>
  <c r="S703" i="1"/>
  <c r="Q520" i="1"/>
  <c r="R520" i="1"/>
  <c r="S520" i="1"/>
  <c r="Q1164" i="1"/>
  <c r="R1164" i="1"/>
  <c r="S1164" i="1"/>
  <c r="Q1165" i="1"/>
  <c r="R1165" i="1"/>
  <c r="S1165" i="1"/>
  <c r="Q1166" i="1"/>
  <c r="R1166" i="1"/>
  <c r="S1166" i="1"/>
  <c r="Q1167" i="1"/>
  <c r="R1167" i="1"/>
  <c r="S1167" i="1"/>
  <c r="Q1168" i="1"/>
  <c r="R1168" i="1"/>
  <c r="S1168" i="1"/>
  <c r="Q1169" i="1"/>
  <c r="R1169" i="1"/>
  <c r="S1169" i="1"/>
  <c r="Q1170" i="1"/>
  <c r="R1170" i="1"/>
  <c r="S1170" i="1"/>
  <c r="Q1171" i="1"/>
  <c r="R1171" i="1"/>
  <c r="S1171" i="1"/>
  <c r="Q846" i="1"/>
  <c r="R846" i="1"/>
  <c r="S846" i="1"/>
  <c r="Q41" i="1"/>
  <c r="R41" i="1"/>
  <c r="S41" i="1"/>
  <c r="Q1174" i="1"/>
  <c r="R1174" i="1"/>
  <c r="S1174" i="1"/>
  <c r="Q1175" i="1"/>
  <c r="R1175" i="1"/>
  <c r="S1175" i="1"/>
  <c r="Q1176" i="1"/>
  <c r="R1176" i="1"/>
  <c r="S1176" i="1"/>
  <c r="Q985" i="1"/>
  <c r="R985" i="1"/>
  <c r="S985" i="1"/>
  <c r="Q229" i="1"/>
  <c r="R229" i="1"/>
  <c r="S229" i="1"/>
  <c r="Q1179" i="1"/>
  <c r="R1179" i="1"/>
  <c r="S1179" i="1"/>
  <c r="Q1180" i="1"/>
  <c r="R1180" i="1"/>
  <c r="S1180" i="1"/>
  <c r="Q1181" i="1"/>
  <c r="R1181" i="1"/>
  <c r="S1181" i="1"/>
  <c r="Q1182" i="1"/>
  <c r="R1182" i="1"/>
  <c r="S1182" i="1"/>
  <c r="Q1183" i="1"/>
  <c r="R1183" i="1"/>
  <c r="S1183" i="1"/>
  <c r="Q1184" i="1"/>
  <c r="R1184" i="1"/>
  <c r="S1184" i="1"/>
  <c r="Q1185" i="1"/>
  <c r="R1185" i="1"/>
  <c r="S1185" i="1"/>
  <c r="Q1186" i="1"/>
  <c r="R1186" i="1"/>
  <c r="S1186" i="1"/>
  <c r="Q897" i="1"/>
  <c r="R897" i="1"/>
  <c r="S897" i="1"/>
  <c r="Q604" i="1"/>
  <c r="R604" i="1"/>
  <c r="S604" i="1"/>
  <c r="Q1189" i="1"/>
  <c r="R1189" i="1"/>
  <c r="S1189" i="1"/>
  <c r="Q1190" i="1"/>
  <c r="R1190" i="1"/>
  <c r="S1190" i="1"/>
  <c r="Q1191" i="1"/>
  <c r="R1191" i="1"/>
  <c r="S1191" i="1"/>
  <c r="Q1192" i="1"/>
  <c r="R1192" i="1"/>
  <c r="S1192" i="1"/>
  <c r="Q1193" i="1"/>
  <c r="R1193" i="1"/>
  <c r="S1193" i="1"/>
  <c r="Q1194" i="1"/>
  <c r="R1194" i="1"/>
  <c r="S1194" i="1"/>
  <c r="Q1195" i="1"/>
  <c r="R1195" i="1"/>
  <c r="S1195" i="1"/>
  <c r="Q1196" i="1"/>
  <c r="R1196" i="1"/>
  <c r="S1196" i="1"/>
  <c r="Q739" i="1"/>
  <c r="R739" i="1"/>
  <c r="S739" i="1"/>
  <c r="Q367" i="1"/>
  <c r="R367" i="1"/>
  <c r="S367" i="1"/>
  <c r="Q1199" i="1"/>
  <c r="R1199" i="1"/>
  <c r="S1199" i="1"/>
  <c r="Q1200" i="1"/>
  <c r="R1200" i="1"/>
  <c r="S1200" i="1"/>
  <c r="Q1201" i="1"/>
  <c r="R1201" i="1"/>
  <c r="S1201" i="1"/>
  <c r="Q1202" i="1"/>
  <c r="R1202" i="1"/>
  <c r="S1202" i="1"/>
  <c r="Q1203" i="1"/>
  <c r="R1203" i="1"/>
  <c r="S1203" i="1"/>
  <c r="Q1204" i="1"/>
  <c r="R1204" i="1"/>
  <c r="S1204" i="1"/>
  <c r="Q1205" i="1"/>
  <c r="R1205" i="1"/>
  <c r="S1205" i="1"/>
  <c r="Q1206" i="1"/>
  <c r="R1206" i="1"/>
  <c r="S1206" i="1"/>
  <c r="Q331" i="1"/>
  <c r="R331" i="1"/>
  <c r="S331" i="1"/>
  <c r="Q294" i="1"/>
  <c r="R294" i="1"/>
  <c r="S294" i="1"/>
  <c r="Q1209" i="1"/>
  <c r="R1209" i="1"/>
  <c r="S1209" i="1"/>
  <c r="Q1210" i="1"/>
  <c r="R1210" i="1"/>
  <c r="S1210" i="1"/>
  <c r="Q1211" i="1"/>
  <c r="R1211" i="1"/>
  <c r="S1211" i="1"/>
  <c r="Q1212" i="1"/>
  <c r="R1212" i="1"/>
  <c r="S1212" i="1"/>
  <c r="Q1213" i="1"/>
  <c r="R1213" i="1"/>
  <c r="S1213" i="1"/>
  <c r="Q1214" i="1"/>
  <c r="R1214" i="1"/>
  <c r="S1214" i="1"/>
  <c r="Q1215" i="1"/>
  <c r="R1215" i="1"/>
  <c r="S1215" i="1"/>
  <c r="Q1216" i="1"/>
  <c r="R1216" i="1"/>
  <c r="S1216" i="1"/>
  <c r="Q1197" i="1"/>
  <c r="R1197" i="1"/>
  <c r="S1197" i="1"/>
  <c r="Q412" i="1"/>
  <c r="R412" i="1"/>
  <c r="S412" i="1"/>
  <c r="Q1219" i="1"/>
  <c r="R1219" i="1"/>
  <c r="S1219" i="1"/>
  <c r="Q1220" i="1"/>
  <c r="R1220" i="1"/>
  <c r="S1220" i="1"/>
  <c r="Q1262" i="1"/>
  <c r="R1262" i="1"/>
  <c r="S1262" i="1"/>
  <c r="Q631" i="1"/>
  <c r="R631" i="1"/>
  <c r="S631" i="1"/>
  <c r="Q1223" i="1"/>
  <c r="R1223" i="1"/>
  <c r="S1223" i="1"/>
  <c r="Q1224" i="1"/>
  <c r="R1224" i="1"/>
  <c r="S1224" i="1"/>
  <c r="Q1225" i="1"/>
  <c r="R1225" i="1"/>
  <c r="S1225" i="1"/>
  <c r="Q1226" i="1"/>
  <c r="R1226" i="1"/>
  <c r="S1226" i="1"/>
  <c r="Q1227" i="1"/>
  <c r="R1227" i="1"/>
  <c r="S1227" i="1"/>
  <c r="Q1228" i="1"/>
  <c r="R1228" i="1"/>
  <c r="S1228" i="1"/>
  <c r="Q1229" i="1"/>
  <c r="R1229" i="1"/>
  <c r="S1229" i="1"/>
  <c r="Q1230" i="1"/>
  <c r="R1230" i="1"/>
  <c r="S1230" i="1"/>
  <c r="Q511" i="1"/>
  <c r="R511" i="1"/>
  <c r="S511" i="1"/>
  <c r="Q667" i="1"/>
  <c r="R667" i="1"/>
  <c r="S667" i="1"/>
  <c r="Q1233" i="1"/>
  <c r="R1233" i="1"/>
  <c r="S1233" i="1"/>
  <c r="Q1234" i="1"/>
  <c r="R1234" i="1"/>
  <c r="S1234" i="1"/>
  <c r="Q1235" i="1"/>
  <c r="R1235" i="1"/>
  <c r="S1235" i="1"/>
  <c r="Q1236" i="1"/>
  <c r="R1236" i="1"/>
  <c r="S1236" i="1"/>
  <c r="Q1237" i="1"/>
  <c r="R1237" i="1"/>
  <c r="S1237" i="1"/>
  <c r="Q1238" i="1"/>
  <c r="R1238" i="1"/>
  <c r="S1238" i="1"/>
  <c r="Q1239" i="1"/>
  <c r="R1239" i="1"/>
  <c r="S1239" i="1"/>
  <c r="Q1240" i="1"/>
  <c r="R1240" i="1"/>
  <c r="S1240" i="1"/>
  <c r="Q917" i="1"/>
  <c r="R917" i="1"/>
  <c r="S917" i="1"/>
  <c r="Q193" i="1"/>
  <c r="R193" i="1"/>
  <c r="S193" i="1"/>
  <c r="Q1243" i="1"/>
  <c r="R1243" i="1"/>
  <c r="S1243" i="1"/>
  <c r="Q1244" i="1"/>
  <c r="R1244" i="1"/>
  <c r="S1244" i="1"/>
  <c r="Q1245" i="1"/>
  <c r="R1245" i="1"/>
  <c r="S1245" i="1"/>
  <c r="Q1246" i="1"/>
  <c r="R1246" i="1"/>
  <c r="S1246" i="1"/>
  <c r="Q1247" i="1"/>
  <c r="R1247" i="1"/>
  <c r="S1247" i="1"/>
  <c r="Q1248" i="1"/>
  <c r="R1248" i="1"/>
  <c r="S1248" i="1"/>
  <c r="Q1249" i="1"/>
  <c r="R1249" i="1"/>
  <c r="S1249" i="1"/>
  <c r="Q1250" i="1"/>
  <c r="R1250" i="1"/>
  <c r="S1250" i="1"/>
  <c r="Q863" i="1"/>
  <c r="R863" i="1"/>
  <c r="S863" i="1"/>
  <c r="Q103" i="1"/>
  <c r="R103" i="1"/>
  <c r="S103" i="1"/>
  <c r="Q1253" i="1"/>
  <c r="R1253" i="1"/>
  <c r="S1253" i="1"/>
  <c r="Q1254" i="1"/>
  <c r="R1254" i="1"/>
  <c r="S1254" i="1"/>
  <c r="Q1255" i="1"/>
  <c r="R1255" i="1"/>
  <c r="S1255" i="1"/>
  <c r="Q1256" i="1"/>
  <c r="R1256" i="1"/>
  <c r="S1256" i="1"/>
  <c r="Q1257" i="1"/>
  <c r="R1257" i="1"/>
  <c r="S1257" i="1"/>
  <c r="Q1258" i="1"/>
  <c r="R1258" i="1"/>
  <c r="S1258" i="1"/>
  <c r="Q1259" i="1"/>
  <c r="R1259" i="1"/>
  <c r="S1259" i="1"/>
  <c r="Q1260" i="1"/>
  <c r="R1260" i="1"/>
  <c r="S1260" i="1"/>
  <c r="Q22" i="1"/>
  <c r="R22" i="1"/>
  <c r="S22" i="1"/>
  <c r="Q184" i="1"/>
  <c r="R184" i="1"/>
  <c r="S184" i="1"/>
  <c r="Q1263" i="1"/>
  <c r="R1263" i="1"/>
  <c r="S1263" i="1"/>
  <c r="Q1264" i="1"/>
  <c r="R1264" i="1"/>
  <c r="S1264" i="1"/>
  <c r="Q1006" i="1"/>
  <c r="R1006" i="1"/>
  <c r="S1006" i="1"/>
  <c r="Q1072" i="1"/>
  <c r="R1072" i="1"/>
  <c r="S1072" i="1"/>
  <c r="Q1102" i="1"/>
  <c r="R1102" i="1"/>
  <c r="S1102" i="1"/>
  <c r="Q1007" i="1"/>
  <c r="R1007" i="1"/>
  <c r="S1007" i="1"/>
  <c r="Q1073" i="1"/>
  <c r="R1073" i="1"/>
  <c r="S1073" i="1"/>
  <c r="Q1103" i="1"/>
  <c r="R1103" i="1"/>
  <c r="S1103" i="1"/>
  <c r="Q1008" i="1"/>
  <c r="R1008" i="1"/>
  <c r="S1008" i="1"/>
  <c r="Q1074" i="1"/>
  <c r="R1074" i="1"/>
  <c r="S1074" i="1"/>
  <c r="Q1104" i="1"/>
  <c r="R1104" i="1"/>
  <c r="S1104" i="1"/>
  <c r="Q1010" i="1"/>
  <c r="R1010" i="1"/>
  <c r="S1010" i="1"/>
  <c r="Q1075" i="1"/>
  <c r="R1075" i="1"/>
  <c r="S1075" i="1"/>
  <c r="Q1105" i="1"/>
  <c r="R1105" i="1"/>
  <c r="S1105" i="1"/>
  <c r="Q1011" i="1"/>
  <c r="R1011" i="1"/>
  <c r="S1011" i="1"/>
  <c r="Q1076" i="1"/>
  <c r="R1076" i="1"/>
  <c r="S1076" i="1"/>
  <c r="Q1106" i="1"/>
  <c r="R1106" i="1"/>
  <c r="S1106" i="1"/>
  <c r="Q1012" i="1"/>
  <c r="R1012" i="1"/>
  <c r="S1012" i="1"/>
  <c r="Q1077" i="1"/>
  <c r="R1077" i="1"/>
  <c r="S1077" i="1"/>
  <c r="Q1107" i="1"/>
  <c r="R1107" i="1"/>
  <c r="S1107" i="1"/>
  <c r="Q1013" i="1"/>
  <c r="R1013" i="1"/>
  <c r="S1013" i="1"/>
  <c r="Q1078" i="1"/>
  <c r="R1078" i="1"/>
  <c r="S1078" i="1"/>
  <c r="Q1108" i="1"/>
  <c r="R1108" i="1"/>
  <c r="S1108" i="1"/>
  <c r="Q1014" i="1"/>
  <c r="R1014" i="1"/>
  <c r="S1014" i="1"/>
  <c r="Q1079" i="1"/>
  <c r="R1079" i="1"/>
  <c r="S1079" i="1"/>
  <c r="Q1109" i="1"/>
  <c r="R1109" i="1"/>
  <c r="S1109" i="1"/>
  <c r="Q1016" i="1"/>
  <c r="R1016" i="1"/>
  <c r="S1016" i="1"/>
  <c r="Q1080" i="1"/>
  <c r="R1080" i="1"/>
  <c r="S1080" i="1"/>
  <c r="Q1110" i="1"/>
  <c r="R1110" i="1"/>
  <c r="S1110" i="1"/>
  <c r="Q1018" i="1"/>
  <c r="R1018" i="1"/>
  <c r="S1018" i="1"/>
  <c r="Q1081" i="1"/>
  <c r="R1081" i="1"/>
  <c r="S1081" i="1"/>
  <c r="Q1111" i="1"/>
  <c r="R1111" i="1"/>
  <c r="S1111" i="1"/>
  <c r="Q1020" i="1"/>
  <c r="R1020" i="1"/>
  <c r="S1020" i="1"/>
  <c r="Q1082" i="1"/>
  <c r="R1082" i="1"/>
  <c r="S1082" i="1"/>
  <c r="Q1112" i="1"/>
  <c r="R1112" i="1"/>
  <c r="S1112" i="1"/>
  <c r="Q1021" i="1"/>
  <c r="R1021" i="1"/>
  <c r="S1021" i="1"/>
  <c r="Q1083" i="1"/>
  <c r="R1083" i="1"/>
  <c r="S1083" i="1"/>
  <c r="Q1113" i="1"/>
  <c r="R1113" i="1"/>
  <c r="S1113" i="1"/>
  <c r="Q1022" i="1"/>
  <c r="R1022" i="1"/>
  <c r="S1022" i="1"/>
  <c r="Q1084" i="1"/>
  <c r="R1084" i="1"/>
  <c r="S1084" i="1"/>
  <c r="Q1114" i="1"/>
  <c r="R1114" i="1"/>
  <c r="S1114" i="1"/>
  <c r="Q1023" i="1"/>
  <c r="R1023" i="1"/>
  <c r="S1023" i="1"/>
  <c r="Q1085" i="1"/>
  <c r="R1085" i="1"/>
  <c r="S1085" i="1"/>
  <c r="Q1115" i="1"/>
  <c r="R1115" i="1"/>
  <c r="S1115" i="1"/>
  <c r="Q1024" i="1"/>
  <c r="R1024" i="1"/>
  <c r="S1024" i="1"/>
  <c r="Q1086" i="1"/>
  <c r="R1086" i="1"/>
  <c r="S1086" i="1"/>
  <c r="Q1116" i="1"/>
  <c r="R1116" i="1"/>
  <c r="S1116" i="1"/>
  <c r="Q1025" i="1"/>
  <c r="R1025" i="1"/>
  <c r="S1025" i="1"/>
  <c r="Q1087" i="1"/>
  <c r="R1087" i="1"/>
  <c r="S1087" i="1"/>
  <c r="Q1117" i="1"/>
  <c r="R1117" i="1"/>
  <c r="S1117" i="1"/>
  <c r="Q1026" i="1"/>
  <c r="R1026" i="1"/>
  <c r="S1026" i="1"/>
  <c r="Q1088" i="1"/>
  <c r="R1088" i="1"/>
  <c r="S1088" i="1"/>
  <c r="Q1118" i="1"/>
  <c r="R1118" i="1"/>
  <c r="S1118" i="1"/>
  <c r="Q1027" i="1"/>
  <c r="R1027" i="1"/>
  <c r="S1027" i="1"/>
  <c r="Q1089" i="1"/>
  <c r="R1089" i="1"/>
  <c r="S1089" i="1"/>
  <c r="Q1119" i="1"/>
  <c r="R1119" i="1"/>
  <c r="S1119" i="1"/>
  <c r="Q1028" i="1"/>
  <c r="R1028" i="1"/>
  <c r="S1028" i="1"/>
  <c r="Q1090" i="1"/>
  <c r="R1090" i="1"/>
  <c r="S1090" i="1"/>
  <c r="Q1120" i="1"/>
  <c r="R1120" i="1"/>
  <c r="S1120" i="1"/>
  <c r="Q1029" i="1"/>
  <c r="R1029" i="1"/>
  <c r="S1029" i="1"/>
  <c r="Q1091" i="1"/>
  <c r="R1091" i="1"/>
  <c r="S1091" i="1"/>
  <c r="Q1121" i="1"/>
  <c r="R1121" i="1"/>
  <c r="S1121" i="1"/>
  <c r="Q1030" i="1"/>
  <c r="R1030" i="1"/>
  <c r="S1030" i="1"/>
  <c r="Q1092" i="1"/>
  <c r="R1092" i="1"/>
  <c r="S1092" i="1"/>
  <c r="Q1122" i="1"/>
  <c r="R1122" i="1"/>
  <c r="S1122" i="1"/>
  <c r="Q1031" i="1"/>
  <c r="R1031" i="1"/>
  <c r="S1031" i="1"/>
  <c r="Q1093" i="1"/>
  <c r="R1093" i="1"/>
  <c r="S1093" i="1"/>
  <c r="Q1123" i="1"/>
  <c r="R1123" i="1"/>
  <c r="S1123" i="1"/>
  <c r="Q1032" i="1"/>
  <c r="R1032" i="1"/>
  <c r="S1032" i="1"/>
  <c r="Q1094" i="1"/>
  <c r="R1094" i="1"/>
  <c r="S1094" i="1"/>
  <c r="Q1124" i="1"/>
  <c r="R1124" i="1"/>
  <c r="S1124" i="1"/>
  <c r="Q1033" i="1"/>
  <c r="R1033" i="1"/>
  <c r="S1033" i="1"/>
  <c r="Q1095" i="1"/>
  <c r="R1095" i="1"/>
  <c r="S1095" i="1"/>
  <c r="Q1125" i="1"/>
  <c r="R1125" i="1"/>
  <c r="S1125" i="1"/>
  <c r="Q1034" i="1"/>
  <c r="R1034" i="1"/>
  <c r="S1034" i="1"/>
  <c r="Q1096" i="1"/>
  <c r="R1096" i="1"/>
  <c r="S1096" i="1"/>
  <c r="Q1126" i="1"/>
  <c r="R1126" i="1"/>
  <c r="S1126" i="1"/>
  <c r="Q1036" i="1"/>
  <c r="R1036" i="1"/>
  <c r="S1036" i="1"/>
  <c r="Q1097" i="1"/>
  <c r="R1097" i="1"/>
  <c r="S1097" i="1"/>
  <c r="Q1127" i="1"/>
  <c r="R1127" i="1"/>
  <c r="S1127" i="1"/>
  <c r="Q1037" i="1"/>
  <c r="R1037" i="1"/>
  <c r="S1037" i="1"/>
  <c r="Q1098" i="1"/>
  <c r="R1098" i="1"/>
  <c r="S1098" i="1"/>
  <c r="Q1128" i="1"/>
  <c r="R1128" i="1"/>
  <c r="S1128" i="1"/>
  <c r="Q1038" i="1"/>
  <c r="R1038" i="1"/>
  <c r="S1038" i="1"/>
  <c r="Q1099" i="1"/>
  <c r="R1099" i="1"/>
  <c r="S1099" i="1"/>
  <c r="Q1129" i="1"/>
  <c r="R1129" i="1"/>
  <c r="S1129" i="1"/>
  <c r="Q1040" i="1"/>
  <c r="R1040" i="1"/>
  <c r="S1040" i="1"/>
  <c r="Q1100" i="1"/>
  <c r="R1100" i="1"/>
  <c r="S1100" i="1"/>
  <c r="Q1130" i="1"/>
  <c r="R1130" i="1"/>
  <c r="S1130" i="1"/>
  <c r="Q1041" i="1"/>
  <c r="R1041" i="1"/>
  <c r="S1041" i="1"/>
  <c r="Q1101" i="1"/>
  <c r="R1101" i="1"/>
  <c r="S1101" i="1"/>
  <c r="Q1131" i="1"/>
  <c r="R1131" i="1"/>
  <c r="S1131" i="1"/>
  <c r="Q613" i="1"/>
  <c r="R613" i="1"/>
  <c r="S613" i="1"/>
  <c r="Q1046" i="1"/>
  <c r="R1046" i="1"/>
  <c r="S1046" i="1"/>
  <c r="Q112" i="1"/>
  <c r="R112" i="1"/>
  <c r="S112" i="1"/>
  <c r="Q1068" i="1"/>
  <c r="R1068" i="1"/>
  <c r="S1068" i="1"/>
  <c r="Q557" i="1"/>
  <c r="R557" i="1"/>
  <c r="S557" i="1"/>
  <c r="Q1062" i="1"/>
  <c r="R1062" i="1"/>
  <c r="S1062" i="1"/>
  <c r="Q50" i="1"/>
  <c r="R50" i="1"/>
  <c r="S50" i="1"/>
  <c r="Q1048" i="1"/>
  <c r="R1048" i="1"/>
  <c r="S1048" i="1"/>
  <c r="Q358" i="1"/>
  <c r="R358" i="1"/>
  <c r="S358" i="1"/>
  <c r="Q1056" i="1"/>
  <c r="R1056" i="1"/>
  <c r="S1056" i="1"/>
  <c r="Q148" i="1"/>
  <c r="R148" i="1"/>
  <c r="S148" i="1"/>
  <c r="Q1063" i="1"/>
  <c r="R1063" i="1"/>
  <c r="S1063" i="1"/>
  <c r="Q423" i="1"/>
  <c r="R423" i="1"/>
  <c r="S423" i="1"/>
  <c r="Q1051" i="1"/>
  <c r="R1051" i="1"/>
  <c r="S1051" i="1"/>
  <c r="S1053" i="1"/>
  <c r="R1053" i="1"/>
  <c r="Q1053" i="1"/>
  <c r="S430" i="1"/>
  <c r="R430" i="1"/>
  <c r="Q430" i="1"/>
  <c r="S1061" i="1"/>
  <c r="R1061" i="1"/>
  <c r="Q1061" i="1"/>
  <c r="S130" i="1"/>
  <c r="R130" i="1"/>
  <c r="Q130" i="1"/>
  <c r="S1047" i="1"/>
  <c r="R1047" i="1"/>
  <c r="Q1047" i="1"/>
  <c r="S833" i="1"/>
  <c r="R833" i="1"/>
  <c r="Q833" i="1"/>
  <c r="S1043" i="1"/>
  <c r="R1043" i="1"/>
  <c r="Q1043" i="1"/>
  <c r="S67" i="1"/>
  <c r="R67" i="1"/>
  <c r="Q67" i="1"/>
  <c r="S1066" i="1"/>
  <c r="R1066" i="1"/>
  <c r="Q1066" i="1"/>
  <c r="S211" i="1"/>
  <c r="R211" i="1"/>
  <c r="Q211" i="1"/>
  <c r="S1069" i="1"/>
  <c r="R1069" i="1"/>
  <c r="Q1069" i="1"/>
  <c r="S577" i="1"/>
  <c r="R577" i="1"/>
  <c r="Q577" i="1"/>
  <c r="S1055" i="1"/>
  <c r="R1055" i="1"/>
  <c r="Q1055" i="1"/>
  <c r="S247" i="1"/>
  <c r="R247" i="1"/>
  <c r="Q247" i="1"/>
  <c r="S1060" i="1"/>
  <c r="R1060" i="1"/>
  <c r="Q1060" i="1"/>
  <c r="S265" i="1"/>
  <c r="R265" i="1"/>
  <c r="Q265" i="1"/>
  <c r="S1059" i="1"/>
  <c r="R1059" i="1"/>
  <c r="Q1059" i="1"/>
  <c r="S340" i="1"/>
  <c r="R340" i="1"/>
  <c r="Q340" i="1"/>
  <c r="S1045" i="1"/>
  <c r="R1045" i="1"/>
  <c r="Q1045" i="1"/>
  <c r="S238" i="1"/>
  <c r="R238" i="1"/>
  <c r="Q238" i="1"/>
  <c r="S1052" i="1"/>
  <c r="R1052" i="1"/>
  <c r="Q1052" i="1"/>
  <c r="S971" i="1"/>
  <c r="R971" i="1"/>
  <c r="Q971" i="1"/>
  <c r="S1071" i="1"/>
  <c r="R1071" i="1"/>
  <c r="Q1071" i="1"/>
  <c r="S448" i="1"/>
  <c r="R448" i="1"/>
  <c r="Q448" i="1"/>
  <c r="S1050" i="1"/>
  <c r="R1050" i="1"/>
  <c r="Q1050" i="1"/>
  <c r="S59" i="1"/>
  <c r="R59" i="1"/>
  <c r="Q59" i="1"/>
  <c r="S1067" i="1"/>
  <c r="R1067" i="1"/>
  <c r="Q1067" i="1"/>
  <c r="S175" i="1"/>
  <c r="R175" i="1"/>
  <c r="Q175" i="1"/>
  <c r="S1058" i="1"/>
  <c r="R1058" i="1"/>
  <c r="Q1058" i="1"/>
  <c r="S94" i="1"/>
  <c r="R94" i="1"/>
  <c r="Q94" i="1"/>
  <c r="S1054" i="1"/>
  <c r="R1054" i="1"/>
  <c r="Q1054" i="1"/>
  <c r="S394" i="1"/>
  <c r="R394" i="1"/>
  <c r="Q394" i="1"/>
  <c r="S1042" i="1"/>
  <c r="R1042" i="1"/>
  <c r="Q1042" i="1"/>
  <c r="S457" i="1"/>
  <c r="R457" i="1"/>
  <c r="Q457" i="1"/>
  <c r="S1057" i="1"/>
  <c r="R1057" i="1"/>
  <c r="Q1057" i="1"/>
  <c r="S139" i="1"/>
  <c r="R139" i="1"/>
  <c r="Q139" i="1"/>
  <c r="S1065" i="1"/>
  <c r="R1065" i="1"/>
  <c r="Q1065" i="1"/>
  <c r="S61" i="1"/>
  <c r="R61" i="1"/>
  <c r="Q61" i="1"/>
  <c r="S1070" i="1"/>
  <c r="R1070" i="1"/>
  <c r="Q1070" i="1"/>
  <c r="S385" i="1"/>
  <c r="R385" i="1"/>
  <c r="Q385" i="1"/>
  <c r="S1044" i="1"/>
  <c r="R1044" i="1"/>
  <c r="Q1044" i="1"/>
  <c r="S622" i="1"/>
  <c r="R622" i="1"/>
  <c r="Q622" i="1"/>
  <c r="S1064" i="1"/>
  <c r="R1064" i="1"/>
  <c r="Q1064" i="1"/>
  <c r="S76" i="1"/>
  <c r="R76" i="1"/>
  <c r="Q76" i="1"/>
  <c r="S1049" i="1"/>
  <c r="R1049" i="1"/>
  <c r="Q1049" i="1"/>
  <c r="S313" i="1"/>
  <c r="R313" i="1"/>
  <c r="Q313" i="1"/>
  <c r="S975" i="1"/>
  <c r="R975" i="1"/>
  <c r="Q975" i="1"/>
  <c r="S342" i="1"/>
  <c r="R342" i="1"/>
  <c r="Q342" i="1"/>
  <c r="S256" i="1"/>
  <c r="R256" i="1"/>
  <c r="Q256" i="1"/>
  <c r="S910" i="1"/>
  <c r="R910" i="1"/>
  <c r="Q910" i="1"/>
  <c r="S967" i="1"/>
  <c r="R967" i="1"/>
  <c r="Q967" i="1"/>
  <c r="S795" i="1"/>
  <c r="R795" i="1"/>
  <c r="Q795" i="1"/>
  <c r="S826" i="1"/>
  <c r="R826" i="1"/>
  <c r="Q826" i="1"/>
  <c r="S730" i="1"/>
  <c r="R730" i="1"/>
  <c r="Q730" i="1"/>
  <c r="S895" i="1"/>
  <c r="R895" i="1"/>
  <c r="Q895" i="1"/>
  <c r="S549" i="1"/>
  <c r="R549" i="1"/>
  <c r="Q549" i="1"/>
  <c r="S1002" i="1"/>
  <c r="R1002" i="1"/>
  <c r="Q1002" i="1"/>
  <c r="S1152" i="1"/>
  <c r="R1152" i="1"/>
  <c r="Q1152" i="1"/>
  <c r="S891" i="1"/>
  <c r="R891" i="1"/>
  <c r="Q891" i="1"/>
  <c r="S186" i="1"/>
  <c r="R186" i="1"/>
  <c r="Q186" i="1"/>
  <c r="S970" i="1"/>
  <c r="R970" i="1"/>
  <c r="Q970" i="1"/>
  <c r="S886" i="1"/>
  <c r="R886" i="1"/>
  <c r="Q886" i="1"/>
  <c r="S823" i="1"/>
  <c r="R823" i="1"/>
  <c r="Q823" i="1"/>
  <c r="S938" i="1"/>
  <c r="R938" i="1"/>
  <c r="Q938" i="1"/>
  <c r="S493" i="1"/>
  <c r="R493" i="1"/>
  <c r="Q493" i="1"/>
  <c r="S978" i="1"/>
  <c r="R978" i="1"/>
  <c r="Q978" i="1"/>
  <c r="S821" i="1"/>
  <c r="R821" i="1"/>
  <c r="Q821" i="1"/>
  <c r="S922" i="1"/>
  <c r="R922" i="1"/>
  <c r="Q922" i="1"/>
  <c r="S1132" i="1"/>
  <c r="R1132" i="1"/>
  <c r="Q1132" i="1"/>
  <c r="S1188" i="1"/>
  <c r="R1188" i="1"/>
  <c r="Q1188" i="1"/>
  <c r="Q694" i="1"/>
  <c r="R694" i="1"/>
  <c r="S694" i="1"/>
  <c r="Q529" i="1"/>
  <c r="R529" i="1"/>
  <c r="S529" i="1"/>
  <c r="Q840" i="1"/>
  <c r="R840" i="1"/>
  <c r="S840" i="1"/>
  <c r="Q141" i="1"/>
  <c r="R141" i="1"/>
  <c r="S141" i="1"/>
  <c r="Q973" i="1"/>
  <c r="R973" i="1"/>
  <c r="S973" i="1"/>
  <c r="Q52" i="1"/>
  <c r="R52" i="1"/>
  <c r="S52" i="1"/>
  <c r="Q844" i="1"/>
  <c r="R844" i="1"/>
  <c r="S844" i="1"/>
  <c r="Q204" i="1"/>
  <c r="R204" i="1"/>
  <c r="S204" i="1"/>
  <c r="Q994" i="1"/>
  <c r="R994" i="1"/>
  <c r="S994" i="1"/>
  <c r="Q793" i="1"/>
  <c r="R793" i="1"/>
  <c r="S793" i="1"/>
  <c r="Q848" i="1"/>
  <c r="R848" i="1"/>
  <c r="S848" i="1"/>
  <c r="Q306" i="1"/>
  <c r="R306" i="1"/>
  <c r="S306" i="1"/>
  <c r="Q669" i="1"/>
  <c r="R669" i="1"/>
  <c r="S669" i="1"/>
  <c r="Q213" i="1"/>
  <c r="R213" i="1"/>
  <c r="S213" i="1"/>
  <c r="Q852" i="1"/>
  <c r="R852" i="1"/>
  <c r="S852" i="1"/>
  <c r="Q315" i="1"/>
  <c r="R315" i="1"/>
  <c r="S315" i="1"/>
  <c r="Q890" i="1"/>
  <c r="R890" i="1"/>
  <c r="S890" i="1"/>
  <c r="Q685" i="1"/>
  <c r="R685" i="1"/>
  <c r="S685" i="1"/>
  <c r="Q856" i="1"/>
  <c r="R856" i="1"/>
  <c r="S856" i="1"/>
  <c r="Q387" i="1"/>
  <c r="R387" i="1"/>
  <c r="S387" i="1"/>
  <c r="Q867" i="1"/>
  <c r="R867" i="1"/>
  <c r="S867" i="1"/>
  <c r="Q324" i="1"/>
  <c r="R324" i="1"/>
  <c r="S324" i="1"/>
  <c r="Q860" i="1"/>
  <c r="R860" i="1"/>
  <c r="S860" i="1"/>
  <c r="Q414" i="1"/>
  <c r="R414" i="1"/>
  <c r="S414" i="1"/>
  <c r="Q950" i="1"/>
  <c r="R950" i="1"/>
  <c r="S950" i="1"/>
  <c r="Q822" i="1"/>
  <c r="R822" i="1"/>
  <c r="S822" i="1"/>
  <c r="Q864" i="1"/>
  <c r="R864" i="1"/>
  <c r="S864" i="1"/>
  <c r="Q477" i="1"/>
  <c r="R477" i="1"/>
  <c r="S477" i="1"/>
  <c r="Q642" i="1"/>
  <c r="R642" i="1"/>
  <c r="S642" i="1"/>
  <c r="Q579" i="1"/>
  <c r="R579" i="1"/>
  <c r="S579" i="1"/>
  <c r="Q868" i="1"/>
  <c r="R868" i="1"/>
  <c r="S868" i="1"/>
  <c r="Q531" i="1"/>
  <c r="R531" i="1"/>
  <c r="S531" i="1"/>
  <c r="Q962" i="1"/>
  <c r="R962" i="1"/>
  <c r="S962" i="1"/>
  <c r="Q870" i="1"/>
  <c r="R870" i="1"/>
  <c r="S870" i="1"/>
  <c r="Q872" i="1"/>
  <c r="R872" i="1"/>
  <c r="S872" i="1"/>
  <c r="Q723" i="1"/>
  <c r="R723" i="1"/>
  <c r="S723" i="1"/>
  <c r="Q843" i="1"/>
  <c r="R843" i="1"/>
  <c r="S843" i="1"/>
  <c r="Q820" i="1"/>
  <c r="R820" i="1"/>
  <c r="S820" i="1"/>
  <c r="Q876" i="1"/>
  <c r="R876" i="1"/>
  <c r="S876" i="1"/>
  <c r="Q768" i="1"/>
  <c r="R768" i="1"/>
  <c r="S768" i="1"/>
  <c r="Q836" i="1"/>
  <c r="R836" i="1"/>
  <c r="S836" i="1"/>
  <c r="Q376" i="1"/>
  <c r="R376" i="1"/>
  <c r="S376" i="1"/>
  <c r="Q880" i="1"/>
  <c r="R880" i="1"/>
  <c r="S880" i="1"/>
  <c r="Q845" i="1"/>
  <c r="R845" i="1"/>
  <c r="S845" i="1"/>
  <c r="Q559" i="1"/>
  <c r="R559" i="1"/>
  <c r="S559" i="1"/>
  <c r="Q839" i="1"/>
  <c r="R839" i="1"/>
  <c r="S839" i="1"/>
  <c r="Q884" i="1"/>
  <c r="R884" i="1"/>
  <c r="S884" i="1"/>
  <c r="Q847" i="1"/>
  <c r="R847" i="1"/>
  <c r="S847" i="1"/>
  <c r="Q1217" i="1"/>
  <c r="R1217" i="1"/>
  <c r="S1217" i="1"/>
  <c r="Q1198" i="1"/>
  <c r="R1198" i="1"/>
  <c r="S1198" i="1"/>
  <c r="Q888" i="1"/>
  <c r="R888" i="1"/>
  <c r="S888" i="1"/>
  <c r="Q853" i="1"/>
  <c r="R853" i="1"/>
  <c r="S853" i="1"/>
  <c r="Q286" i="1"/>
  <c r="R286" i="1"/>
  <c r="S286" i="1"/>
  <c r="Q857" i="1"/>
  <c r="R857" i="1"/>
  <c r="S857" i="1"/>
  <c r="Q892" i="1"/>
  <c r="R892" i="1"/>
  <c r="S892" i="1"/>
  <c r="Q855" i="1"/>
  <c r="R855" i="1"/>
  <c r="S855" i="1"/>
  <c r="Q866" i="1"/>
  <c r="R866" i="1"/>
  <c r="S866" i="1"/>
  <c r="Q349" i="1"/>
  <c r="R349" i="1"/>
  <c r="S349" i="1"/>
  <c r="Q896" i="1"/>
  <c r="R896" i="1"/>
  <c r="S896" i="1"/>
  <c r="Q865" i="1"/>
  <c r="R865" i="1"/>
  <c r="S865" i="1"/>
  <c r="Q850" i="1"/>
  <c r="R850" i="1"/>
  <c r="S850" i="1"/>
  <c r="Q861" i="1"/>
  <c r="R861" i="1"/>
  <c r="S861" i="1"/>
  <c r="Q900" i="1"/>
  <c r="R900" i="1"/>
  <c r="S900" i="1"/>
  <c r="Q869" i="1"/>
  <c r="R869" i="1"/>
  <c r="S869" i="1"/>
  <c r="Q1143" i="1"/>
  <c r="R1143" i="1"/>
  <c r="S1143" i="1"/>
  <c r="Q958" i="1"/>
  <c r="R958" i="1"/>
  <c r="S958" i="1"/>
  <c r="Q904" i="1"/>
  <c r="R904" i="1"/>
  <c r="S904" i="1"/>
  <c r="Q873" i="1"/>
  <c r="R873" i="1"/>
  <c r="S873" i="1"/>
  <c r="Q804" i="1"/>
  <c r="R804" i="1"/>
  <c r="S804" i="1"/>
  <c r="Q879" i="1"/>
  <c r="R879" i="1"/>
  <c r="S879" i="1"/>
  <c r="Q908" i="1"/>
  <c r="R908" i="1"/>
  <c r="S908" i="1"/>
  <c r="Q877" i="1"/>
  <c r="R877" i="1"/>
  <c r="S877" i="1"/>
  <c r="Q918" i="1"/>
  <c r="R918" i="1"/>
  <c r="S918" i="1"/>
  <c r="Q466" i="1"/>
  <c r="R466" i="1"/>
  <c r="S466" i="1"/>
  <c r="Q912" i="1"/>
  <c r="R912" i="1"/>
  <c r="S912" i="1"/>
  <c r="Q887" i="1"/>
  <c r="R887" i="1"/>
  <c r="S887" i="1"/>
  <c r="Q651" i="1"/>
  <c r="R651" i="1"/>
  <c r="S651" i="1"/>
  <c r="Q881" i="1"/>
  <c r="R881" i="1"/>
  <c r="S881" i="1"/>
  <c r="Q916" i="1"/>
  <c r="R916" i="1"/>
  <c r="S916" i="1"/>
  <c r="Q889" i="1"/>
  <c r="R889" i="1"/>
  <c r="S889" i="1"/>
  <c r="Q976" i="1"/>
  <c r="R976" i="1"/>
  <c r="S976" i="1"/>
  <c r="Q947" i="1"/>
  <c r="R947" i="1"/>
  <c r="S947" i="1"/>
  <c r="Q920" i="1"/>
  <c r="R920" i="1"/>
  <c r="S920" i="1"/>
  <c r="Q919" i="1"/>
  <c r="R919" i="1"/>
  <c r="S919" i="1"/>
  <c r="Q827" i="1"/>
  <c r="R827" i="1"/>
  <c r="S827" i="1"/>
  <c r="Q913" i="1"/>
  <c r="R913" i="1"/>
  <c r="S913" i="1"/>
  <c r="Q924" i="1"/>
  <c r="R924" i="1"/>
  <c r="S924" i="1"/>
  <c r="Q921" i="1"/>
  <c r="R921" i="1"/>
  <c r="S921" i="1"/>
  <c r="Q894" i="1"/>
  <c r="R894" i="1"/>
  <c r="S894" i="1"/>
  <c r="Q954" i="1"/>
  <c r="R954" i="1"/>
  <c r="S954" i="1"/>
  <c r="Q928" i="1"/>
  <c r="R928" i="1"/>
  <c r="S928" i="1"/>
  <c r="Q929" i="1"/>
  <c r="R929" i="1"/>
  <c r="S929" i="1"/>
  <c r="Q159" i="1"/>
  <c r="R159" i="1"/>
  <c r="S159" i="1"/>
  <c r="Q925" i="1"/>
  <c r="R925" i="1"/>
  <c r="S925" i="1"/>
  <c r="Q932" i="1"/>
  <c r="R932" i="1"/>
  <c r="S932" i="1"/>
  <c r="Q933" i="1"/>
  <c r="R933" i="1"/>
  <c r="S933" i="1"/>
  <c r="Q1221" i="1"/>
  <c r="R1221" i="1"/>
  <c r="S1221" i="1"/>
  <c r="Q945" i="1"/>
  <c r="R945" i="1"/>
  <c r="S945" i="1"/>
  <c r="Q936" i="1"/>
  <c r="R936" i="1"/>
  <c r="S936" i="1"/>
  <c r="Q941" i="1"/>
  <c r="R941" i="1"/>
  <c r="S941" i="1"/>
  <c r="Q378" i="1"/>
  <c r="R378" i="1"/>
  <c r="S378" i="1"/>
  <c r="Q935" i="1"/>
  <c r="R935" i="1"/>
  <c r="S935" i="1"/>
  <c r="Q940" i="1"/>
  <c r="R940" i="1"/>
  <c r="S940" i="1"/>
  <c r="Q943" i="1"/>
  <c r="R943" i="1"/>
  <c r="S943" i="1"/>
  <c r="Q1004" i="1"/>
  <c r="R1004" i="1"/>
  <c r="S1004" i="1"/>
  <c r="Q835" i="1"/>
  <c r="R835" i="1"/>
  <c r="S835" i="1"/>
  <c r="Q944" i="1"/>
  <c r="R944" i="1"/>
  <c r="S944" i="1"/>
  <c r="Q949" i="1"/>
  <c r="R949" i="1"/>
  <c r="S949" i="1"/>
  <c r="Q588" i="1"/>
  <c r="R588" i="1"/>
  <c r="S588" i="1"/>
  <c r="Q953" i="1"/>
  <c r="R953" i="1"/>
  <c r="S953" i="1"/>
  <c r="Q948" i="1"/>
  <c r="R948" i="1"/>
  <c r="S948" i="1"/>
  <c r="Q951" i="1"/>
  <c r="R951" i="1"/>
  <c r="S951" i="1"/>
  <c r="Q658" i="1"/>
  <c r="R658" i="1"/>
  <c r="S658" i="1"/>
  <c r="Q838" i="1"/>
  <c r="R838" i="1"/>
  <c r="S838" i="1"/>
  <c r="Q952" i="1"/>
  <c r="R952" i="1"/>
  <c r="S952" i="1"/>
  <c r="Q963" i="1"/>
  <c r="R963" i="1"/>
  <c r="S963" i="1"/>
  <c r="Q696" i="1"/>
  <c r="R696" i="1"/>
  <c r="S696" i="1"/>
  <c r="Q957" i="1"/>
  <c r="R957" i="1"/>
  <c r="S957" i="1"/>
  <c r="Q956" i="1"/>
  <c r="R956" i="1"/>
  <c r="S956" i="1"/>
  <c r="Q964" i="1"/>
  <c r="R964" i="1"/>
  <c r="S964" i="1"/>
  <c r="Q832" i="1"/>
  <c r="R832" i="1"/>
  <c r="S832" i="1"/>
  <c r="Q828" i="1"/>
  <c r="R828" i="1"/>
  <c r="S828" i="1"/>
  <c r="Q992" i="1"/>
  <c r="R992" i="1"/>
  <c r="S992" i="1"/>
  <c r="Q830" i="1"/>
  <c r="R830" i="1"/>
  <c r="S830" i="1"/>
  <c r="Q439" i="1"/>
  <c r="R439" i="1"/>
  <c r="S439" i="1"/>
  <c r="Q834" i="1"/>
  <c r="R834" i="1"/>
  <c r="S834" i="1"/>
  <c r="Q1241" i="1"/>
  <c r="R1241" i="1"/>
  <c r="S1241" i="1"/>
  <c r="Q901" i="1"/>
  <c r="R901" i="1"/>
  <c r="S901" i="1"/>
  <c r="Q748" i="1"/>
  <c r="R748" i="1"/>
  <c r="S748" i="1"/>
  <c r="Q905" i="1"/>
  <c r="R905" i="1"/>
  <c r="S905" i="1"/>
  <c r="Q979" i="1"/>
  <c r="R979" i="1"/>
  <c r="S979" i="1"/>
  <c r="Q909" i="1"/>
  <c r="R909" i="1"/>
  <c r="S909" i="1"/>
  <c r="Q937" i="1"/>
  <c r="R937" i="1"/>
  <c r="S937" i="1"/>
  <c r="Q989" i="1"/>
  <c r="R989" i="1"/>
  <c r="S989" i="1"/>
  <c r="Q899" i="1"/>
  <c r="R899" i="1"/>
  <c r="S899" i="1"/>
  <c r="Q993" i="1"/>
  <c r="R993" i="1"/>
  <c r="S993" i="1"/>
  <c r="Q712" i="1"/>
  <c r="R712" i="1"/>
  <c r="S712" i="1"/>
  <c r="Q1009" i="1"/>
  <c r="R1009" i="1"/>
  <c r="S1009" i="1"/>
  <c r="Q569" i="1"/>
  <c r="R569" i="1"/>
  <c r="S569" i="1"/>
  <c r="Q628" i="1"/>
  <c r="R628" i="1"/>
  <c r="S628" i="1"/>
  <c r="Q629" i="1"/>
  <c r="R629" i="1"/>
  <c r="S629" i="1"/>
  <c r="Q686" i="1"/>
  <c r="R686" i="1"/>
  <c r="S686" i="1"/>
  <c r="Q695" i="1"/>
  <c r="R695" i="1"/>
  <c r="S695" i="1"/>
  <c r="Q687" i="1"/>
  <c r="R687" i="1"/>
  <c r="S687" i="1"/>
  <c r="Q707" i="1"/>
  <c r="R707" i="1"/>
  <c r="S707" i="1"/>
  <c r="Q708" i="1"/>
  <c r="R708" i="1"/>
  <c r="S708" i="1"/>
  <c r="Q709" i="1"/>
  <c r="R709" i="1"/>
  <c r="S709" i="1"/>
  <c r="Q134" i="1"/>
  <c r="R134" i="1"/>
  <c r="S134" i="1"/>
  <c r="Q117" i="1"/>
  <c r="R117" i="1"/>
  <c r="S117" i="1"/>
  <c r="Q206" i="1"/>
  <c r="R206" i="1"/>
  <c r="S206" i="1"/>
  <c r="Q24" i="1"/>
  <c r="R24" i="1"/>
  <c r="S24" i="1"/>
  <c r="Q215" i="1"/>
  <c r="R215" i="1"/>
  <c r="S215" i="1"/>
  <c r="Q217" i="1"/>
  <c r="R217" i="1"/>
  <c r="S217" i="1"/>
  <c r="Q218" i="1"/>
  <c r="R218" i="1"/>
  <c r="S218" i="1"/>
  <c r="Q14" i="1"/>
  <c r="R14" i="1"/>
  <c r="S14" i="1"/>
  <c r="Q243" i="1"/>
  <c r="R243" i="1"/>
  <c r="S243" i="1"/>
  <c r="Q225" i="1"/>
  <c r="R225" i="1"/>
  <c r="S225" i="1"/>
  <c r="Q227" i="1"/>
  <c r="R227" i="1"/>
  <c r="S227" i="1"/>
  <c r="Q252" i="1"/>
  <c r="R252" i="1"/>
  <c r="S252" i="1"/>
  <c r="Q255" i="1"/>
  <c r="R255" i="1"/>
  <c r="S255" i="1"/>
  <c r="Q317" i="1"/>
  <c r="R317" i="1"/>
  <c r="S317" i="1"/>
  <c r="Q318" i="1"/>
  <c r="R318" i="1"/>
  <c r="S318" i="1"/>
  <c r="Q276" i="1"/>
  <c r="R276" i="1"/>
  <c r="S276" i="1"/>
  <c r="Q344" i="1"/>
  <c r="R344" i="1"/>
  <c r="S344" i="1"/>
  <c r="Q377" i="1"/>
  <c r="R377" i="1"/>
  <c r="S377" i="1"/>
  <c r="Q168" i="1"/>
  <c r="R168" i="1"/>
  <c r="S168" i="1"/>
  <c r="Q384" i="1"/>
  <c r="R384" i="1"/>
  <c r="S384" i="1"/>
  <c r="Q435" i="1"/>
  <c r="R435" i="1"/>
  <c r="S435" i="1"/>
  <c r="Q436" i="1"/>
  <c r="R436" i="1"/>
  <c r="S436" i="1"/>
  <c r="Q427" i="1"/>
  <c r="R427" i="1"/>
  <c r="S427" i="1"/>
  <c r="Q578" i="1"/>
  <c r="R578" i="1"/>
  <c r="S578" i="1"/>
  <c r="Q589" i="1"/>
  <c r="R589" i="1"/>
  <c r="S589" i="1"/>
  <c r="Q616" i="1"/>
  <c r="R616" i="1"/>
  <c r="S616" i="1"/>
  <c r="Q697" i="1"/>
  <c r="R697" i="1"/>
  <c r="S697" i="1"/>
  <c r="Q195" i="1"/>
  <c r="R195" i="1"/>
  <c r="S195" i="1"/>
  <c r="Q797" i="1"/>
  <c r="R797" i="1"/>
  <c r="S797" i="1"/>
  <c r="Q819" i="1"/>
  <c r="R819" i="1"/>
  <c r="S819" i="1"/>
  <c r="Q1001" i="1"/>
  <c r="R1001" i="1"/>
  <c r="S1001" i="1"/>
  <c r="Q495" i="1"/>
  <c r="R495" i="1"/>
  <c r="S495" i="1"/>
  <c r="Q135" i="1"/>
  <c r="R135" i="1"/>
  <c r="S135" i="1"/>
  <c r="Q160" i="1"/>
  <c r="R160" i="1"/>
  <c r="S160" i="1"/>
  <c r="Q153" i="1"/>
  <c r="R153" i="1"/>
  <c r="S153" i="1"/>
  <c r="Q145" i="1"/>
  <c r="R145" i="1"/>
  <c r="S145" i="1"/>
  <c r="Q185" i="1"/>
  <c r="R185" i="1"/>
  <c r="S185" i="1"/>
  <c r="Q212" i="1"/>
  <c r="R212" i="1"/>
  <c r="S212" i="1"/>
  <c r="Q1222" i="1"/>
  <c r="R1222" i="1"/>
  <c r="S1222" i="1"/>
  <c r="Q239" i="1"/>
  <c r="R239" i="1"/>
  <c r="S239" i="1"/>
  <c r="Q224" i="1"/>
  <c r="R224" i="1"/>
  <c r="S224" i="1"/>
  <c r="Q246" i="1"/>
  <c r="R246" i="1"/>
  <c r="S246" i="1"/>
  <c r="Q251" i="1"/>
  <c r="R251" i="1"/>
  <c r="S251" i="1"/>
  <c r="Q272" i="1"/>
  <c r="R272" i="1"/>
  <c r="S272" i="1"/>
  <c r="Q254" i="1"/>
  <c r="R254" i="1"/>
  <c r="S254" i="1"/>
  <c r="Q332" i="1"/>
  <c r="R332" i="1"/>
  <c r="S332" i="1"/>
  <c r="Q522" i="1"/>
  <c r="R522" i="1"/>
  <c r="S522" i="1"/>
  <c r="Q334" i="1"/>
  <c r="R334" i="1"/>
  <c r="S334" i="1"/>
  <c r="Q354" i="1"/>
  <c r="R354" i="1"/>
  <c r="S354" i="1"/>
  <c r="Q345" i="1"/>
  <c r="R345" i="1"/>
  <c r="S345" i="1"/>
  <c r="Q337" i="1"/>
  <c r="R337" i="1"/>
  <c r="S337" i="1"/>
  <c r="Q784" i="1"/>
  <c r="R784" i="1"/>
  <c r="S784" i="1"/>
  <c r="Q368" i="1"/>
  <c r="R368" i="1"/>
  <c r="S368" i="1"/>
  <c r="Q759" i="1"/>
  <c r="R759" i="1"/>
  <c r="S759" i="1"/>
  <c r="Q606" i="1"/>
  <c r="R606" i="1"/>
  <c r="S606" i="1"/>
  <c r="Q370" i="1"/>
  <c r="R370" i="1"/>
  <c r="S370" i="1"/>
  <c r="Q413" i="1"/>
  <c r="R413" i="1"/>
  <c r="S413" i="1"/>
  <c r="Q468" i="1"/>
  <c r="R468" i="1"/>
  <c r="S468" i="1"/>
  <c r="Q433" i="1"/>
  <c r="R433" i="1"/>
  <c r="S433" i="1"/>
  <c r="Q415" i="1"/>
  <c r="R415" i="1"/>
  <c r="S415" i="1"/>
  <c r="Q417" i="1"/>
  <c r="R417" i="1"/>
  <c r="S417" i="1"/>
  <c r="Q438" i="1"/>
  <c r="R438" i="1"/>
  <c r="S438" i="1"/>
  <c r="Q369" i="1"/>
  <c r="R369" i="1"/>
  <c r="S369" i="1"/>
  <c r="Q1231" i="1"/>
  <c r="R1231" i="1"/>
  <c r="S1231" i="1"/>
  <c r="Q543" i="1"/>
  <c r="R543" i="1"/>
  <c r="S543" i="1"/>
  <c r="Q546" i="1"/>
  <c r="R546" i="1"/>
  <c r="S546" i="1"/>
  <c r="Q548" i="1"/>
  <c r="R548" i="1"/>
  <c r="S548" i="1"/>
  <c r="Q333" i="1"/>
  <c r="R333" i="1"/>
  <c r="S333" i="1"/>
  <c r="Q550" i="1"/>
  <c r="R550" i="1"/>
  <c r="S550" i="1"/>
  <c r="Q551" i="1"/>
  <c r="R551" i="1"/>
  <c r="S551" i="1"/>
  <c r="Q553" i="1"/>
  <c r="R553" i="1"/>
  <c r="S553" i="1"/>
  <c r="Q556" i="1"/>
  <c r="R556" i="1"/>
  <c r="S556" i="1"/>
  <c r="Q592" i="1"/>
  <c r="R592" i="1"/>
  <c r="S592" i="1"/>
  <c r="Q598" i="1"/>
  <c r="R598" i="1"/>
  <c r="S598" i="1"/>
  <c r="Q600" i="1"/>
  <c r="R600" i="1"/>
  <c r="S600" i="1"/>
  <c r="Q601" i="1"/>
  <c r="R601" i="1"/>
  <c r="S601" i="1"/>
  <c r="Q603" i="1"/>
  <c r="R603" i="1"/>
  <c r="S603" i="1"/>
  <c r="Q620" i="1"/>
  <c r="R620" i="1"/>
  <c r="S620" i="1"/>
  <c r="Q621" i="1"/>
  <c r="R621" i="1"/>
  <c r="S621" i="1"/>
  <c r="Q636" i="1"/>
  <c r="R636" i="1"/>
  <c r="S636" i="1"/>
  <c r="Q637" i="1"/>
  <c r="R637" i="1"/>
  <c r="S637" i="1"/>
  <c r="Q87" i="1"/>
  <c r="R87" i="1"/>
  <c r="S87" i="1"/>
  <c r="Q663" i="1"/>
  <c r="R663" i="1"/>
  <c r="S663" i="1"/>
  <c r="Q757" i="1"/>
  <c r="R757" i="1"/>
  <c r="S757" i="1"/>
  <c r="Q698" i="1"/>
  <c r="R698" i="1"/>
  <c r="S698" i="1"/>
  <c r="Q715" i="1"/>
  <c r="R715" i="1"/>
  <c r="S715" i="1"/>
  <c r="Q716" i="1"/>
  <c r="R716" i="1"/>
  <c r="S716" i="1"/>
  <c r="Q794" i="1"/>
  <c r="R794" i="1"/>
  <c r="S794" i="1"/>
  <c r="Q6" i="1"/>
  <c r="R6" i="1"/>
  <c r="S6" i="1"/>
  <c r="Q35" i="1"/>
  <c r="R35" i="1"/>
  <c r="S35" i="1"/>
  <c r="Q38" i="1"/>
  <c r="R38" i="1"/>
  <c r="S38" i="1"/>
  <c r="Q42" i="1"/>
  <c r="R42" i="1"/>
  <c r="S42" i="1"/>
  <c r="Q998" i="1"/>
  <c r="R998" i="1"/>
  <c r="S998" i="1"/>
  <c r="Q62" i="1"/>
  <c r="R62" i="1"/>
  <c r="S62" i="1"/>
  <c r="Q82" i="1"/>
  <c r="R82" i="1"/>
  <c r="S82" i="1"/>
  <c r="Q133" i="1"/>
  <c r="R133" i="1"/>
  <c r="S133" i="1"/>
  <c r="Q120" i="1"/>
  <c r="R120" i="1"/>
  <c r="S120" i="1"/>
  <c r="Q158" i="1"/>
  <c r="R158" i="1"/>
  <c r="S158" i="1"/>
  <c r="Q859" i="1"/>
  <c r="R859" i="1"/>
  <c r="S859" i="1"/>
  <c r="Q162" i="1"/>
  <c r="R162" i="1"/>
  <c r="S162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252" i="1"/>
  <c r="R1252" i="1"/>
  <c r="S1252" i="1"/>
  <c r="Q197" i="1"/>
  <c r="R197" i="1"/>
  <c r="S197" i="1"/>
  <c r="Q200" i="1"/>
  <c r="R200" i="1"/>
  <c r="S200" i="1"/>
  <c r="Q201" i="1"/>
  <c r="R201" i="1"/>
  <c r="S201" i="1"/>
  <c r="Q1242" i="1"/>
  <c r="R1242" i="1"/>
  <c r="S1242" i="1"/>
  <c r="Q43" i="1"/>
  <c r="R43" i="1"/>
  <c r="S43" i="1"/>
  <c r="Q223" i="1"/>
  <c r="R223" i="1"/>
  <c r="S223" i="1"/>
  <c r="Q248" i="1"/>
  <c r="R248" i="1"/>
  <c r="S248" i="1"/>
  <c r="Q504" i="1"/>
  <c r="R504" i="1"/>
  <c r="S504" i="1"/>
  <c r="Q875" i="1"/>
  <c r="R875" i="1"/>
  <c r="S875" i="1"/>
  <c r="Q250" i="1"/>
  <c r="R250" i="1"/>
  <c r="S250" i="1"/>
  <c r="Q271" i="1"/>
  <c r="R271" i="1"/>
  <c r="S271" i="1"/>
  <c r="Q319" i="1"/>
  <c r="R319" i="1"/>
  <c r="S319" i="1"/>
  <c r="Q321" i="1"/>
  <c r="R321" i="1"/>
  <c r="S321" i="1"/>
  <c r="Q341" i="1"/>
  <c r="R341" i="1"/>
  <c r="S341" i="1"/>
  <c r="Q829" i="1"/>
  <c r="R829" i="1"/>
  <c r="S829" i="1"/>
  <c r="Q353" i="1"/>
  <c r="R353" i="1"/>
  <c r="S353" i="1"/>
  <c r="Q382" i="1"/>
  <c r="R382" i="1"/>
  <c r="S382" i="1"/>
  <c r="Q386" i="1"/>
  <c r="R386" i="1"/>
  <c r="S386" i="1"/>
  <c r="Q432" i="1"/>
  <c r="R432" i="1"/>
  <c r="S432" i="1"/>
  <c r="Q416" i="1"/>
  <c r="R416" i="1"/>
  <c r="S416" i="1"/>
  <c r="Q465" i="1"/>
  <c r="R465" i="1"/>
  <c r="S465" i="1"/>
  <c r="Q485" i="1"/>
  <c r="R485" i="1"/>
  <c r="S485" i="1"/>
  <c r="Q396" i="1"/>
  <c r="R396" i="1"/>
  <c r="S396" i="1"/>
  <c r="Q478" i="1"/>
  <c r="R478" i="1"/>
  <c r="S478" i="1"/>
  <c r="Q488" i="1"/>
  <c r="R488" i="1"/>
  <c r="S488" i="1"/>
  <c r="Q882" i="1"/>
  <c r="R882" i="1"/>
  <c r="S882" i="1"/>
  <c r="Q498" i="1"/>
  <c r="R498" i="1"/>
  <c r="S498" i="1"/>
  <c r="Q132" i="1"/>
  <c r="R132" i="1"/>
  <c r="S132" i="1"/>
  <c r="Q660" i="1"/>
  <c r="R660" i="1"/>
  <c r="S660" i="1"/>
  <c r="Q541" i="1"/>
  <c r="R541" i="1"/>
  <c r="S541" i="1"/>
  <c r="Q524" i="1"/>
  <c r="R524" i="1"/>
  <c r="S524" i="1"/>
  <c r="Q526" i="1"/>
  <c r="R526" i="1"/>
  <c r="S526" i="1"/>
  <c r="Q537" i="1"/>
  <c r="R537" i="1"/>
  <c r="S537" i="1"/>
  <c r="Q552" i="1"/>
  <c r="R552" i="1"/>
  <c r="S552" i="1"/>
  <c r="Q554" i="1"/>
  <c r="R554" i="1"/>
  <c r="S554" i="1"/>
  <c r="Q123" i="1"/>
  <c r="R123" i="1"/>
  <c r="S123" i="1"/>
  <c r="Q580" i="1"/>
  <c r="R580" i="1"/>
  <c r="S580" i="1"/>
  <c r="Q585" i="1"/>
  <c r="R585" i="1"/>
  <c r="S585" i="1"/>
  <c r="Q619" i="1"/>
  <c r="R619" i="1"/>
  <c r="S619" i="1"/>
  <c r="Q650" i="1"/>
  <c r="R650" i="1"/>
  <c r="S650" i="1"/>
  <c r="Q96" i="1"/>
  <c r="R96" i="1"/>
  <c r="S96" i="1"/>
  <c r="Q653" i="1"/>
  <c r="R653" i="1"/>
  <c r="S653" i="1"/>
  <c r="Q656" i="1"/>
  <c r="R656" i="1"/>
  <c r="S656" i="1"/>
  <c r="Q704" i="1"/>
  <c r="R704" i="1"/>
  <c r="S704" i="1"/>
  <c r="Q150" i="1"/>
  <c r="R150" i="1"/>
  <c r="S150" i="1"/>
  <c r="Q968" i="1"/>
  <c r="R968" i="1"/>
  <c r="S968" i="1"/>
  <c r="Q706" i="1"/>
  <c r="R706" i="1"/>
  <c r="S706" i="1"/>
  <c r="Q688" i="1"/>
  <c r="R688" i="1"/>
  <c r="S688" i="1"/>
  <c r="Q700" i="1"/>
  <c r="R700" i="1"/>
  <c r="S700" i="1"/>
  <c r="Q692" i="1"/>
  <c r="R692" i="1"/>
  <c r="S692" i="1"/>
  <c r="Q701" i="1"/>
  <c r="R701" i="1"/>
  <c r="S701" i="1"/>
  <c r="Q702" i="1"/>
  <c r="R702" i="1"/>
  <c r="S702" i="1"/>
  <c r="Q713" i="1"/>
  <c r="R713" i="1"/>
  <c r="S713" i="1"/>
  <c r="Q718" i="1"/>
  <c r="R718" i="1"/>
  <c r="S718" i="1"/>
  <c r="Q513" i="1"/>
  <c r="R513" i="1"/>
  <c r="S513" i="1"/>
  <c r="Q812" i="1"/>
  <c r="R812" i="1"/>
  <c r="S812" i="1"/>
  <c r="Q540" i="1"/>
  <c r="R540" i="1"/>
  <c r="S540" i="1"/>
  <c r="Q883" i="1"/>
  <c r="R883" i="1"/>
  <c r="S883" i="1"/>
  <c r="Q814" i="1"/>
  <c r="R814" i="1"/>
  <c r="S814" i="1"/>
  <c r="Q796" i="1"/>
  <c r="R796" i="1"/>
  <c r="S796" i="1"/>
  <c r="Q816" i="1"/>
  <c r="R816" i="1"/>
  <c r="S816" i="1"/>
  <c r="Q798" i="1"/>
  <c r="R798" i="1"/>
  <c r="S798" i="1"/>
  <c r="Q9" i="1"/>
  <c r="R9" i="1"/>
  <c r="S9" i="1"/>
  <c r="Q11" i="1"/>
  <c r="R11" i="1"/>
  <c r="S11" i="1"/>
  <c r="Q23" i="1"/>
  <c r="R23" i="1"/>
  <c r="S23" i="1"/>
  <c r="Q25" i="1"/>
  <c r="R25" i="1"/>
  <c r="S25" i="1"/>
  <c r="Q27" i="1"/>
  <c r="R27" i="1"/>
  <c r="S27" i="1"/>
  <c r="Q40" i="1"/>
  <c r="R40" i="1"/>
  <c r="S40" i="1"/>
  <c r="Q858" i="1"/>
  <c r="R858" i="1"/>
  <c r="S858" i="1"/>
  <c r="Q44" i="1"/>
  <c r="R44" i="1"/>
  <c r="S44" i="1"/>
  <c r="Q54" i="1"/>
  <c r="R54" i="1"/>
  <c r="S54" i="1"/>
  <c r="Q906" i="1"/>
  <c r="R906" i="1"/>
  <c r="S906" i="1"/>
  <c r="Q60" i="1"/>
  <c r="R60" i="1"/>
  <c r="S60" i="1"/>
  <c r="Q68" i="1"/>
  <c r="R68" i="1"/>
  <c r="S68" i="1"/>
  <c r="Q65" i="1"/>
  <c r="R65" i="1"/>
  <c r="S65" i="1"/>
  <c r="Q898" i="1"/>
  <c r="R898" i="1"/>
  <c r="S898" i="1"/>
  <c r="Q296" i="1"/>
  <c r="R296" i="1"/>
  <c r="S296" i="1"/>
  <c r="Q1178" i="1"/>
  <c r="R1178" i="1"/>
  <c r="S1178" i="1"/>
  <c r="Q984" i="1"/>
  <c r="R984" i="1"/>
  <c r="S984" i="1"/>
  <c r="Q140" i="1"/>
  <c r="R140" i="1"/>
  <c r="S140" i="1"/>
  <c r="Q149" i="1"/>
  <c r="R149" i="1"/>
  <c r="S149" i="1"/>
  <c r="Q161" i="1"/>
  <c r="R161" i="1"/>
  <c r="S161" i="1"/>
  <c r="Q144" i="1"/>
  <c r="R144" i="1"/>
  <c r="S144" i="1"/>
  <c r="Q163" i="1"/>
  <c r="R163" i="1"/>
  <c r="S163" i="1"/>
  <c r="Q154" i="1"/>
  <c r="R154" i="1"/>
  <c r="S154" i="1"/>
  <c r="Q164" i="1"/>
  <c r="R164" i="1"/>
  <c r="S164" i="1"/>
  <c r="Q167" i="1"/>
  <c r="R167" i="1"/>
  <c r="S167" i="1"/>
  <c r="Q69" i="1"/>
  <c r="R69" i="1"/>
  <c r="S69" i="1"/>
  <c r="Q714" i="1"/>
  <c r="R714" i="1"/>
  <c r="S714" i="1"/>
  <c r="Q194" i="1"/>
  <c r="R194" i="1"/>
  <c r="S194" i="1"/>
  <c r="Q813" i="1"/>
  <c r="R813" i="1"/>
  <c r="S813" i="1"/>
  <c r="Q196" i="1"/>
  <c r="R196" i="1"/>
  <c r="S196" i="1"/>
  <c r="Q205" i="1"/>
  <c r="R205" i="1"/>
  <c r="S205" i="1"/>
  <c r="Q198" i="1"/>
  <c r="R198" i="1"/>
  <c r="S198" i="1"/>
  <c r="Q199" i="1"/>
  <c r="R199" i="1"/>
  <c r="S199" i="1"/>
  <c r="Q219" i="1"/>
  <c r="R219" i="1"/>
  <c r="S219" i="1"/>
  <c r="Q777" i="1"/>
  <c r="R777" i="1"/>
  <c r="S777" i="1"/>
  <c r="Q244" i="1"/>
  <c r="R244" i="1"/>
  <c r="S244" i="1"/>
  <c r="Q226" i="1"/>
  <c r="R226" i="1"/>
  <c r="S226" i="1"/>
  <c r="Q245" i="1"/>
  <c r="R245" i="1"/>
  <c r="S245" i="1"/>
  <c r="Q236" i="1"/>
  <c r="R236" i="1"/>
  <c r="S236" i="1"/>
  <c r="Q766" i="1"/>
  <c r="R766" i="1"/>
  <c r="S766" i="1"/>
  <c r="Q269" i="1"/>
  <c r="R269" i="1"/>
  <c r="S269" i="1"/>
  <c r="Q253" i="1"/>
  <c r="R253" i="1"/>
  <c r="S253" i="1"/>
  <c r="Q278" i="1"/>
  <c r="R278" i="1"/>
  <c r="S278" i="1"/>
  <c r="Q295" i="1"/>
  <c r="R295" i="1"/>
  <c r="S295" i="1"/>
  <c r="Q299" i="1"/>
  <c r="R299" i="1"/>
  <c r="S299" i="1"/>
  <c r="Q649" i="1"/>
  <c r="R649" i="1"/>
  <c r="S649" i="1"/>
  <c r="Q320" i="1"/>
  <c r="R320" i="1"/>
  <c r="S320" i="1"/>
  <c r="Q326" i="1"/>
  <c r="R326" i="1"/>
  <c r="S326" i="1"/>
  <c r="Q330" i="1"/>
  <c r="R330" i="1"/>
  <c r="S330" i="1"/>
  <c r="Q335" i="1"/>
  <c r="R335" i="1"/>
  <c r="S335" i="1"/>
  <c r="Q355" i="1"/>
  <c r="R355" i="1"/>
  <c r="S355" i="1"/>
  <c r="Q338" i="1"/>
  <c r="R338" i="1"/>
  <c r="S338" i="1"/>
  <c r="Q357" i="1"/>
  <c r="R357" i="1"/>
  <c r="S357" i="1"/>
  <c r="Q364" i="1"/>
  <c r="R364" i="1"/>
  <c r="S364" i="1"/>
  <c r="Q373" i="1"/>
  <c r="R373" i="1"/>
  <c r="S373" i="1"/>
  <c r="Q375" i="1"/>
  <c r="R375" i="1"/>
  <c r="S375" i="1"/>
  <c r="Q422" i="1"/>
  <c r="R422" i="1"/>
  <c r="S422" i="1"/>
  <c r="Q425" i="1"/>
  <c r="R425" i="1"/>
  <c r="S425" i="1"/>
  <c r="Q426" i="1"/>
  <c r="R426" i="1"/>
  <c r="S426" i="1"/>
  <c r="Q418" i="1"/>
  <c r="R418" i="1"/>
  <c r="S418" i="1"/>
  <c r="Q1251" i="1"/>
  <c r="R1251" i="1"/>
  <c r="S1251" i="1"/>
  <c r="Q458" i="1"/>
  <c r="R458" i="1"/>
  <c r="S458" i="1"/>
  <c r="Q460" i="1"/>
  <c r="R460" i="1"/>
  <c r="S460" i="1"/>
  <c r="Q462" i="1"/>
  <c r="R462" i="1"/>
  <c r="S462" i="1"/>
  <c r="Q464" i="1"/>
  <c r="R464" i="1"/>
  <c r="S464" i="1"/>
  <c r="Q487" i="1"/>
  <c r="R487" i="1"/>
  <c r="S487" i="1"/>
  <c r="Q515" i="1"/>
  <c r="R515" i="1"/>
  <c r="S515" i="1"/>
  <c r="Q517" i="1"/>
  <c r="R517" i="1"/>
  <c r="S517" i="1"/>
  <c r="Q502" i="1"/>
  <c r="R502" i="1"/>
  <c r="S502" i="1"/>
  <c r="Q539" i="1"/>
  <c r="R539" i="1"/>
  <c r="S539" i="1"/>
  <c r="Q750" i="1"/>
  <c r="R750" i="1"/>
  <c r="S750" i="1"/>
  <c r="Q544" i="1"/>
  <c r="R544" i="1"/>
  <c r="S544" i="1"/>
  <c r="Q545" i="1"/>
  <c r="R545" i="1"/>
  <c r="S545" i="1"/>
  <c r="Q527" i="1"/>
  <c r="R527" i="1"/>
  <c r="S527" i="1"/>
  <c r="Q528" i="1"/>
  <c r="R528" i="1"/>
  <c r="S528" i="1"/>
  <c r="Q581" i="1"/>
  <c r="R581" i="1"/>
  <c r="S581" i="1"/>
  <c r="Q582" i="1"/>
  <c r="R582" i="1"/>
  <c r="S582" i="1"/>
  <c r="Q596" i="1"/>
  <c r="R596" i="1"/>
  <c r="S596" i="1"/>
  <c r="Q599" i="1"/>
  <c r="R599" i="1"/>
  <c r="S599" i="1"/>
  <c r="Q304" i="1"/>
  <c r="R304" i="1"/>
  <c r="S304" i="1"/>
  <c r="Q614" i="1"/>
  <c r="R614" i="1"/>
  <c r="S614" i="1"/>
  <c r="Q617" i="1"/>
  <c r="R617" i="1"/>
  <c r="S617" i="1"/>
  <c r="Q643" i="1"/>
  <c r="R643" i="1"/>
  <c r="S643" i="1"/>
  <c r="Q638" i="1"/>
  <c r="R638" i="1"/>
  <c r="S638" i="1"/>
  <c r="Q657" i="1"/>
  <c r="R657" i="1"/>
  <c r="S657" i="1"/>
  <c r="Q639" i="1"/>
  <c r="R639" i="1"/>
  <c r="S639" i="1"/>
  <c r="Q648" i="1"/>
  <c r="R648" i="1"/>
  <c r="S648" i="1"/>
  <c r="Q661" i="1"/>
  <c r="R661" i="1"/>
  <c r="S661" i="1"/>
  <c r="Q689" i="1"/>
  <c r="R689" i="1"/>
  <c r="S689" i="1"/>
  <c r="Q690" i="1"/>
  <c r="R690" i="1"/>
  <c r="S690" i="1"/>
  <c r="Q691" i="1"/>
  <c r="R691" i="1"/>
  <c r="S691" i="1"/>
  <c r="Q719" i="1"/>
  <c r="R719" i="1"/>
  <c r="S719" i="1"/>
  <c r="Q744" i="1"/>
  <c r="R744" i="1"/>
  <c r="S744" i="1"/>
  <c r="Q745" i="1"/>
  <c r="R745" i="1"/>
  <c r="S745" i="1"/>
  <c r="Q1177" i="1"/>
  <c r="R1177" i="1"/>
  <c r="S1177" i="1"/>
  <c r="Q815" i="1"/>
  <c r="R815" i="1"/>
  <c r="S815" i="1"/>
  <c r="Q817" i="1"/>
  <c r="R817" i="1"/>
  <c r="S817" i="1"/>
  <c r="Q818" i="1"/>
  <c r="R818" i="1"/>
  <c r="S818" i="1"/>
  <c r="Q3" i="1"/>
  <c r="R3" i="1"/>
  <c r="S3" i="1"/>
  <c r="Q5" i="1"/>
  <c r="R5" i="1"/>
  <c r="S5" i="1"/>
  <c r="Q26" i="1"/>
  <c r="R26" i="1"/>
  <c r="S26" i="1"/>
  <c r="Q633" i="1"/>
  <c r="R633" i="1"/>
  <c r="S633" i="1"/>
  <c r="Q45" i="1"/>
  <c r="R45" i="1"/>
  <c r="S45" i="1"/>
  <c r="Q46" i="1"/>
  <c r="R46" i="1"/>
  <c r="S46" i="1"/>
  <c r="Q48" i="1"/>
  <c r="R48" i="1"/>
  <c r="S48" i="1"/>
  <c r="Q49" i="1"/>
  <c r="R49" i="1"/>
  <c r="S49" i="1"/>
  <c r="Q51" i="1"/>
  <c r="R51" i="1"/>
  <c r="S51" i="1"/>
  <c r="Q53" i="1"/>
  <c r="R53" i="1"/>
  <c r="S53" i="1"/>
  <c r="Q721" i="1"/>
  <c r="R721" i="1"/>
  <c r="S721" i="1"/>
  <c r="Q77" i="1"/>
  <c r="R77" i="1"/>
  <c r="S77" i="1"/>
  <c r="Q486" i="1"/>
  <c r="R486" i="1"/>
  <c r="S486" i="1"/>
  <c r="Q34" i="1"/>
  <c r="R34" i="1"/>
  <c r="S34" i="1"/>
  <c r="Q930" i="1"/>
  <c r="R930" i="1"/>
  <c r="S930" i="1"/>
  <c r="Q64" i="1"/>
  <c r="R64" i="1"/>
  <c r="S64" i="1"/>
  <c r="Q83" i="1"/>
  <c r="R83" i="1"/>
  <c r="S83" i="1"/>
  <c r="Q84" i="1"/>
  <c r="R84" i="1"/>
  <c r="S84" i="1"/>
  <c r="Q66" i="1"/>
  <c r="R66" i="1"/>
  <c r="S66" i="1"/>
  <c r="Q105" i="1"/>
  <c r="R105" i="1"/>
  <c r="S105" i="1"/>
  <c r="Q106" i="1"/>
  <c r="R106" i="1"/>
  <c r="S106" i="1"/>
  <c r="Q90" i="1"/>
  <c r="R90" i="1"/>
  <c r="S90" i="1"/>
  <c r="Q93" i="1"/>
  <c r="R93" i="1"/>
  <c r="S93" i="1"/>
  <c r="Q966" i="1"/>
  <c r="R966" i="1"/>
  <c r="S966" i="1"/>
  <c r="Q116" i="1"/>
  <c r="R116" i="1"/>
  <c r="S116" i="1"/>
  <c r="Q136" i="1"/>
  <c r="R136" i="1"/>
  <c r="S136" i="1"/>
  <c r="Q118" i="1"/>
  <c r="R118" i="1"/>
  <c r="S118" i="1"/>
  <c r="Q119" i="1"/>
  <c r="R119" i="1"/>
  <c r="S119" i="1"/>
  <c r="Q138" i="1"/>
  <c r="R138" i="1"/>
  <c r="S138" i="1"/>
  <c r="Q179" i="1"/>
  <c r="R179" i="1"/>
  <c r="S179" i="1"/>
  <c r="Q182" i="1"/>
  <c r="R182" i="1"/>
  <c r="S182" i="1"/>
  <c r="Q203" i="1"/>
  <c r="R203" i="1"/>
  <c r="S203" i="1"/>
  <c r="Q878" i="1"/>
  <c r="R878" i="1"/>
  <c r="S878" i="1"/>
  <c r="Q266" i="1"/>
  <c r="R266" i="1"/>
  <c r="S266" i="1"/>
  <c r="Q268" i="1"/>
  <c r="R268" i="1"/>
  <c r="S268" i="1"/>
  <c r="Q270" i="1"/>
  <c r="R270" i="1"/>
  <c r="S270" i="1"/>
  <c r="Q273" i="1"/>
  <c r="R273" i="1"/>
  <c r="S273" i="1"/>
  <c r="Q289" i="1"/>
  <c r="R289" i="1"/>
  <c r="S289" i="1"/>
  <c r="Q298" i="1"/>
  <c r="R298" i="1"/>
  <c r="S298" i="1"/>
  <c r="Q302" i="1"/>
  <c r="R302" i="1"/>
  <c r="S302" i="1"/>
  <c r="Q308" i="1"/>
  <c r="R308" i="1"/>
  <c r="S308" i="1"/>
  <c r="Q314" i="1"/>
  <c r="R314" i="1"/>
  <c r="S314" i="1"/>
  <c r="Q640" i="1"/>
  <c r="R640" i="1"/>
  <c r="S640" i="1"/>
  <c r="Q346" i="1"/>
  <c r="R346" i="1"/>
  <c r="S346" i="1"/>
  <c r="Q356" i="1"/>
  <c r="R356" i="1"/>
  <c r="S356" i="1"/>
  <c r="Q484" i="1"/>
  <c r="R484" i="1"/>
  <c r="S484" i="1"/>
  <c r="Q371" i="1"/>
  <c r="R371" i="1"/>
  <c r="S371" i="1"/>
  <c r="Q363" i="1"/>
  <c r="R363" i="1"/>
  <c r="S363" i="1"/>
  <c r="Q372" i="1"/>
  <c r="R372" i="1"/>
  <c r="S372" i="1"/>
  <c r="Q397" i="1"/>
  <c r="R397" i="1"/>
  <c r="S397" i="1"/>
  <c r="Q775" i="1"/>
  <c r="R775" i="1"/>
  <c r="S775" i="1"/>
  <c r="Q907" i="1"/>
  <c r="R907" i="1"/>
  <c r="S907" i="1"/>
  <c r="Q424" i="1"/>
  <c r="R424" i="1"/>
  <c r="S424" i="1"/>
  <c r="Q419" i="1"/>
  <c r="R419" i="1"/>
  <c r="S419" i="1"/>
  <c r="Q463" i="1"/>
  <c r="R463" i="1"/>
  <c r="S463" i="1"/>
  <c r="Q467" i="1"/>
  <c r="R467" i="1"/>
  <c r="S467" i="1"/>
  <c r="Q114" i="1"/>
  <c r="R114" i="1"/>
  <c r="S114" i="1"/>
  <c r="Q479" i="1"/>
  <c r="R479" i="1"/>
  <c r="S479" i="1"/>
  <c r="Q471" i="1"/>
  <c r="R471" i="1"/>
  <c r="S471" i="1"/>
  <c r="Q472" i="1"/>
  <c r="R472" i="1"/>
  <c r="S472" i="1"/>
  <c r="Q481" i="1"/>
  <c r="R481" i="1"/>
  <c r="S481" i="1"/>
  <c r="Q474" i="1"/>
  <c r="R474" i="1"/>
  <c r="S474" i="1"/>
  <c r="Q512" i="1"/>
  <c r="R512" i="1"/>
  <c r="S512" i="1"/>
  <c r="Q496" i="1"/>
  <c r="R496" i="1"/>
  <c r="S496" i="1"/>
  <c r="Q516" i="1"/>
  <c r="R516" i="1"/>
  <c r="S516" i="1"/>
  <c r="Q507" i="1"/>
  <c r="R507" i="1"/>
  <c r="S507" i="1"/>
  <c r="Q530" i="1"/>
  <c r="R530" i="1"/>
  <c r="S530" i="1"/>
  <c r="Q532" i="1"/>
  <c r="R532" i="1"/>
  <c r="S532" i="1"/>
  <c r="Q542" i="1"/>
  <c r="R542" i="1"/>
  <c r="S542" i="1"/>
  <c r="Q534" i="1"/>
  <c r="R534" i="1"/>
  <c r="S534" i="1"/>
  <c r="Q536" i="1"/>
  <c r="R536" i="1"/>
  <c r="S536" i="1"/>
  <c r="Q555" i="1"/>
  <c r="R555" i="1"/>
  <c r="S555" i="1"/>
  <c r="Q565" i="1"/>
  <c r="R565" i="1"/>
  <c r="S565" i="1"/>
  <c r="Q566" i="1"/>
  <c r="R566" i="1"/>
  <c r="S566" i="1"/>
  <c r="Q615" i="1"/>
  <c r="R615" i="1"/>
  <c r="S615" i="1"/>
  <c r="Q602" i="1"/>
  <c r="R602" i="1"/>
  <c r="S602" i="1"/>
  <c r="Q1172" i="1"/>
  <c r="R1172" i="1"/>
  <c r="S1172" i="1"/>
  <c r="Q934" i="1"/>
  <c r="R934" i="1"/>
  <c r="S934" i="1"/>
  <c r="Q450" i="1"/>
  <c r="R450" i="1"/>
  <c r="S450" i="1"/>
  <c r="Q851" i="1"/>
  <c r="R851" i="1"/>
  <c r="S851" i="1"/>
  <c r="Q634" i="1"/>
  <c r="R634" i="1"/>
  <c r="S634" i="1"/>
  <c r="Q635" i="1"/>
  <c r="R635" i="1"/>
  <c r="S635" i="1"/>
  <c r="Q646" i="1"/>
  <c r="R646" i="1"/>
  <c r="S646" i="1"/>
  <c r="Q668" i="1"/>
  <c r="R668" i="1"/>
  <c r="S668" i="1"/>
  <c r="Q673" i="1"/>
  <c r="R673" i="1"/>
  <c r="S673" i="1"/>
  <c r="Q665" i="1"/>
  <c r="R665" i="1"/>
  <c r="S665" i="1"/>
  <c r="Q684" i="1"/>
  <c r="R684" i="1"/>
  <c r="S684" i="1"/>
  <c r="Q717" i="1"/>
  <c r="R717" i="1"/>
  <c r="S717" i="1"/>
  <c r="Q740" i="1"/>
  <c r="R740" i="1"/>
  <c r="S740" i="1"/>
  <c r="Q749" i="1"/>
  <c r="R749" i="1"/>
  <c r="S749" i="1"/>
  <c r="Q459" i="1"/>
  <c r="R459" i="1"/>
  <c r="S459" i="1"/>
  <c r="Q258" i="1"/>
  <c r="R258" i="1"/>
  <c r="S258" i="1"/>
  <c r="Q742" i="1"/>
  <c r="R742" i="1"/>
  <c r="S742" i="1"/>
  <c r="Q752" i="1"/>
  <c r="R752" i="1"/>
  <c r="S752" i="1"/>
  <c r="Q762" i="1"/>
  <c r="R762" i="1"/>
  <c r="S762" i="1"/>
  <c r="Q746" i="1"/>
  <c r="R746" i="1"/>
  <c r="S746" i="1"/>
  <c r="Q747" i="1"/>
  <c r="R747" i="1"/>
  <c r="S747" i="1"/>
  <c r="Q849" i="1"/>
  <c r="R849" i="1"/>
  <c r="S849" i="1"/>
  <c r="Q806" i="1"/>
  <c r="R806" i="1"/>
  <c r="S806" i="1"/>
  <c r="Q8" i="1"/>
  <c r="R8" i="1"/>
  <c r="S8" i="1"/>
  <c r="Q10" i="1"/>
  <c r="R10" i="1"/>
  <c r="S10" i="1"/>
  <c r="Q18" i="1"/>
  <c r="R18" i="1"/>
  <c r="S18" i="1"/>
  <c r="Q19" i="1"/>
  <c r="R19" i="1"/>
  <c r="S19" i="1"/>
  <c r="Q977" i="1"/>
  <c r="R977" i="1"/>
  <c r="S977" i="1"/>
  <c r="Q1218" i="1"/>
  <c r="R1218" i="1"/>
  <c r="S1218" i="1"/>
  <c r="Q37" i="1"/>
  <c r="R37" i="1"/>
  <c r="S37" i="1"/>
  <c r="Q39" i="1"/>
  <c r="R39" i="1"/>
  <c r="S39" i="1"/>
  <c r="Q1039" i="1"/>
  <c r="R1039" i="1"/>
  <c r="S1039" i="1"/>
  <c r="Q177" i="1"/>
  <c r="R177" i="1"/>
  <c r="S177" i="1"/>
  <c r="Q55" i="1"/>
  <c r="R55" i="1"/>
  <c r="S55" i="1"/>
  <c r="Q57" i="1"/>
  <c r="R57" i="1"/>
  <c r="S57" i="1"/>
  <c r="Q893" i="1"/>
  <c r="R893" i="1"/>
  <c r="S893" i="1"/>
  <c r="Q79" i="1"/>
  <c r="R79" i="1"/>
  <c r="S79" i="1"/>
  <c r="Q63" i="1"/>
  <c r="R63" i="1"/>
  <c r="S63" i="1"/>
  <c r="Q74" i="1"/>
  <c r="R74" i="1"/>
  <c r="S74" i="1"/>
  <c r="Q75" i="1"/>
  <c r="R75" i="1"/>
  <c r="S75" i="1"/>
  <c r="Q86" i="1"/>
  <c r="R86" i="1"/>
  <c r="S86" i="1"/>
  <c r="Q89" i="1"/>
  <c r="R89" i="1"/>
  <c r="S89" i="1"/>
  <c r="Q92" i="1"/>
  <c r="R92" i="1"/>
  <c r="S92" i="1"/>
  <c r="Q113" i="1"/>
  <c r="R113" i="1"/>
  <c r="S113" i="1"/>
  <c r="Q115" i="1"/>
  <c r="R115" i="1"/>
  <c r="S115" i="1"/>
  <c r="Q137" i="1"/>
  <c r="R137" i="1"/>
  <c r="S137" i="1"/>
  <c r="Q874" i="1"/>
  <c r="R874" i="1"/>
  <c r="S874" i="1"/>
  <c r="Q142" i="1"/>
  <c r="R142" i="1"/>
  <c r="S142" i="1"/>
  <c r="Q151" i="1"/>
  <c r="R151" i="1"/>
  <c r="S151" i="1"/>
  <c r="Q143" i="1"/>
  <c r="R143" i="1"/>
  <c r="S143" i="1"/>
  <c r="Q146" i="1"/>
  <c r="R146" i="1"/>
  <c r="S146" i="1"/>
  <c r="Q165" i="1"/>
  <c r="R165" i="1"/>
  <c r="S165" i="1"/>
  <c r="Q147" i="1"/>
  <c r="R147" i="1"/>
  <c r="S147" i="1"/>
  <c r="Q842" i="1"/>
  <c r="R842" i="1"/>
  <c r="S842" i="1"/>
  <c r="Q187" i="1"/>
  <c r="R187" i="1"/>
  <c r="S187" i="1"/>
  <c r="Q173" i="1"/>
  <c r="R173" i="1"/>
  <c r="S173" i="1"/>
  <c r="Q192" i="1"/>
  <c r="R192" i="1"/>
  <c r="S192" i="1"/>
  <c r="Q183" i="1"/>
  <c r="R183" i="1"/>
  <c r="S183" i="1"/>
  <c r="Q871" i="1"/>
  <c r="R871" i="1"/>
  <c r="S871" i="1"/>
  <c r="Q923" i="1"/>
  <c r="R923" i="1"/>
  <c r="S923" i="1"/>
  <c r="Q242" i="1"/>
  <c r="R242" i="1"/>
  <c r="S242" i="1"/>
  <c r="Q234" i="1"/>
  <c r="R234" i="1"/>
  <c r="S234" i="1"/>
  <c r="Q228" i="1"/>
  <c r="R228" i="1"/>
  <c r="S228" i="1"/>
  <c r="Q841" i="1"/>
  <c r="R841" i="1"/>
  <c r="S841" i="1"/>
  <c r="Q279" i="1"/>
  <c r="R279" i="1"/>
  <c r="S279" i="1"/>
  <c r="Q281" i="1"/>
  <c r="R281" i="1"/>
  <c r="S281" i="1"/>
  <c r="Q283" i="1"/>
  <c r="R283" i="1"/>
  <c r="S283" i="1"/>
  <c r="Q988" i="1"/>
  <c r="R988" i="1"/>
  <c r="S988" i="1"/>
  <c r="Q300" i="1"/>
  <c r="R300" i="1"/>
  <c r="S300" i="1"/>
  <c r="Q301" i="1"/>
  <c r="R301" i="1"/>
  <c r="S301" i="1"/>
  <c r="Q303" i="1"/>
  <c r="R303" i="1"/>
  <c r="S303" i="1"/>
  <c r="Q961" i="1"/>
  <c r="R961" i="1"/>
  <c r="S961" i="1"/>
  <c r="Q307" i="1"/>
  <c r="R307" i="1"/>
  <c r="S307" i="1"/>
  <c r="Q310" i="1"/>
  <c r="R310" i="1"/>
  <c r="S310" i="1"/>
  <c r="Q311" i="1"/>
  <c r="R311" i="1"/>
  <c r="S311" i="1"/>
  <c r="Q316" i="1"/>
  <c r="R316" i="1"/>
  <c r="S316" i="1"/>
  <c r="Q323" i="1"/>
  <c r="R323" i="1"/>
  <c r="S323" i="1"/>
  <c r="Q325" i="1"/>
  <c r="R325" i="1"/>
  <c r="S325" i="1"/>
  <c r="Q328" i="1"/>
  <c r="R328" i="1"/>
  <c r="S328" i="1"/>
  <c r="Q347" i="1"/>
  <c r="R347" i="1"/>
  <c r="S347" i="1"/>
  <c r="Q348" i="1"/>
  <c r="R348" i="1"/>
  <c r="S348" i="1"/>
  <c r="Q78" i="1"/>
  <c r="R78" i="1"/>
  <c r="S78" i="1"/>
  <c r="Q1173" i="1"/>
  <c r="R1173" i="1"/>
  <c r="S1173" i="1"/>
  <c r="Q428" i="1"/>
  <c r="R428" i="1"/>
  <c r="S428" i="1"/>
  <c r="Q420" i="1"/>
  <c r="R420" i="1"/>
  <c r="S420" i="1"/>
  <c r="Q440" i="1"/>
  <c r="R440" i="1"/>
  <c r="S440" i="1"/>
  <c r="Q444" i="1"/>
  <c r="R444" i="1"/>
  <c r="S444" i="1"/>
  <c r="Q1232" i="1"/>
  <c r="R1232" i="1"/>
  <c r="S1232" i="1"/>
  <c r="Q469" i="1"/>
  <c r="R469" i="1"/>
  <c r="S469" i="1"/>
  <c r="Q470" i="1"/>
  <c r="R470" i="1"/>
  <c r="S470" i="1"/>
  <c r="Q490" i="1"/>
  <c r="R490" i="1"/>
  <c r="S490" i="1"/>
  <c r="Q491" i="1"/>
  <c r="R491" i="1"/>
  <c r="S491" i="1"/>
  <c r="Q492" i="1"/>
  <c r="R492" i="1"/>
  <c r="S492" i="1"/>
  <c r="Q926" i="1"/>
  <c r="R926" i="1"/>
  <c r="S926" i="1"/>
  <c r="Q494" i="1"/>
  <c r="R494" i="1"/>
  <c r="S494" i="1"/>
  <c r="Q915" i="1"/>
  <c r="R915" i="1"/>
  <c r="S915" i="1"/>
  <c r="Q497" i="1"/>
  <c r="R497" i="1"/>
  <c r="S497" i="1"/>
  <c r="Q499" i="1"/>
  <c r="R499" i="1"/>
  <c r="S499" i="1"/>
  <c r="Q523" i="1"/>
  <c r="R523" i="1"/>
  <c r="S523" i="1"/>
  <c r="Q533" i="1"/>
  <c r="R533" i="1"/>
  <c r="S533" i="1"/>
  <c r="Q854" i="1"/>
  <c r="R854" i="1"/>
  <c r="S854" i="1"/>
  <c r="Q583" i="1"/>
  <c r="R583" i="1"/>
  <c r="S583" i="1"/>
  <c r="Q584" i="1"/>
  <c r="R584" i="1"/>
  <c r="S584" i="1"/>
  <c r="Q593" i="1"/>
  <c r="R593" i="1"/>
  <c r="S593" i="1"/>
  <c r="Q955" i="1"/>
  <c r="R955" i="1"/>
  <c r="S955" i="1"/>
  <c r="Q632" i="1"/>
  <c r="R632" i="1"/>
  <c r="S632" i="1"/>
  <c r="Q654" i="1"/>
  <c r="R654" i="1"/>
  <c r="S654" i="1"/>
  <c r="Q655" i="1"/>
  <c r="R655" i="1"/>
  <c r="S655" i="1"/>
  <c r="Q647" i="1"/>
  <c r="R647" i="1"/>
  <c r="S647" i="1"/>
  <c r="Q662" i="1"/>
  <c r="R662" i="1"/>
  <c r="S662" i="1"/>
  <c r="Q664" i="1"/>
  <c r="R664" i="1"/>
  <c r="S664" i="1"/>
  <c r="Q1133" i="1"/>
  <c r="R1133" i="1"/>
  <c r="S1133" i="1"/>
  <c r="Q676" i="1"/>
  <c r="R676" i="1"/>
  <c r="S676" i="1"/>
  <c r="Q731" i="1"/>
  <c r="R731" i="1"/>
  <c r="S731" i="1"/>
  <c r="Q734" i="1"/>
  <c r="R734" i="1"/>
  <c r="S734" i="1"/>
  <c r="Q761" i="1"/>
  <c r="R761" i="1"/>
  <c r="S761" i="1"/>
  <c r="Q763" i="1"/>
  <c r="R763" i="1"/>
  <c r="S763" i="1"/>
  <c r="Q778" i="1"/>
  <c r="R778" i="1"/>
  <c r="S778" i="1"/>
  <c r="Q779" i="1"/>
  <c r="R779" i="1"/>
  <c r="S779" i="1"/>
  <c r="Q781" i="1"/>
  <c r="R781" i="1"/>
  <c r="S781" i="1"/>
  <c r="Q803" i="1"/>
  <c r="R803" i="1"/>
  <c r="S803" i="1"/>
  <c r="Q1005" i="1"/>
  <c r="R1005" i="1"/>
  <c r="S1005" i="1"/>
  <c r="Q799" i="1"/>
  <c r="R799" i="1"/>
  <c r="S799" i="1"/>
  <c r="Q1003" i="1"/>
  <c r="R1003" i="1"/>
  <c r="S1003" i="1"/>
  <c r="Q28" i="1"/>
  <c r="R28" i="1"/>
  <c r="S28" i="1"/>
  <c r="Q47" i="1"/>
  <c r="R47" i="1"/>
  <c r="S47" i="1"/>
  <c r="Q58" i="1"/>
  <c r="R58" i="1"/>
  <c r="S58" i="1"/>
  <c r="Q80" i="1"/>
  <c r="R80" i="1"/>
  <c r="S80" i="1"/>
  <c r="Q71" i="1"/>
  <c r="R71" i="1"/>
  <c r="S71" i="1"/>
  <c r="Q81" i="1"/>
  <c r="R81" i="1"/>
  <c r="S81" i="1"/>
  <c r="Q73" i="1"/>
  <c r="R73" i="1"/>
  <c r="S73" i="1"/>
  <c r="Q911" i="1"/>
  <c r="R911" i="1"/>
  <c r="S911" i="1"/>
  <c r="Q104" i="1"/>
  <c r="R104" i="1"/>
  <c r="S104" i="1"/>
  <c r="Q88" i="1"/>
  <c r="R88" i="1"/>
  <c r="S88" i="1"/>
  <c r="Q107" i="1"/>
  <c r="R107" i="1"/>
  <c r="S107" i="1"/>
  <c r="Q108" i="1"/>
  <c r="R108" i="1"/>
  <c r="S108" i="1"/>
  <c r="Q100" i="1"/>
  <c r="R100" i="1"/>
  <c r="S100" i="1"/>
  <c r="Q240" i="1"/>
  <c r="R240" i="1"/>
  <c r="S240" i="1"/>
  <c r="Q152" i="1"/>
  <c r="R152" i="1"/>
  <c r="S152" i="1"/>
  <c r="Q155" i="1"/>
  <c r="R155" i="1"/>
  <c r="S155" i="1"/>
  <c r="Q972" i="1"/>
  <c r="R972" i="1"/>
  <c r="S972" i="1"/>
  <c r="Q274" i="1"/>
  <c r="R274" i="1"/>
  <c r="S274" i="1"/>
  <c r="Q178" i="1"/>
  <c r="R178" i="1"/>
  <c r="S178" i="1"/>
  <c r="Q188" i="1"/>
  <c r="R188" i="1"/>
  <c r="S188" i="1"/>
  <c r="Q189" i="1"/>
  <c r="R189" i="1"/>
  <c r="S189" i="1"/>
  <c r="Q181" i="1"/>
  <c r="R181" i="1"/>
  <c r="S181" i="1"/>
  <c r="Q174" i="1"/>
  <c r="R174" i="1"/>
  <c r="S174" i="1"/>
  <c r="Q208" i="1"/>
  <c r="R208" i="1"/>
  <c r="S208" i="1"/>
  <c r="Q207" i="1"/>
  <c r="R207" i="1"/>
  <c r="S207" i="1"/>
  <c r="Q230" i="1"/>
  <c r="R230" i="1"/>
  <c r="S230" i="1"/>
  <c r="Q237" i="1"/>
  <c r="R237" i="1"/>
  <c r="S237" i="1"/>
  <c r="Q939" i="1"/>
  <c r="R939" i="1"/>
  <c r="S939" i="1"/>
  <c r="Q259" i="1"/>
  <c r="R259" i="1"/>
  <c r="S259" i="1"/>
  <c r="Q277" i="1"/>
  <c r="R277" i="1"/>
  <c r="S277" i="1"/>
  <c r="Q282" i="1"/>
  <c r="R282" i="1"/>
  <c r="S282" i="1"/>
  <c r="Q831" i="1"/>
  <c r="R831" i="1"/>
  <c r="S831" i="1"/>
  <c r="Q297" i="1"/>
  <c r="R297" i="1"/>
  <c r="S297" i="1"/>
  <c r="Q305" i="1"/>
  <c r="R305" i="1"/>
  <c r="S305" i="1"/>
  <c r="Q987" i="1"/>
  <c r="R987" i="1"/>
  <c r="S987" i="1"/>
  <c r="Q327" i="1"/>
  <c r="R327" i="1"/>
  <c r="S327" i="1"/>
  <c r="Q329" i="1"/>
  <c r="R329" i="1"/>
  <c r="S329" i="1"/>
  <c r="Q350" i="1"/>
  <c r="R350" i="1"/>
  <c r="S350" i="1"/>
  <c r="Q343" i="1"/>
  <c r="R343" i="1"/>
  <c r="S343" i="1"/>
  <c r="Q404" i="1"/>
  <c r="R404" i="1"/>
  <c r="S404" i="1"/>
  <c r="Q398" i="1"/>
  <c r="R398" i="1"/>
  <c r="S398" i="1"/>
  <c r="Q409" i="1"/>
  <c r="R409" i="1"/>
  <c r="S409" i="1"/>
  <c r="Q400" i="1"/>
  <c r="R400" i="1"/>
  <c r="S400" i="1"/>
  <c r="Q983" i="1"/>
  <c r="R983" i="1"/>
  <c r="S983" i="1"/>
  <c r="Q1207" i="1"/>
  <c r="R1207" i="1"/>
  <c r="S1207" i="1"/>
  <c r="Q732" i="1"/>
  <c r="R732" i="1"/>
  <c r="S732" i="1"/>
  <c r="Q1019" i="1"/>
  <c r="R1019" i="1"/>
  <c r="S1019" i="1"/>
  <c r="Q461" i="1"/>
  <c r="R461" i="1"/>
  <c r="S461" i="1"/>
  <c r="Q443" i="1"/>
  <c r="R443" i="1"/>
  <c r="S443" i="1"/>
  <c r="Q445" i="1"/>
  <c r="R445" i="1"/>
  <c r="S445" i="1"/>
  <c r="Q447" i="1"/>
  <c r="R447" i="1"/>
  <c r="S447" i="1"/>
  <c r="Q1162" i="1"/>
  <c r="R1162" i="1"/>
  <c r="S1162" i="1"/>
  <c r="Q476" i="1"/>
  <c r="R476" i="1"/>
  <c r="S476" i="1"/>
  <c r="Q489" i="1"/>
  <c r="R489" i="1"/>
  <c r="S489" i="1"/>
  <c r="Q480" i="1"/>
  <c r="R480" i="1"/>
  <c r="S480" i="1"/>
  <c r="Q473" i="1"/>
  <c r="R473" i="1"/>
  <c r="S473" i="1"/>
  <c r="Q960" i="1"/>
  <c r="R960" i="1"/>
  <c r="S960" i="1"/>
  <c r="Q505" i="1"/>
  <c r="R505" i="1"/>
  <c r="S505" i="1"/>
  <c r="Q509" i="1"/>
  <c r="R509" i="1"/>
  <c r="S509" i="1"/>
  <c r="Q1163" i="1"/>
  <c r="R1163" i="1"/>
  <c r="S1163" i="1"/>
  <c r="Q561" i="1"/>
  <c r="R561" i="1"/>
  <c r="S561" i="1"/>
  <c r="Q231" i="1"/>
  <c r="R231" i="1"/>
  <c r="S231" i="1"/>
  <c r="Q587" i="1"/>
  <c r="R587" i="1"/>
  <c r="S587" i="1"/>
  <c r="Q594" i="1"/>
  <c r="R594" i="1"/>
  <c r="S594" i="1"/>
  <c r="Q641" i="1"/>
  <c r="R641" i="1"/>
  <c r="S641" i="1"/>
  <c r="Q644" i="1"/>
  <c r="R644" i="1"/>
  <c r="S644" i="1"/>
  <c r="Q672" i="1"/>
  <c r="R672" i="1"/>
  <c r="S672" i="1"/>
  <c r="Q666" i="1"/>
  <c r="R666" i="1"/>
  <c r="S666" i="1"/>
  <c r="Q837" i="1"/>
  <c r="R837" i="1"/>
  <c r="S837" i="1"/>
  <c r="Q351" i="1"/>
  <c r="R351" i="1"/>
  <c r="S351" i="1"/>
  <c r="Q733" i="1"/>
  <c r="R733" i="1"/>
  <c r="S733" i="1"/>
  <c r="Q724" i="1"/>
  <c r="R724" i="1"/>
  <c r="S724" i="1"/>
  <c r="Q735" i="1"/>
  <c r="R735" i="1"/>
  <c r="S735" i="1"/>
  <c r="Q726" i="1"/>
  <c r="R726" i="1"/>
  <c r="S726" i="1"/>
  <c r="Q737" i="1"/>
  <c r="R737" i="1"/>
  <c r="S737" i="1"/>
  <c r="Q738" i="1"/>
  <c r="R738" i="1"/>
  <c r="S738" i="1"/>
  <c r="Q720" i="1"/>
  <c r="R720" i="1"/>
  <c r="S720" i="1"/>
  <c r="Q990" i="1"/>
  <c r="R990" i="1"/>
  <c r="S990" i="1"/>
  <c r="Q538" i="1"/>
  <c r="R538" i="1"/>
  <c r="S538" i="1"/>
  <c r="Q758" i="1"/>
  <c r="R758" i="1"/>
  <c r="S758" i="1"/>
  <c r="Q754" i="1"/>
  <c r="R754" i="1"/>
  <c r="S754" i="1"/>
  <c r="Q764" i="1"/>
  <c r="R764" i="1"/>
  <c r="S764" i="1"/>
  <c r="Q765" i="1"/>
  <c r="R765" i="1"/>
  <c r="S765" i="1"/>
  <c r="Q741" i="1"/>
  <c r="R741" i="1"/>
  <c r="S741" i="1"/>
  <c r="Q787" i="1"/>
  <c r="R787" i="1"/>
  <c r="S787" i="1"/>
  <c r="Q788" i="1"/>
  <c r="R788" i="1"/>
  <c r="S788" i="1"/>
  <c r="Q789" i="1"/>
  <c r="R789" i="1"/>
  <c r="S789" i="1"/>
  <c r="Q805" i="1"/>
  <c r="R805" i="1"/>
  <c r="S805" i="1"/>
  <c r="Q800" i="1"/>
  <c r="R800" i="1"/>
  <c r="S800" i="1"/>
  <c r="Q809" i="1"/>
  <c r="R809" i="1"/>
  <c r="S809" i="1"/>
  <c r="Q801" i="1"/>
  <c r="R801" i="1"/>
  <c r="S801" i="1"/>
  <c r="Q222" i="1"/>
  <c r="R222" i="1"/>
  <c r="S222" i="1"/>
  <c r="Q7" i="1"/>
  <c r="R7" i="1"/>
  <c r="S7" i="1"/>
  <c r="Q931" i="1"/>
  <c r="R931" i="1"/>
  <c r="S931" i="1"/>
  <c r="Q15" i="1"/>
  <c r="R15" i="1"/>
  <c r="S15" i="1"/>
  <c r="Q17" i="1"/>
  <c r="R17" i="1"/>
  <c r="S17" i="1"/>
  <c r="Q20" i="1"/>
  <c r="R20" i="1"/>
  <c r="S20" i="1"/>
  <c r="Q29" i="1"/>
  <c r="R29" i="1"/>
  <c r="S29" i="1"/>
  <c r="Q31" i="1"/>
  <c r="R31" i="1"/>
  <c r="S31" i="1"/>
  <c r="Q33" i="1"/>
  <c r="R33" i="1"/>
  <c r="S33" i="1"/>
  <c r="Q36" i="1"/>
  <c r="R36" i="1"/>
  <c r="S36" i="1"/>
  <c r="Q56" i="1"/>
  <c r="R56" i="1"/>
  <c r="S56" i="1"/>
  <c r="Q996" i="1"/>
  <c r="R996" i="1"/>
  <c r="S996" i="1"/>
  <c r="Q95" i="1"/>
  <c r="R95" i="1"/>
  <c r="S95" i="1"/>
  <c r="Q109" i="1"/>
  <c r="R109" i="1"/>
  <c r="S109" i="1"/>
  <c r="Q110" i="1"/>
  <c r="R110" i="1"/>
  <c r="S110" i="1"/>
  <c r="Q111" i="1"/>
  <c r="R111" i="1"/>
  <c r="S111" i="1"/>
  <c r="Q131" i="1"/>
  <c r="R131" i="1"/>
  <c r="S131" i="1"/>
  <c r="Q122" i="1"/>
  <c r="R122" i="1"/>
  <c r="S122" i="1"/>
  <c r="Q995" i="1"/>
  <c r="R995" i="1"/>
  <c r="S995" i="1"/>
  <c r="Q191" i="1"/>
  <c r="R191" i="1"/>
  <c r="S191" i="1"/>
  <c r="Q210" i="1"/>
  <c r="R210" i="1"/>
  <c r="S210" i="1"/>
  <c r="Q232" i="1"/>
  <c r="R232" i="1"/>
  <c r="S232" i="1"/>
  <c r="Q233" i="1"/>
  <c r="R233" i="1"/>
  <c r="S233" i="1"/>
  <c r="Q235" i="1"/>
  <c r="R235" i="1"/>
  <c r="S235" i="1"/>
  <c r="Q260" i="1"/>
  <c r="R260" i="1"/>
  <c r="S260" i="1"/>
  <c r="Q263" i="1"/>
  <c r="R263" i="1"/>
  <c r="S263" i="1"/>
  <c r="Q1142" i="1"/>
  <c r="R1142" i="1"/>
  <c r="S1142" i="1"/>
  <c r="Q275" i="1"/>
  <c r="R275" i="1"/>
  <c r="S275" i="1"/>
  <c r="Q405" i="1"/>
  <c r="R405" i="1"/>
  <c r="S405" i="1"/>
  <c r="Q280" i="1"/>
  <c r="R280" i="1"/>
  <c r="S280" i="1"/>
  <c r="Q946" i="1"/>
  <c r="R946" i="1"/>
  <c r="S946" i="1"/>
  <c r="Q309" i="1"/>
  <c r="R309" i="1"/>
  <c r="S309" i="1"/>
  <c r="Q312" i="1"/>
  <c r="R312" i="1"/>
  <c r="S312" i="1"/>
  <c r="Q982" i="1"/>
  <c r="R982" i="1"/>
  <c r="S982" i="1"/>
  <c r="Q441" i="1"/>
  <c r="R441" i="1"/>
  <c r="S441" i="1"/>
  <c r="Q352" i="1"/>
  <c r="R352" i="1"/>
  <c r="S352" i="1"/>
  <c r="Q336" i="1"/>
  <c r="R336" i="1"/>
  <c r="S336" i="1"/>
  <c r="Q406" i="1"/>
  <c r="R406" i="1"/>
  <c r="S406" i="1"/>
  <c r="Q389" i="1"/>
  <c r="R389" i="1"/>
  <c r="S389" i="1"/>
  <c r="Q410" i="1"/>
  <c r="R410" i="1"/>
  <c r="S410" i="1"/>
  <c r="Q401" i="1"/>
  <c r="R401" i="1"/>
  <c r="S401" i="1"/>
  <c r="Q411" i="1"/>
  <c r="R411" i="1"/>
  <c r="S411" i="1"/>
  <c r="Q402" i="1"/>
  <c r="R402" i="1"/>
  <c r="S402" i="1"/>
  <c r="Q429" i="1"/>
  <c r="R429" i="1"/>
  <c r="S429" i="1"/>
  <c r="Q360" i="1"/>
  <c r="R360" i="1"/>
  <c r="S360" i="1"/>
  <c r="Q449" i="1"/>
  <c r="R449" i="1"/>
  <c r="S449" i="1"/>
  <c r="Q442" i="1"/>
  <c r="R442" i="1"/>
  <c r="S442" i="1"/>
  <c r="Q451" i="1"/>
  <c r="R451" i="1"/>
  <c r="S451" i="1"/>
  <c r="Q914" i="1"/>
  <c r="R914" i="1"/>
  <c r="S914" i="1"/>
  <c r="Q482" i="1"/>
  <c r="R482" i="1"/>
  <c r="S482" i="1"/>
  <c r="Q483" i="1"/>
  <c r="R483" i="1"/>
  <c r="S483" i="1"/>
  <c r="Q514" i="1"/>
  <c r="R514" i="1"/>
  <c r="S514" i="1"/>
  <c r="Q518" i="1"/>
  <c r="R518" i="1"/>
  <c r="S518" i="1"/>
  <c r="Q824" i="1"/>
  <c r="R824" i="1"/>
  <c r="S824" i="1"/>
  <c r="Q525" i="1"/>
  <c r="R525" i="1"/>
  <c r="S525" i="1"/>
  <c r="Q568" i="1"/>
  <c r="R568" i="1"/>
  <c r="S568" i="1"/>
  <c r="Q705" i="1"/>
  <c r="R705" i="1"/>
  <c r="S705" i="1"/>
  <c r="Q570" i="1"/>
  <c r="R570" i="1"/>
  <c r="S570" i="1"/>
  <c r="Q571" i="1"/>
  <c r="R571" i="1"/>
  <c r="S571" i="1"/>
  <c r="Q572" i="1"/>
  <c r="R572" i="1"/>
  <c r="S572" i="1"/>
  <c r="Q573" i="1"/>
  <c r="R573" i="1"/>
  <c r="S573" i="1"/>
  <c r="Q590" i="1"/>
  <c r="R590" i="1"/>
  <c r="S590" i="1"/>
  <c r="Q591" i="1"/>
  <c r="R591" i="1"/>
  <c r="S591" i="1"/>
  <c r="Q547" i="1"/>
  <c r="R547" i="1"/>
  <c r="S547" i="1"/>
  <c r="Q652" i="1"/>
  <c r="R652" i="1"/>
  <c r="S652" i="1"/>
  <c r="Q1153" i="1"/>
  <c r="R1153" i="1"/>
  <c r="S1153" i="1"/>
  <c r="Q677" i="1"/>
  <c r="R677" i="1"/>
  <c r="S677" i="1"/>
  <c r="Q659" i="1"/>
  <c r="R659" i="1"/>
  <c r="S659" i="1"/>
  <c r="Q624" i="1"/>
  <c r="R624" i="1"/>
  <c r="S624" i="1"/>
  <c r="Q679" i="1"/>
  <c r="R679" i="1"/>
  <c r="S679" i="1"/>
  <c r="Q680" i="1"/>
  <c r="R680" i="1"/>
  <c r="S680" i="1"/>
  <c r="Q671" i="1"/>
  <c r="R671" i="1"/>
  <c r="S671" i="1"/>
  <c r="Q681" i="1"/>
  <c r="R681" i="1"/>
  <c r="S681" i="1"/>
  <c r="Q682" i="1"/>
  <c r="R682" i="1"/>
  <c r="S682" i="1"/>
  <c r="Q683" i="1"/>
  <c r="R683" i="1"/>
  <c r="S683" i="1"/>
  <c r="Q974" i="1"/>
  <c r="R974" i="1"/>
  <c r="S974" i="1"/>
  <c r="Q725" i="1"/>
  <c r="R725" i="1"/>
  <c r="S725" i="1"/>
  <c r="Q736" i="1"/>
  <c r="R736" i="1"/>
  <c r="S736" i="1"/>
  <c r="Q1000" i="1"/>
  <c r="R1000" i="1"/>
  <c r="S1000" i="1"/>
  <c r="Q760" i="1"/>
  <c r="R760" i="1"/>
  <c r="S760" i="1"/>
  <c r="Q743" i="1"/>
  <c r="R743" i="1"/>
  <c r="S743" i="1"/>
  <c r="Q755" i="1"/>
  <c r="R755" i="1"/>
  <c r="S755" i="1"/>
  <c r="Q756" i="1"/>
  <c r="R756" i="1"/>
  <c r="S756" i="1"/>
  <c r="Q776" i="1"/>
  <c r="R776" i="1"/>
  <c r="S776" i="1"/>
  <c r="Q770" i="1"/>
  <c r="R770" i="1"/>
  <c r="S770" i="1"/>
  <c r="Q771" i="1"/>
  <c r="R771" i="1"/>
  <c r="S771" i="1"/>
  <c r="Q791" i="1"/>
  <c r="R791" i="1"/>
  <c r="S791" i="1"/>
  <c r="Q782" i="1"/>
  <c r="R782" i="1"/>
  <c r="S782" i="1"/>
  <c r="Q85" i="1"/>
  <c r="R85" i="1"/>
  <c r="S85" i="1"/>
  <c r="Q807" i="1"/>
  <c r="R807" i="1"/>
  <c r="S807" i="1"/>
  <c r="Q808" i="1"/>
  <c r="R808" i="1"/>
  <c r="S808" i="1"/>
  <c r="Q811" i="1"/>
  <c r="R811" i="1"/>
  <c r="S811" i="1"/>
  <c r="Q16" i="1"/>
  <c r="R16" i="1"/>
  <c r="S16" i="1"/>
  <c r="Q72" i="1"/>
  <c r="R72" i="1"/>
  <c r="S72" i="1"/>
  <c r="Q567" i="1"/>
  <c r="R567" i="1"/>
  <c r="S567" i="1"/>
  <c r="Q91" i="1"/>
  <c r="R91" i="1"/>
  <c r="S91" i="1"/>
  <c r="Q101" i="1"/>
  <c r="R101" i="1"/>
  <c r="S101" i="1"/>
  <c r="Q124" i="1"/>
  <c r="R124" i="1"/>
  <c r="S124" i="1"/>
  <c r="Q127" i="1"/>
  <c r="R127" i="1"/>
  <c r="S127" i="1"/>
  <c r="Q128" i="1"/>
  <c r="R128" i="1"/>
  <c r="S128" i="1"/>
  <c r="Q176" i="1"/>
  <c r="R176" i="1"/>
  <c r="S176" i="1"/>
  <c r="Q190" i="1"/>
  <c r="R190" i="1"/>
  <c r="S190" i="1"/>
  <c r="Q1015" i="1"/>
  <c r="R1015" i="1"/>
  <c r="S1015" i="1"/>
  <c r="Q288" i="1"/>
  <c r="R288" i="1"/>
  <c r="S288" i="1"/>
  <c r="Q291" i="1"/>
  <c r="R291" i="1"/>
  <c r="S291" i="1"/>
  <c r="Q292" i="1"/>
  <c r="R292" i="1"/>
  <c r="S292" i="1"/>
  <c r="Q786" i="1"/>
  <c r="R786" i="1"/>
  <c r="S786" i="1"/>
  <c r="Q959" i="1"/>
  <c r="R959" i="1"/>
  <c r="S959" i="1"/>
  <c r="Q12" i="1"/>
  <c r="R12" i="1"/>
  <c r="S12" i="1"/>
  <c r="Q980" i="1"/>
  <c r="R980" i="1"/>
  <c r="S980" i="1"/>
  <c r="Q408" i="1"/>
  <c r="R408" i="1"/>
  <c r="S408" i="1"/>
  <c r="Q390" i="1"/>
  <c r="R390" i="1"/>
  <c r="S390" i="1"/>
  <c r="Q399" i="1"/>
  <c r="R399" i="1"/>
  <c r="S399" i="1"/>
  <c r="Q391" i="1"/>
  <c r="R391" i="1"/>
  <c r="S391" i="1"/>
  <c r="Q446" i="1"/>
  <c r="R446" i="1"/>
  <c r="S446" i="1"/>
  <c r="Q500" i="1"/>
  <c r="R500" i="1"/>
  <c r="S500" i="1"/>
  <c r="Q519" i="1"/>
  <c r="R519" i="1"/>
  <c r="S519" i="1"/>
  <c r="Q501" i="1"/>
  <c r="R501" i="1"/>
  <c r="S501" i="1"/>
  <c r="Q558" i="1"/>
  <c r="R558" i="1"/>
  <c r="S558" i="1"/>
  <c r="Q562" i="1"/>
  <c r="R562" i="1"/>
  <c r="S562" i="1"/>
  <c r="Q563" i="1"/>
  <c r="R563" i="1"/>
  <c r="S563" i="1"/>
  <c r="Q986" i="1"/>
  <c r="R986" i="1"/>
  <c r="S986" i="1"/>
  <c r="Q574" i="1"/>
  <c r="R574" i="1"/>
  <c r="S574" i="1"/>
  <c r="Q575" i="1"/>
  <c r="R575" i="1"/>
  <c r="S575" i="1"/>
  <c r="Q576" i="1"/>
  <c r="R576" i="1"/>
  <c r="S576" i="1"/>
  <c r="Q645" i="1"/>
  <c r="R645" i="1"/>
  <c r="S645" i="1"/>
  <c r="Q678" i="1"/>
  <c r="R678" i="1"/>
  <c r="S678" i="1"/>
  <c r="Q670" i="1"/>
  <c r="R670" i="1"/>
  <c r="S670" i="1"/>
  <c r="Q674" i="1"/>
  <c r="R674" i="1"/>
  <c r="S674" i="1"/>
  <c r="Q675" i="1"/>
  <c r="R675" i="1"/>
  <c r="S675" i="1"/>
  <c r="Q727" i="1"/>
  <c r="R727" i="1"/>
  <c r="S727" i="1"/>
  <c r="Q728" i="1"/>
  <c r="R728" i="1"/>
  <c r="S728" i="1"/>
  <c r="Q753" i="1"/>
  <c r="R753" i="1"/>
  <c r="S753" i="1"/>
  <c r="Q862" i="1"/>
  <c r="R862" i="1"/>
  <c r="S862" i="1"/>
  <c r="Q969" i="1"/>
  <c r="R969" i="1"/>
  <c r="S969" i="1"/>
  <c r="Q780" i="1"/>
  <c r="R780" i="1"/>
  <c r="S780" i="1"/>
  <c r="Q790" i="1"/>
  <c r="R790" i="1"/>
  <c r="S790" i="1"/>
  <c r="Q772" i="1"/>
  <c r="R772" i="1"/>
  <c r="S772" i="1"/>
  <c r="Q773" i="1"/>
  <c r="R773" i="1"/>
  <c r="S773" i="1"/>
  <c r="Q792" i="1"/>
  <c r="R792" i="1"/>
  <c r="S792" i="1"/>
  <c r="Q810" i="1"/>
  <c r="R810" i="1"/>
  <c r="S810" i="1"/>
  <c r="Q13" i="1"/>
  <c r="R13" i="1"/>
  <c r="S13" i="1"/>
  <c r="Q21" i="1"/>
  <c r="R21" i="1"/>
  <c r="S21" i="1"/>
  <c r="Q30" i="1"/>
  <c r="R30" i="1"/>
  <c r="S30" i="1"/>
  <c r="Q999" i="1"/>
  <c r="R999" i="1"/>
  <c r="S999" i="1"/>
  <c r="Q97" i="1"/>
  <c r="R97" i="1"/>
  <c r="S97" i="1"/>
  <c r="Q98" i="1"/>
  <c r="R98" i="1"/>
  <c r="S98" i="1"/>
  <c r="Q981" i="1"/>
  <c r="R981" i="1"/>
  <c r="S981" i="1"/>
  <c r="Q125" i="1"/>
  <c r="R125" i="1"/>
  <c r="S125" i="1"/>
  <c r="Q129" i="1"/>
  <c r="R129" i="1"/>
  <c r="S129" i="1"/>
  <c r="Q156" i="1"/>
  <c r="R156" i="1"/>
  <c r="S156" i="1"/>
  <c r="Q180" i="1"/>
  <c r="R180" i="1"/>
  <c r="S180" i="1"/>
  <c r="Q257" i="1"/>
  <c r="R257" i="1"/>
  <c r="S257" i="1"/>
  <c r="Q261" i="1"/>
  <c r="R261" i="1"/>
  <c r="S261" i="1"/>
  <c r="Q264" i="1"/>
  <c r="R264" i="1"/>
  <c r="S264" i="1"/>
  <c r="Q285" i="1"/>
  <c r="R285" i="1"/>
  <c r="S285" i="1"/>
  <c r="Q287" i="1"/>
  <c r="R287" i="1"/>
  <c r="S287" i="1"/>
  <c r="Q290" i="1"/>
  <c r="R290" i="1"/>
  <c r="S290" i="1"/>
  <c r="Q293" i="1"/>
  <c r="R293" i="1"/>
  <c r="S293" i="1"/>
  <c r="Q885" i="1"/>
  <c r="R885" i="1"/>
  <c r="S885" i="1"/>
  <c r="Q902" i="1"/>
  <c r="R902" i="1"/>
  <c r="S902" i="1"/>
  <c r="Q927" i="1"/>
  <c r="R927" i="1"/>
  <c r="S927" i="1"/>
  <c r="Q395" i="1"/>
  <c r="R395" i="1"/>
  <c r="S395" i="1"/>
  <c r="Q1017" i="1"/>
  <c r="R1017" i="1"/>
  <c r="S1017" i="1"/>
  <c r="Q407" i="1"/>
  <c r="R407" i="1"/>
  <c r="S407" i="1"/>
  <c r="Q392" i="1"/>
  <c r="R392" i="1"/>
  <c r="S392" i="1"/>
  <c r="Q393" i="1"/>
  <c r="R393" i="1"/>
  <c r="S393" i="1"/>
  <c r="Q452" i="1"/>
  <c r="R452" i="1"/>
  <c r="S452" i="1"/>
  <c r="Q453" i="1"/>
  <c r="R453" i="1"/>
  <c r="S453" i="1"/>
  <c r="Q1208" i="1"/>
  <c r="R1208" i="1"/>
  <c r="S1208" i="1"/>
  <c r="Q503" i="1"/>
  <c r="R503" i="1"/>
  <c r="S503" i="1"/>
  <c r="Q535" i="1"/>
  <c r="R535" i="1"/>
  <c r="S535" i="1"/>
  <c r="Q1035" i="1"/>
  <c r="R1035" i="1"/>
  <c r="S1035" i="1"/>
  <c r="Q560" i="1"/>
  <c r="R560" i="1"/>
  <c r="S560" i="1"/>
  <c r="Q564" i="1"/>
  <c r="R564" i="1"/>
  <c r="S564" i="1"/>
  <c r="Q421" i="1"/>
  <c r="R421" i="1"/>
  <c r="S421" i="1"/>
  <c r="Q32" i="1"/>
  <c r="R32" i="1"/>
  <c r="S32" i="1"/>
  <c r="Q722" i="1"/>
  <c r="R722" i="1"/>
  <c r="S722" i="1"/>
  <c r="Q729" i="1"/>
  <c r="R729" i="1"/>
  <c r="S729" i="1"/>
  <c r="Q1187" i="1"/>
  <c r="R1187" i="1"/>
  <c r="S1187" i="1"/>
  <c r="Q785" i="1"/>
  <c r="R785" i="1"/>
  <c r="S785" i="1"/>
  <c r="Q769" i="1"/>
  <c r="R769" i="1"/>
  <c r="S769" i="1"/>
  <c r="Q774" i="1"/>
  <c r="R774" i="1"/>
  <c r="S774" i="1"/>
  <c r="Q99" i="1"/>
  <c r="R99" i="1"/>
  <c r="S99" i="1"/>
  <c r="Q102" i="1"/>
  <c r="R102" i="1"/>
  <c r="S102" i="1"/>
  <c r="Q284" i="1"/>
  <c r="R284" i="1"/>
  <c r="S284" i="1"/>
  <c r="Q262" i="1"/>
  <c r="R262" i="1"/>
  <c r="S262" i="1"/>
  <c r="Q388" i="1"/>
  <c r="R388" i="1"/>
  <c r="S388" i="1"/>
  <c r="Q455" i="1"/>
  <c r="R455" i="1"/>
  <c r="S455" i="1"/>
  <c r="Q456" i="1"/>
  <c r="R456" i="1"/>
  <c r="S456" i="1"/>
  <c r="Q595" i="1"/>
  <c r="R595" i="1"/>
  <c r="S595" i="1"/>
  <c r="Q508" i="1"/>
  <c r="R508" i="1"/>
  <c r="S508" i="1"/>
  <c r="Q510" i="1"/>
  <c r="R510" i="1"/>
  <c r="S510" i="1"/>
  <c r="Q751" i="1"/>
  <c r="R751" i="1"/>
  <c r="S751" i="1"/>
  <c r="Q767" i="1"/>
  <c r="R767" i="1"/>
  <c r="S767" i="1"/>
  <c r="Q783" i="1"/>
  <c r="R783" i="1"/>
  <c r="S783" i="1"/>
  <c r="Q202" i="1"/>
  <c r="R202" i="1"/>
  <c r="S202" i="1"/>
  <c r="Q166" i="1"/>
  <c r="R166" i="1"/>
  <c r="S166" i="1"/>
  <c r="Q209" i="1"/>
  <c r="R209" i="1"/>
  <c r="S209" i="1"/>
  <c r="Q157" i="1"/>
  <c r="R157" i="1"/>
  <c r="S157" i="1"/>
  <c r="Q454" i="1"/>
  <c r="R454" i="1"/>
  <c r="S454" i="1"/>
  <c r="Q403" i="1"/>
  <c r="R403" i="1"/>
  <c r="S403" i="1"/>
  <c r="Q506" i="1"/>
  <c r="R506" i="1"/>
  <c r="S506" i="1"/>
  <c r="Q220" i="1"/>
  <c r="R220" i="1"/>
  <c r="S220" i="1"/>
  <c r="Q965" i="1"/>
  <c r="R965" i="1"/>
  <c r="S965" i="1"/>
  <c r="Q991" i="1"/>
  <c r="R991" i="1"/>
  <c r="S991" i="1"/>
  <c r="Q825" i="1"/>
  <c r="R825" i="1"/>
  <c r="S825" i="1"/>
  <c r="Q597" i="1"/>
  <c r="R597" i="1"/>
  <c r="S597" i="1"/>
  <c r="Q126" i="1"/>
  <c r="R126" i="1"/>
  <c r="S126" i="1"/>
  <c r="Q2" i="1"/>
  <c r="R2" i="1"/>
  <c r="S2" i="1"/>
  <c r="Q379" i="1"/>
  <c r="R379" i="1"/>
  <c r="S379" i="1"/>
  <c r="Q1261" i="1"/>
  <c r="R1261" i="1"/>
  <c r="S1261" i="1"/>
  <c r="Q267" i="1"/>
  <c r="R267" i="1"/>
  <c r="S267" i="1"/>
  <c r="Q611" i="1"/>
  <c r="R611" i="1"/>
  <c r="S611" i="1"/>
  <c r="Q383" i="1"/>
  <c r="R383" i="1"/>
  <c r="S383" i="1"/>
  <c r="Q249" i="1"/>
  <c r="R249" i="1"/>
  <c r="S249" i="1"/>
  <c r="Q608" i="1"/>
  <c r="R608" i="1"/>
  <c r="S608" i="1"/>
  <c r="Q612" i="1"/>
  <c r="R612" i="1"/>
  <c r="S612" i="1"/>
  <c r="Q710" i="1"/>
  <c r="R710" i="1"/>
  <c r="S710" i="1"/>
  <c r="Q711" i="1"/>
  <c r="R711" i="1"/>
  <c r="S711" i="1"/>
  <c r="Q214" i="1"/>
  <c r="R214" i="1"/>
  <c r="S214" i="1"/>
  <c r="Q241" i="1"/>
  <c r="R241" i="1"/>
  <c r="S241" i="1"/>
  <c r="Q380" i="1"/>
  <c r="R380" i="1"/>
  <c r="S380" i="1"/>
  <c r="Q623" i="1"/>
  <c r="R623" i="1"/>
  <c r="S623" i="1"/>
  <c r="Q626" i="1"/>
  <c r="R626" i="1"/>
  <c r="S626" i="1"/>
  <c r="Q627" i="1"/>
  <c r="R627" i="1"/>
  <c r="S627" i="1"/>
  <c r="Q609" i="1"/>
  <c r="R609" i="1"/>
  <c r="S609" i="1"/>
  <c r="Q630" i="1"/>
  <c r="R630" i="1"/>
  <c r="S630" i="1"/>
  <c r="Q216" i="1"/>
  <c r="R216" i="1"/>
  <c r="S216" i="1"/>
  <c r="Q365" i="1"/>
  <c r="R365" i="1"/>
  <c r="S365" i="1"/>
  <c r="Q374" i="1"/>
  <c r="R374" i="1"/>
  <c r="S374" i="1"/>
  <c r="Q366" i="1"/>
  <c r="R366" i="1"/>
  <c r="S366" i="1"/>
  <c r="Q434" i="1"/>
  <c r="R434" i="1"/>
  <c r="S434" i="1"/>
  <c r="Q942" i="1"/>
  <c r="R942" i="1"/>
  <c r="S942" i="1"/>
  <c r="Q605" i="1"/>
  <c r="R605" i="1"/>
  <c r="S605" i="1"/>
  <c r="Q625" i="1"/>
  <c r="R625" i="1"/>
  <c r="S625" i="1"/>
  <c r="Q607" i="1"/>
  <c r="R607" i="1"/>
  <c r="S607" i="1"/>
  <c r="Q618" i="1"/>
  <c r="R618" i="1"/>
  <c r="S618" i="1"/>
  <c r="Q610" i="1"/>
  <c r="R610" i="1"/>
  <c r="S610" i="1"/>
  <c r="Q699" i="1"/>
  <c r="R699" i="1"/>
  <c r="S699" i="1"/>
  <c r="Q693" i="1"/>
  <c r="R693" i="1"/>
  <c r="S693" i="1"/>
  <c r="Q70" i="1"/>
  <c r="R70" i="1"/>
  <c r="S70" i="1"/>
  <c r="Q221" i="1"/>
  <c r="R221" i="1"/>
  <c r="S221" i="1"/>
  <c r="Q339" i="1"/>
  <c r="R339" i="1"/>
  <c r="S339" i="1"/>
  <c r="Q997" i="1"/>
  <c r="R997" i="1"/>
  <c r="S997" i="1"/>
  <c r="Q359" i="1"/>
  <c r="R359" i="1"/>
  <c r="S359" i="1"/>
  <c r="Q361" i="1"/>
  <c r="R361" i="1"/>
  <c r="S361" i="1"/>
  <c r="Q362" i="1"/>
  <c r="R362" i="1"/>
  <c r="S362" i="1"/>
  <c r="Q381" i="1"/>
  <c r="R381" i="1"/>
  <c r="S381" i="1"/>
  <c r="Q431" i="1"/>
  <c r="R431" i="1"/>
  <c r="S431" i="1"/>
  <c r="Q437" i="1"/>
  <c r="R437" i="1"/>
  <c r="S437" i="1"/>
  <c r="Q521" i="1"/>
  <c r="R521" i="1"/>
  <c r="S521" i="1"/>
  <c r="S4" i="1"/>
  <c r="R4" i="1"/>
  <c r="Q4" i="1"/>
  <c r="X1" i="1" l="1"/>
</calcChain>
</file>

<file path=xl/sharedStrings.xml><?xml version="1.0" encoding="utf-8"?>
<sst xmlns="http://schemas.openxmlformats.org/spreadsheetml/2006/main" count="6311" uniqueCount="3814">
  <si>
    <t>run_index</t>
  </si>
  <si>
    <t>mode</t>
  </si>
  <si>
    <t>avoidance</t>
  </si>
  <si>
    <t>repeat_index</t>
  </si>
  <si>
    <t>seed</t>
  </si>
  <si>
    <t>watch_text_found</t>
  </si>
  <si>
    <t>last_ball_time</t>
  </si>
  <si>
    <t>total_balls_taken</t>
  </si>
  <si>
    <t>collision_count</t>
  </si>
  <si>
    <t>total_contact_time</t>
  </si>
  <si>
    <t>ball_history_last_line</t>
  </si>
  <si>
    <t>process_return_code</t>
  </si>
  <si>
    <t>process_error</t>
  </si>
  <si>
    <t>started_at</t>
  </si>
  <si>
    <t>finished_at</t>
  </si>
  <si>
    <t>source_instance</t>
  </si>
  <si>
    <t>realistic_nearest</t>
  </si>
  <si>
    <t>68.120,28</t>
  </si>
  <si>
    <t>2026-02-17T18:50:43.427549</t>
  </si>
  <si>
    <t>2026-02-17T18:54:56.658336</t>
  </si>
  <si>
    <t>tools</t>
  </si>
  <si>
    <t>improved_nearest</t>
  </si>
  <si>
    <t>51.176,30</t>
  </si>
  <si>
    <t>2026-02-17T18:54:57.692707</t>
  </si>
  <si>
    <t>2026-02-17T18:59:39.508345</t>
  </si>
  <si>
    <t>nearest</t>
  </si>
  <si>
    <t>38.084,33</t>
  </si>
  <si>
    <t>2026-02-17T18:59:40.520274</t>
  </si>
  <si>
    <t>2026-02-17T19:01:44.538874</t>
  </si>
  <si>
    <t>120.784,25</t>
  </si>
  <si>
    <t>2026-02-17T19:01:45.550261</t>
  </si>
  <si>
    <t>2026-02-17T19:09:32.392280</t>
  </si>
  <si>
    <t>77.540,26</t>
  </si>
  <si>
    <t>2026-02-17T19:09:33.394656</t>
  </si>
  <si>
    <t>2026-02-17T19:15:32.220714</t>
  </si>
  <si>
    <t>44.780,31</t>
  </si>
  <si>
    <t>2026-02-17T19:15:33.227098</t>
  </si>
  <si>
    <t>2026-02-17T19:18:59.340535</t>
  </si>
  <si>
    <t>45.972,27</t>
  </si>
  <si>
    <t>2026-02-17T19:19:00.345729</t>
  </si>
  <si>
    <t>2026-02-17T19:23:10.050117</t>
  </si>
  <si>
    <t>107.992,29</t>
  </si>
  <si>
    <t>2026-02-17T19:23:11.062394</t>
  </si>
  <si>
    <t>2026-02-17T19:31:00.378021</t>
  </si>
  <si>
    <t>53.568,29</t>
  </si>
  <si>
    <t>2026-02-17T19:31:01.388957</t>
  </si>
  <si>
    <t>2026-02-17T19:34:36.556690</t>
  </si>
  <si>
    <t>103.596,25</t>
  </si>
  <si>
    <t>2026-02-17T19:34:37.562515</t>
  </si>
  <si>
    <t>2026-02-17T19:42:33.456720</t>
  </si>
  <si>
    <t>75.572,26</t>
  </si>
  <si>
    <t>2026-02-17T19:42:34.467678</t>
  </si>
  <si>
    <t>2026-02-17T19:47:33.906513</t>
  </si>
  <si>
    <t>59.376,29</t>
  </si>
  <si>
    <t>2026-02-17T19:47:34.916499</t>
  </si>
  <si>
    <t>2026-02-17T19:51:37.722791</t>
  </si>
  <si>
    <t>87.276,26</t>
  </si>
  <si>
    <t>2026-02-17T19:51:38.733936</t>
  </si>
  <si>
    <t>2026-02-17T19:57:56.730737</t>
  </si>
  <si>
    <t>51.612,24</t>
  </si>
  <si>
    <t>2026-02-17T19:57:57.736288</t>
  </si>
  <si>
    <t>2026-02-17T20:02:09.479953</t>
  </si>
  <si>
    <t>60.280,30</t>
  </si>
  <si>
    <t>2026-02-17T20:02:10.482686</t>
  </si>
  <si>
    <t>2026-02-17T20:05:04.625001</t>
  </si>
  <si>
    <t>84.976,25</t>
  </si>
  <si>
    <t>2026-02-17T20:05:05.635843</t>
  </si>
  <si>
    <t>2026-02-17T20:10:22.763696</t>
  </si>
  <si>
    <t>82.272,29</t>
  </si>
  <si>
    <t>2026-02-17T20:10:23.771513</t>
  </si>
  <si>
    <t>2026-02-17T20:16:11.243864</t>
  </si>
  <si>
    <t>46.420,29</t>
  </si>
  <si>
    <t>2026-02-17T20:16:12.254811</t>
  </si>
  <si>
    <t>2026-02-17T20:18:29.416026</t>
  </si>
  <si>
    <t>52.332,28</t>
  </si>
  <si>
    <t>2026-02-17T20:18:30.426988</t>
  </si>
  <si>
    <t>2026-02-17T20:21:32.144631</t>
  </si>
  <si>
    <t>60.572,27</t>
  </si>
  <si>
    <t>2026-02-17T20:21:33.155823</t>
  </si>
  <si>
    <t>2026-02-17T20:26:11.264518</t>
  </si>
  <si>
    <t>47.132,27</t>
  </si>
  <si>
    <t>2026-02-17T20:26:12.276096</t>
  </si>
  <si>
    <t>2026-02-17T20:29:42.158503</t>
  </si>
  <si>
    <t>49.460,29</t>
  </si>
  <si>
    <t>2026-02-17T20:29:43.160962</t>
  </si>
  <si>
    <t>2026-02-17T20:34:01.507594</t>
  </si>
  <si>
    <t>64.988,25</t>
  </si>
  <si>
    <t>2026-02-17T20:34:02.511103</t>
  </si>
  <si>
    <t>2026-02-17T20:38:28.762009</t>
  </si>
  <si>
    <t>46.916,27</t>
  </si>
  <si>
    <t>2026-02-17T20:38:29.772272</t>
  </si>
  <si>
    <t>2026-02-17T20:41:55.619688</t>
  </si>
  <si>
    <t>48.404,31</t>
  </si>
  <si>
    <t>2026-02-17T20:41:56.629870</t>
  </si>
  <si>
    <t>2026-02-17T20:45:35.443350</t>
  </si>
  <si>
    <t>60.932,27</t>
  </si>
  <si>
    <t>2026-02-17T20:45:36.449406</t>
  </si>
  <si>
    <t>2026-02-17T20:49:44.845106</t>
  </si>
  <si>
    <t>48.444,29</t>
  </si>
  <si>
    <t>2026-02-17T20:49:45.855700</t>
  </si>
  <si>
    <t>2026-02-17T20:53:43.478753</t>
  </si>
  <si>
    <t>62.156,29</t>
  </si>
  <si>
    <t>2026-02-17T20:53:44.490275</t>
  </si>
  <si>
    <t>2026-02-17T20:58:17.145906</t>
  </si>
  <si>
    <t>57.680,25</t>
  </si>
  <si>
    <t>2026-02-17T20:58:18.155727</t>
  </si>
  <si>
    <t>2026-02-17T21:03:08.694580</t>
  </si>
  <si>
    <t>46.496,31</t>
  </si>
  <si>
    <t>2026-02-17T21:03:09.707549</t>
  </si>
  <si>
    <t>2026-02-17T21:04:32.797575</t>
  </si>
  <si>
    <t>60.040,27</t>
  </si>
  <si>
    <t>2026-02-17T18:50:43.427590</t>
  </si>
  <si>
    <t>2026-02-17T18:55:27.929008</t>
  </si>
  <si>
    <t>73.020,29</t>
  </si>
  <si>
    <t>2026-02-17T18:55:28.934711</t>
  </si>
  <si>
    <t>2026-02-17T19:00:23.297740</t>
  </si>
  <si>
    <t>37.392,33</t>
  </si>
  <si>
    <t>2026-02-17T19:00:24.308685</t>
  </si>
  <si>
    <t>2026-02-17T19:02:21.474308</t>
  </si>
  <si>
    <t>112.240,25</t>
  </si>
  <si>
    <t>2026-02-17T19:02:22.483114</t>
  </si>
  <si>
    <t>2026-02-17T19:08:35.230247</t>
  </si>
  <si>
    <t>99.216,29</t>
  </si>
  <si>
    <t>2026-02-17T19:08:36.241157</t>
  </si>
  <si>
    <t>2026-02-17T19:15:48.395886</t>
  </si>
  <si>
    <t>44.496,31</t>
  </si>
  <si>
    <t>2026-02-17T19:15:49.397842</t>
  </si>
  <si>
    <t>2026-02-17T19:18:24.305018</t>
  </si>
  <si>
    <t>59.860,28</t>
  </si>
  <si>
    <t>2026-02-17T19:18:25.310658</t>
  </si>
  <si>
    <t>2026-02-17T19:21:36.462409</t>
  </si>
  <si>
    <t>88.436,29</t>
  </si>
  <si>
    <t>2026-02-17T19:21:37.471257</t>
  </si>
  <si>
    <t>2026-02-17T19:27:33.935547</t>
  </si>
  <si>
    <t>52.584,29</t>
  </si>
  <si>
    <t>2026-02-17T19:27:34.944148</t>
  </si>
  <si>
    <t>2026-02-17T19:30:38.312882</t>
  </si>
  <si>
    <t>54.536,28</t>
  </si>
  <si>
    <t>2026-02-17T19:30:39.321089</t>
  </si>
  <si>
    <t>2026-02-17T19:34:58.591063</t>
  </si>
  <si>
    <t>55.836,28</t>
  </si>
  <si>
    <t>2026-02-17T19:34:59.601997</t>
  </si>
  <si>
    <t>2026-02-17T19:40:24.753726</t>
  </si>
  <si>
    <t>38.208,31</t>
  </si>
  <si>
    <t>2026-02-17T19:40:25.765019</t>
  </si>
  <si>
    <t>2026-02-17T19:42:55.036077</t>
  </si>
  <si>
    <t>113.948,26</t>
  </si>
  <si>
    <t>2026-02-17T19:42:56.045780</t>
  </si>
  <si>
    <t>2026-02-17T19:49:45.972901</t>
  </si>
  <si>
    <t>98.624,25</t>
  </si>
  <si>
    <t>2026-02-17T19:49:46.982161</t>
  </si>
  <si>
    <t>2026-02-17T19:55:42.486515</t>
  </si>
  <si>
    <t>51.136,30</t>
  </si>
  <si>
    <t>2026-02-17T19:55:43.497743</t>
  </si>
  <si>
    <t>2026-02-17T19:58:48.204375</t>
  </si>
  <si>
    <t>67.580,25</t>
  </si>
  <si>
    <t>2026-02-17T19:58:49.208141</t>
  </si>
  <si>
    <t>2026-02-17T20:02:55.806256</t>
  </si>
  <si>
    <t>91.768,27</t>
  </si>
  <si>
    <t>2026-02-17T20:02:56.816511</t>
  </si>
  <si>
    <t>2026-02-17T20:09:46.840573</t>
  </si>
  <si>
    <t>42.912,26</t>
  </si>
  <si>
    <t>2026-02-17T20:09:47.851538</t>
  </si>
  <si>
    <t>2026-02-17T20:13:50.671962</t>
  </si>
  <si>
    <t>59.484,27</t>
  </si>
  <si>
    <t>2026-02-17T20:13:51.675815</t>
  </si>
  <si>
    <t>2026-02-17T20:17:24.862630</t>
  </si>
  <si>
    <t>83.560,29</t>
  </si>
  <si>
    <t>2026-02-17T20:17:25.873993</t>
  </si>
  <si>
    <t>2026-02-17T20:23:49.328567</t>
  </si>
  <si>
    <t>29.048,31</t>
  </si>
  <si>
    <t>2026-02-17T20:23:50.340034</t>
  </si>
  <si>
    <t>2026-02-17T20:25:57.444343</t>
  </si>
  <si>
    <t>54.824,27</t>
  </si>
  <si>
    <t>2026-02-17T20:25:58.455721</t>
  </si>
  <si>
    <t>2026-02-17T20:28:34.961348</t>
  </si>
  <si>
    <t>62.548,27</t>
  </si>
  <si>
    <t>2026-02-17T20:28:35.972253</t>
  </si>
  <si>
    <t>2026-02-17T20:32:26.305367</t>
  </si>
  <si>
    <t>33.672,30</t>
  </si>
  <si>
    <t>2026-02-17T20:32:27.315874</t>
  </si>
  <si>
    <t>2026-02-17T20:34:59.411150</t>
  </si>
  <si>
    <t>86.744,26</t>
  </si>
  <si>
    <t>2026-02-17T20:35:00.419311</t>
  </si>
  <si>
    <t>2026-02-17T20:41:53.139821</t>
  </si>
  <si>
    <t>65.864,28</t>
  </si>
  <si>
    <t>2026-02-17T20:41:54.146806</t>
  </si>
  <si>
    <t>2026-02-17T20:47:06.352413</t>
  </si>
  <si>
    <t>46.116,30</t>
  </si>
  <si>
    <t>2026-02-17T20:47:07.359372</t>
  </si>
  <si>
    <t>2026-02-17T20:50:35.549642</t>
  </si>
  <si>
    <t>75.728,27</t>
  </si>
  <si>
    <t>2026-02-17T20:50:36.561551</t>
  </si>
  <si>
    <t>2026-02-17T20:55:31.205154</t>
  </si>
  <si>
    <t>61.768,27</t>
  </si>
  <si>
    <t>2026-02-17T20:55:32.210186</t>
  </si>
  <si>
    <t>2026-02-17T20:59:41.180205</t>
  </si>
  <si>
    <t>40.180,31</t>
  </si>
  <si>
    <t>2026-02-17T20:59:42.183179</t>
  </si>
  <si>
    <t>2026-02-17T21:02:42.474584</t>
  </si>
  <si>
    <t>65.732,30</t>
  </si>
  <si>
    <t>2026-02-17T18:50:43.427429</t>
  </si>
  <si>
    <t>2026-02-17T18:54:50.323721</t>
  </si>
  <si>
    <t>73.668,28</t>
  </si>
  <si>
    <t>2026-02-17T18:54:51.330140</t>
  </si>
  <si>
    <t>2026-02-17T18:59:50.113845</t>
  </si>
  <si>
    <t>38.304,33</t>
  </si>
  <si>
    <t>2026-02-17T18:59:51.117333</t>
  </si>
  <si>
    <t>2026-02-17T19:02:39.111176</t>
  </si>
  <si>
    <t>62.072,29</t>
  </si>
  <si>
    <t>2026-02-17T19:02:40.121636</t>
  </si>
  <si>
    <t>2026-02-17T19:07:51.279168</t>
  </si>
  <si>
    <t>73.524,23</t>
  </si>
  <si>
    <t>2026-02-17T19:07:52.290222</t>
  </si>
  <si>
    <t>2026-02-17T19:14:22.405212</t>
  </si>
  <si>
    <t>58.440,30</t>
  </si>
  <si>
    <t>2026-02-17T19:14:23.411654</t>
  </si>
  <si>
    <t>2026-02-17T19:18:01.652656</t>
  </si>
  <si>
    <t>67.768,29</t>
  </si>
  <si>
    <t>2026-02-17T19:18:02.655066</t>
  </si>
  <si>
    <t>2026-02-17T19:22:51.755608</t>
  </si>
  <si>
    <t>75.084,23</t>
  </si>
  <si>
    <t>2026-02-17T19:22:52.766870</t>
  </si>
  <si>
    <t>2026-02-17T19:27:44.728512</t>
  </si>
  <si>
    <t>41.060,31</t>
  </si>
  <si>
    <t>2026-02-17T19:27:45.740844</t>
  </si>
  <si>
    <t>2026-02-17T19:31:08.939530</t>
  </si>
  <si>
    <t>89.480,29</t>
  </si>
  <si>
    <t>2026-02-17T19:31:09.950882</t>
  </si>
  <si>
    <t>2026-02-17T19:36:32.966244</t>
  </si>
  <si>
    <t>75.480,23</t>
  </si>
  <si>
    <t>2026-02-17T19:36:33.969778</t>
  </si>
  <si>
    <t>2026-02-17T19:42:17.340564</t>
  </si>
  <si>
    <t>55.076,31</t>
  </si>
  <si>
    <t>2026-02-17T19:42:18.352045</t>
  </si>
  <si>
    <t>2026-02-17T19:47:04.189937</t>
  </si>
  <si>
    <t>89.200,29</t>
  </si>
  <si>
    <t>2026-02-17T19:47:05.200063</t>
  </si>
  <si>
    <t>2026-02-17T19:53:22.289193</t>
  </si>
  <si>
    <t>95.472,23</t>
  </si>
  <si>
    <t>2026-02-17T19:53:23.300308</t>
  </si>
  <si>
    <t>2026-02-17T20:00:42.062765</t>
  </si>
  <si>
    <t>42.872,28</t>
  </si>
  <si>
    <t>2026-02-17T20:00:43.067531</t>
  </si>
  <si>
    <t>2026-02-17T20:04:00.918317</t>
  </si>
  <si>
    <t>93.124,29</t>
  </si>
  <si>
    <t>2026-02-17T20:04:01.930216</t>
  </si>
  <si>
    <t>2026-02-17T20:10:30.461725</t>
  </si>
  <si>
    <t>68.024,24</t>
  </si>
  <si>
    <t>2026-02-17T20:10:31.463211</t>
  </si>
  <si>
    <t>2026-02-17T20:15:49.603168</t>
  </si>
  <si>
    <t>60.324,30</t>
  </si>
  <si>
    <t>2026-02-17T20:15:50.614877</t>
  </si>
  <si>
    <t>2026-02-17T20:20:15.623376</t>
  </si>
  <si>
    <t>111.884,29</t>
  </si>
  <si>
    <t>2026-02-17T20:20:16.629718</t>
  </si>
  <si>
    <t>2026-02-17T20:28:02.152780</t>
  </si>
  <si>
    <t>55.724,23</t>
  </si>
  <si>
    <t>2026-02-17T20:28:03.165460</t>
  </si>
  <si>
    <t>2026-02-17T20:32:25.443984</t>
  </si>
  <si>
    <t>44.244,30</t>
  </si>
  <si>
    <t>2026-02-17T20:32:26.450176</t>
  </si>
  <si>
    <t>2026-02-17T20:35:23.735495</t>
  </si>
  <si>
    <t>85.544,30</t>
  </si>
  <si>
    <t>2026-02-17T20:35:24.742622</t>
  </si>
  <si>
    <t>2026-02-17T20:40:57.673309</t>
  </si>
  <si>
    <t>91.644,24</t>
  </si>
  <si>
    <t>2026-02-17T20:40:58.682280</t>
  </si>
  <si>
    <t>2026-02-17T20:47:41.603672</t>
  </si>
  <si>
    <t>47.212,31</t>
  </si>
  <si>
    <t>2026-02-17T20:47:42.609927</t>
  </si>
  <si>
    <t>2026-02-17T20:50:29.139087</t>
  </si>
  <si>
    <t>89.696,30</t>
  </si>
  <si>
    <t>2026-02-17T20:50:30.146514</t>
  </si>
  <si>
    <t>2026-02-17T20:57:40.794066</t>
  </si>
  <si>
    <t>80.536,26</t>
  </si>
  <si>
    <t>2026-02-17T20:57:41.799821</t>
  </si>
  <si>
    <t>2026-02-17T21:02:57.880671</t>
  </si>
  <si>
    <t>48.104,26</t>
  </si>
  <si>
    <t>2026-02-17T21:02:58.886826</t>
  </si>
  <si>
    <t>2026-02-17T21:05:12.524103</t>
  </si>
  <si>
    <t>89.756,30</t>
  </si>
  <si>
    <t>2026-02-17T21:05:13.536677</t>
  </si>
  <si>
    <t>2026-02-17T21:07:13.710151</t>
  </si>
  <si>
    <t>60.596,23</t>
  </si>
  <si>
    <t>2026-02-17T21:07:14.724415</t>
  </si>
  <si>
    <t>2026-02-17T21:09:18.117433</t>
  </si>
  <si>
    <t>47.976,26</t>
  </si>
  <si>
    <t>2026-02-17T21:09:19.128329</t>
  </si>
  <si>
    <t>2026-02-17T21:10:27.464440</t>
  </si>
  <si>
    <t>56.036,24</t>
  </si>
  <si>
    <t>2026-02-17T21:18:51.900338</t>
  </si>
  <si>
    <t>2026-02-17T21:22:44.067067</t>
  </si>
  <si>
    <t>79.588,27</t>
  </si>
  <si>
    <t>2026-02-17T21:22:45.072773</t>
  </si>
  <si>
    <t>2026-02-17T21:28:32.574865</t>
  </si>
  <si>
    <t>45.200,25</t>
  </si>
  <si>
    <t>2026-02-17T21:28:33.580120</t>
  </si>
  <si>
    <t>2026-02-17T21:31:56.075424</t>
  </si>
  <si>
    <t>95.972,26</t>
  </si>
  <si>
    <t>2026-02-17T21:31:57.081232</t>
  </si>
  <si>
    <t>2026-02-17T21:37:47.622193</t>
  </si>
  <si>
    <t>53.328,29</t>
  </si>
  <si>
    <t>2026-02-17T21:37:48.633358</t>
  </si>
  <si>
    <t>2026-02-17T21:42:30.173601</t>
  </si>
  <si>
    <t>46.748,24</t>
  </si>
  <si>
    <t>2026-02-17T21:42:31.175872</t>
  </si>
  <si>
    <t>2026-02-17T21:46:01.498275</t>
  </si>
  <si>
    <t>105.944,27</t>
  </si>
  <si>
    <t>2026-02-17T21:46:02.520324</t>
  </si>
  <si>
    <t>2026-02-17T21:53:12.875701</t>
  </si>
  <si>
    <t>65.160,26</t>
  </si>
  <si>
    <t>2026-02-17T21:53:13.888125</t>
  </si>
  <si>
    <t>2026-02-17T21:59:09.128353</t>
  </si>
  <si>
    <t>34.304,27</t>
  </si>
  <si>
    <t>2026-02-17T21:59:10.131119</t>
  </si>
  <si>
    <t>2026-02-17T22:01:33.331764</t>
  </si>
  <si>
    <t>85.576,26</t>
  </si>
  <si>
    <t>2026-02-17T22:01:34.336827</t>
  </si>
  <si>
    <t>2026-02-17T22:07:39.279035</t>
  </si>
  <si>
    <t>69.728,24</t>
  </si>
  <si>
    <t>2026-02-17T22:07:40.291184</t>
  </si>
  <si>
    <t>2026-02-17T22:13:06.085310</t>
  </si>
  <si>
    <t>44.528,25</t>
  </si>
  <si>
    <t>2026-02-17T22:13:07.091004</t>
  </si>
  <si>
    <t>2026-02-17T22:16:14.682479</t>
  </si>
  <si>
    <t>82.992,25</t>
  </si>
  <si>
    <t>2026-02-17T22:16:15.689249</t>
  </si>
  <si>
    <t>2026-02-17T22:22:33.565624</t>
  </si>
  <si>
    <t>82.928,29</t>
  </si>
  <si>
    <t>2026-02-17T22:22:34.572834</t>
  </si>
  <si>
    <t>2026-02-17T22:27:56.513301</t>
  </si>
  <si>
    <t>44.604,26</t>
  </si>
  <si>
    <t>2026-02-17T22:27:57.526768</t>
  </si>
  <si>
    <t>2026-02-17T22:31:25.208913</t>
  </si>
  <si>
    <t>83.996,27</t>
  </si>
  <si>
    <t>2026-02-17T22:31:26.220840</t>
  </si>
  <si>
    <t>2026-02-17T22:37:11.006946</t>
  </si>
  <si>
    <t>53.096,27</t>
  </si>
  <si>
    <t>2026-02-17T22:37:12.020963</t>
  </si>
  <si>
    <t>2026-02-17T22:42:03.887441</t>
  </si>
  <si>
    <t>39.368,26</t>
  </si>
  <si>
    <t>2026-02-17T22:42:04.895739</t>
  </si>
  <si>
    <t>2026-02-17T22:44:38.469687</t>
  </si>
  <si>
    <t>67.272,29</t>
  </si>
  <si>
    <t>2026-02-17T22:44:39.478755</t>
  </si>
  <si>
    <t>2026-02-17T22:49:35.617897</t>
  </si>
  <si>
    <t>132.748,24</t>
  </si>
  <si>
    <t>2026-02-17T22:49:36.622457</t>
  </si>
  <si>
    <t>2026-02-17T22:59:55.431829</t>
  </si>
  <si>
    <t>52.604,28</t>
  </si>
  <si>
    <t>2026-02-17T22:59:56.444608</t>
  </si>
  <si>
    <t>2026-02-17T23:03:58.150623</t>
  </si>
  <si>
    <t>93.772,27</t>
  </si>
  <si>
    <t>2026-02-17T23:03:59.158361</t>
  </si>
  <si>
    <t>2026-02-17T23:10:32.829159</t>
  </si>
  <si>
    <t>59.616,27</t>
  </si>
  <si>
    <t>2026-02-17T23:10:33.842916</t>
  </si>
  <si>
    <t>2026-02-17T23:14:42.136975</t>
  </si>
  <si>
    <t>38.932,26</t>
  </si>
  <si>
    <t>2026-02-17T23:14:43.138431</t>
  </si>
  <si>
    <t>2026-02-17T23:17:01.315909</t>
  </si>
  <si>
    <t>88.700,28</t>
  </si>
  <si>
    <t>2026-02-17T23:17:02.320963</t>
  </si>
  <si>
    <t>2026-02-17T23:22:19.747143</t>
  </si>
  <si>
    <t>58.308,25</t>
  </si>
  <si>
    <t>2026-02-17T23:22:20.758682</t>
  </si>
  <si>
    <t>2026-02-17T23:27:37.377417</t>
  </si>
  <si>
    <t>39.068,26</t>
  </si>
  <si>
    <t>2026-02-17T23:27:38.378850</t>
  </si>
  <si>
    <t>2026-02-17T23:29:14.526330</t>
  </si>
  <si>
    <t>57.948,31</t>
  </si>
  <si>
    <t>2026-02-17T21:18:51.900290</t>
  </si>
  <si>
    <t>2026-02-17T21:22:37.118003</t>
  </si>
  <si>
    <t>49.992,30</t>
  </si>
  <si>
    <t>2026-02-17T21:22:38.125146</t>
  </si>
  <si>
    <t>2026-02-17T21:27:50.802389</t>
  </si>
  <si>
    <t>37.816,25</t>
  </si>
  <si>
    <t>2026-02-17T21:27:51.813222</t>
  </si>
  <si>
    <t>2026-02-17T21:30:42.271622</t>
  </si>
  <si>
    <t>93.708,27</t>
  </si>
  <si>
    <t>2026-02-17T21:30:43.279659</t>
  </si>
  <si>
    <t>2026-02-17T21:36:57.278230</t>
  </si>
  <si>
    <t>39.976,28</t>
  </si>
  <si>
    <t>2026-02-17T21:36:58.289794</t>
  </si>
  <si>
    <t>2026-02-17T21:41:37.339145</t>
  </si>
  <si>
    <t>53.048,26</t>
  </si>
  <si>
    <t>2026-02-17T21:41:38.343857</t>
  </si>
  <si>
    <t>2026-02-17T21:45:15.348912</t>
  </si>
  <si>
    <t>76.324,22</t>
  </si>
  <si>
    <t>2026-02-17T21:45:16.360073</t>
  </si>
  <si>
    <t>2026-02-17T21:50:18.955611</t>
  </si>
  <si>
    <t>47.748,27</t>
  </si>
  <si>
    <t>2026-02-17T21:50:19.969559</t>
  </si>
  <si>
    <t>2026-02-17T21:53:50.172028</t>
  </si>
  <si>
    <t>46.208,28</t>
  </si>
  <si>
    <t>2026-02-17T21:53:51.185411</t>
  </si>
  <si>
    <t>2026-02-17T21:56:40.981409</t>
  </si>
  <si>
    <t>60.076,27</t>
  </si>
  <si>
    <t>2026-02-17T21:56:41.992348</t>
  </si>
  <si>
    <t>2026-02-17T22:01:02.899560</t>
  </si>
  <si>
    <t>99.636,27</t>
  </si>
  <si>
    <t>2026-02-17T22:01:03.908823</t>
  </si>
  <si>
    <t>2026-02-17T22:09:02.435537</t>
  </si>
  <si>
    <t>49.916,27</t>
  </si>
  <si>
    <t>2026-02-17T22:09:03.448491</t>
  </si>
  <si>
    <t>2026-02-17T22:13:07.596019</t>
  </si>
  <si>
    <t>42.964,25</t>
  </si>
  <si>
    <t>2026-02-17T22:13:08.613648</t>
  </si>
  <si>
    <t>2026-02-17T22:17:05.352770</t>
  </si>
  <si>
    <t>75.908,26</t>
  </si>
  <si>
    <t>2026-02-17T22:17:06.360285</t>
  </si>
  <si>
    <t>2026-02-17T22:22:58.147001</t>
  </si>
  <si>
    <t>38.868,22</t>
  </si>
  <si>
    <t>2026-02-17T22:22:59.158524</t>
  </si>
  <si>
    <t>2026-02-17T22:26:47.936588</t>
  </si>
  <si>
    <t>48.760,28</t>
  </si>
  <si>
    <t>2026-02-17T22:26:48.947751</t>
  </si>
  <si>
    <t>2026-02-17T22:31:18.541531</t>
  </si>
  <si>
    <t>57.660,29</t>
  </si>
  <si>
    <t>2026-02-17T22:31:19.553115</t>
  </si>
  <si>
    <t>2026-02-17T22:36:45.402574</t>
  </si>
  <si>
    <t>39.500,22</t>
  </si>
  <si>
    <t>2026-02-17T22:36:46.413664</t>
  </si>
  <si>
    <t>2026-02-17T22:39:49.267986</t>
  </si>
  <si>
    <t>84.932,27</t>
  </si>
  <si>
    <t>2026-02-17T22:39:50.270868</t>
  </si>
  <si>
    <t>2026-02-17T22:45:26.615013</t>
  </si>
  <si>
    <t>55.020,27</t>
  </si>
  <si>
    <t>2026-02-17T22:45:27.623886</t>
  </si>
  <si>
    <t>2026-02-17T22:49:51.426143</t>
  </si>
  <si>
    <t>55.284,24</t>
  </si>
  <si>
    <t>2026-02-17T22:49:52.431192</t>
  </si>
  <si>
    <t>2026-02-17T22:54:31.409557</t>
  </si>
  <si>
    <t>74.244,28</t>
  </si>
  <si>
    <t>2026-02-17T22:54:32.417587</t>
  </si>
  <si>
    <t>2026-02-17T22:59:52.699570</t>
  </si>
  <si>
    <t>48.844,27</t>
  </si>
  <si>
    <t>2026-02-17T22:59:53.703466</t>
  </si>
  <si>
    <t>2026-02-17T23:03:50.386398</t>
  </si>
  <si>
    <t>49.536,25</t>
  </si>
  <si>
    <t>2026-02-17T23:03:51.398392</t>
  </si>
  <si>
    <t>2026-02-17T23:07:39.052774</t>
  </si>
  <si>
    <t>60.560,25</t>
  </si>
  <si>
    <t>2026-02-17T23:07:40.066074</t>
  </si>
  <si>
    <t>2026-02-17T23:11:40.598107</t>
  </si>
  <si>
    <t>72.448,29</t>
  </si>
  <si>
    <t>2026-02-17T23:11:41.604406</t>
  </si>
  <si>
    <t>2026-02-17T23:16:36.417928</t>
  </si>
  <si>
    <t>59.936,24</t>
  </si>
  <si>
    <t>2026-02-17T23:16:37.424476</t>
  </si>
  <si>
    <t>2026-02-17T23:21:40.032149</t>
  </si>
  <si>
    <t>56.528,27</t>
  </si>
  <si>
    <t>2026-02-17T21:18:51.900264</t>
  </si>
  <si>
    <t>2026-02-17T21:23:23.552192</t>
  </si>
  <si>
    <t>48.680,27</t>
  </si>
  <si>
    <t>2026-02-17T21:23:24.556174</t>
  </si>
  <si>
    <t>2026-02-17T21:29:34.080248</t>
  </si>
  <si>
    <t>32.976,28</t>
  </si>
  <si>
    <t>2026-02-17T21:29:35.092305</t>
  </si>
  <si>
    <t>2026-02-17T21:32:02.595841</t>
  </si>
  <si>
    <t>72.560,25</t>
  </si>
  <si>
    <t>2026-02-17T21:32:03.611198</t>
  </si>
  <si>
    <t>2026-02-17T21:37:42.318783</t>
  </si>
  <si>
    <t>54.084,22</t>
  </si>
  <si>
    <t>2026-02-17T21:37:43.327186</t>
  </si>
  <si>
    <t>2026-02-17T21:41:26.780385</t>
  </si>
  <si>
    <t>48.588,28</t>
  </si>
  <si>
    <t>2026-02-17T21:41:27.787470</t>
  </si>
  <si>
    <t>2026-02-17T21:45:58.516179</t>
  </si>
  <si>
    <t>135.164,21</t>
  </si>
  <si>
    <t>2026-02-17T21:45:59.520581</t>
  </si>
  <si>
    <t>2026-02-17T21:55:59.520585</t>
  </si>
  <si>
    <t>100.232,24</t>
  </si>
  <si>
    <t>2026-02-17T21:56:00.536428</t>
  </si>
  <si>
    <t>2026-02-17T22:04:11.020426</t>
  </si>
  <si>
    <t>66.932,26</t>
  </si>
  <si>
    <t>2026-02-17T22:04:12.024175</t>
  </si>
  <si>
    <t>2026-02-17T22:08:34.348818</t>
  </si>
  <si>
    <t>60.608,23</t>
  </si>
  <si>
    <t>2026-02-17T22:08:35.358043</t>
  </si>
  <si>
    <t>2026-02-17T22:12:36.351653</t>
  </si>
  <si>
    <t>55.508,24</t>
  </si>
  <si>
    <t>2026-02-17T22:12:37.356614</t>
  </si>
  <si>
    <t>2026-02-17T22:18:00.262713</t>
  </si>
  <si>
    <t>58.256,22</t>
  </si>
  <si>
    <t>2026-02-17T22:18:01.270027</t>
  </si>
  <si>
    <t>2026-02-17T22:22:28.977033</t>
  </si>
  <si>
    <t>180.000,25</t>
  </si>
  <si>
    <t>2026-02-17T22:22:29.991640</t>
  </si>
  <si>
    <t>2026-02-17T22:35:28.745222</t>
  </si>
  <si>
    <t>59.460,25</t>
  </si>
  <si>
    <t>2026-02-17T22:35:29.757327</t>
  </si>
  <si>
    <t>2026-02-17T22:40:18.761619</t>
  </si>
  <si>
    <t>47.264,29</t>
  </si>
  <si>
    <t>2026-02-17T22:40:19.766901</t>
  </si>
  <si>
    <t>2026-02-17T22:43:54.857507</t>
  </si>
  <si>
    <t>56.528,23</t>
  </si>
  <si>
    <t>2026-02-17T22:43:55.868184</t>
  </si>
  <si>
    <t>2026-02-17T22:49:31.448149</t>
  </si>
  <si>
    <t>74.520,25</t>
  </si>
  <si>
    <t>2026-02-17T22:49:32.451424</t>
  </si>
  <si>
    <t>2026-02-17T22:53:57.776344</t>
  </si>
  <si>
    <t>58.448,29</t>
  </si>
  <si>
    <t>2026-02-17T22:53:58.780633</t>
  </si>
  <si>
    <t>2026-02-17T22:59:14.565373</t>
  </si>
  <si>
    <t>79.700,23</t>
  </si>
  <si>
    <t>2026-02-17T22:59:15.577180</t>
  </si>
  <si>
    <t>2026-02-17T23:05:11.333095</t>
  </si>
  <si>
    <t>59.512,27</t>
  </si>
  <si>
    <t>2026-02-17T23:05:12.348733</t>
  </si>
  <si>
    <t>2026-02-17T23:10:03.677980</t>
  </si>
  <si>
    <t>46.956,23</t>
  </si>
  <si>
    <t>2026-02-17T23:10:04.690677</t>
  </si>
  <si>
    <t>2026-02-17T23:14:18.050336</t>
  </si>
  <si>
    <t>126.696,26</t>
  </si>
  <si>
    <t>2026-02-17T23:14:19.058388</t>
  </si>
  <si>
    <t>2026-02-17T23:22:17.624425</t>
  </si>
  <si>
    <t>73.648,27</t>
  </si>
  <si>
    <t>2026-02-17T23:22:18.635329</t>
  </si>
  <si>
    <t>2026-02-17T23:25:23.077893</t>
  </si>
  <si>
    <t>36.876,27</t>
  </si>
  <si>
    <t>2026-02-17T23:25:24.080608</t>
  </si>
  <si>
    <t>2026-02-17T23:26:56.794395</t>
  </si>
  <si>
    <t>72.020,23</t>
  </si>
  <si>
    <t>2026-02-17T23:26:57.797516</t>
  </si>
  <si>
    <t>2026-02-17T23:29:36.558489</t>
  </si>
  <si>
    <t>88.352,24</t>
  </si>
  <si>
    <t>2026-02-17T23:29:37.572893</t>
  </si>
  <si>
    <t>2026-02-17T23:31:52.028121</t>
  </si>
  <si>
    <t>46.940,28</t>
  </si>
  <si>
    <t>2026-02-17T23:31:53.041903</t>
  </si>
  <si>
    <t>2026-02-17T23:32:59.825729</t>
  </si>
  <si>
    <t>runtime(s)</t>
  </si>
  <si>
    <t>collision_rate</t>
  </si>
  <si>
    <t>10s collision possibility</t>
  </si>
  <si>
    <t>51.344,27</t>
  </si>
  <si>
    <t>2026-02-18T08:34:40.319086</t>
  </si>
  <si>
    <t>2026-02-18T08:38:02.238642</t>
  </si>
  <si>
    <t>48.800,25</t>
  </si>
  <si>
    <t>2026-02-18T08:38:03.244777</t>
  </si>
  <si>
    <t>2026-02-18T08:42:23.298657</t>
  </si>
  <si>
    <t>41.488,26</t>
  </si>
  <si>
    <t>2026-02-18T08:42:24.307265</t>
  </si>
  <si>
    <t>2026-02-18T08:44:54.901133</t>
  </si>
  <si>
    <t>69.676,26</t>
  </si>
  <si>
    <t>2026-02-18T08:44:55.903150</t>
  </si>
  <si>
    <t>2026-02-18T08:50:15.697388</t>
  </si>
  <si>
    <t>99.988,25</t>
  </si>
  <si>
    <t>2026-02-18T08:50:16.700512</t>
  </si>
  <si>
    <t>2026-02-18T08:57:51.638154</t>
  </si>
  <si>
    <t>58.704,25</t>
  </si>
  <si>
    <t>2026-02-18T08:57:52.644484</t>
  </si>
  <si>
    <t>2026-02-18T09:02:07.773359</t>
  </si>
  <si>
    <t>76.384,26</t>
  </si>
  <si>
    <t>2026-02-18T09:02:08.779377</t>
  </si>
  <si>
    <t>2026-02-18T09:07:11.940627</t>
  </si>
  <si>
    <t>147.852,26</t>
  </si>
  <si>
    <t>2026-02-18T09:07:12.951925</t>
  </si>
  <si>
    <t>2026-02-18T09:17:27.163038</t>
  </si>
  <si>
    <t>48.664,26</t>
  </si>
  <si>
    <t>2026-02-18T09:17:28.170008</t>
  </si>
  <si>
    <t>2026-02-18T09:21:00.898192</t>
  </si>
  <si>
    <t>111.540,27</t>
  </si>
  <si>
    <t>2026-02-18T09:21:01.902838</t>
  </si>
  <si>
    <t>2026-02-18T09:27:30.998149</t>
  </si>
  <si>
    <t>98.232,24</t>
  </si>
  <si>
    <t>2026-02-18T09:27:32.004510</t>
  </si>
  <si>
    <t>2026-02-18T09:33:16.257005</t>
  </si>
  <si>
    <t>46.240,21</t>
  </si>
  <si>
    <t>2026-02-18T09:33:17.262942</t>
  </si>
  <si>
    <t>2026-02-18T09:36:12.739531</t>
  </si>
  <si>
    <t>52.104,28</t>
  </si>
  <si>
    <t>2026-02-18T09:36:13.744310</t>
  </si>
  <si>
    <t>2026-02-18T09:39:54.597530</t>
  </si>
  <si>
    <t>58.224,27</t>
  </si>
  <si>
    <t>2026-02-18T09:39:55.605900</t>
  </si>
  <si>
    <t>2026-02-18T09:43:57.584879</t>
  </si>
  <si>
    <t>44.932,28</t>
  </si>
  <si>
    <t>2026-02-18T09:43:58.594937</t>
  </si>
  <si>
    <t>2026-02-18T09:48:09.554856</t>
  </si>
  <si>
    <t>77.712,28</t>
  </si>
  <si>
    <t>2026-02-18T09:48:10.560597</t>
  </si>
  <si>
    <t>2026-02-18T09:53:49.619610</t>
  </si>
  <si>
    <t>76.728,26</t>
  </si>
  <si>
    <t>2026-02-18T09:53:50.622621</t>
  </si>
  <si>
    <t>2026-02-18T09:59:01.065359</t>
  </si>
  <si>
    <t>50.792,30</t>
  </si>
  <si>
    <t>2026-02-18T09:59:02.078756</t>
  </si>
  <si>
    <t>2026-02-18T10:02:02.435492</t>
  </si>
  <si>
    <t>70.708,24</t>
  </si>
  <si>
    <t>2026-02-18T10:02:03.447300</t>
  </si>
  <si>
    <t>2026-02-18T10:07:37.940211</t>
  </si>
  <si>
    <t>41.952,28</t>
  </si>
  <si>
    <t>2026-02-18T10:08:26.622207</t>
  </si>
  <si>
    <t>2026-02-18T10:11:18.673294</t>
  </si>
  <si>
    <t>76.312,26</t>
  </si>
  <si>
    <t>2026-02-18T10:11:19.678885</t>
  </si>
  <si>
    <t>2026-02-18T10:16:32.220387</t>
  </si>
  <si>
    <t>60.112,25</t>
  </si>
  <si>
    <t>2026-02-18T10:16:33.232007</t>
  </si>
  <si>
    <t>2026-02-18T10:21:59.688771</t>
  </si>
  <si>
    <t>58.004,27</t>
  </si>
  <si>
    <t>2026-02-18T10:22:00.697064</t>
  </si>
  <si>
    <t>2026-02-18T10:26:49.372540</t>
  </si>
  <si>
    <t>70.516,26</t>
  </si>
  <si>
    <t>2026-02-18T10:26:50.383431</t>
  </si>
  <si>
    <t>2026-02-18T10:31:48.024669</t>
  </si>
  <si>
    <t>63.988,26</t>
  </si>
  <si>
    <t>2026-02-18T10:31:49.034262</t>
  </si>
  <si>
    <t>2026-02-18T10:36:58.277791</t>
  </si>
  <si>
    <t>31.980,27</t>
  </si>
  <si>
    <t>2026-02-18T10:36:59.289434</t>
  </si>
  <si>
    <t>2026-02-18T10:40:15.159304</t>
  </si>
  <si>
    <t>67.168,29</t>
  </si>
  <si>
    <t>2026-02-18T10:40:16.172543</t>
  </si>
  <si>
    <t>2026-02-18T10:43:41.542641</t>
  </si>
  <si>
    <t>55.436,28</t>
  </si>
  <si>
    <t>2026-02-18T10:43:42.554511</t>
  </si>
  <si>
    <t>2026-02-18T10:47:52.032748</t>
  </si>
  <si>
    <t>42.036,30</t>
  </si>
  <si>
    <t>2026-02-18T10:47:53.042338</t>
  </si>
  <si>
    <t>2026-02-18T10:50:34.881979</t>
  </si>
  <si>
    <t>108.804,28</t>
  </si>
  <si>
    <t>2026-02-18T10:50:35.894630</t>
  </si>
  <si>
    <t>2026-02-18T10:57:48.325632</t>
  </si>
  <si>
    <t>120.044,27</t>
  </si>
  <si>
    <t>2026-02-18T10:57:49.330077</t>
  </si>
  <si>
    <t>2026-02-18T11:07:07.634817</t>
  </si>
  <si>
    <t>40.828,29</t>
  </si>
  <si>
    <t>2026-02-18T11:07:08.638469</t>
  </si>
  <si>
    <t>2026-02-18T11:11:01.767230</t>
  </si>
  <si>
    <t>110.164,26</t>
  </si>
  <si>
    <t>2026-02-18T11:11:02.773172</t>
  </si>
  <si>
    <t>2026-02-18T11:17:21.347798</t>
  </si>
  <si>
    <t>48.376,25</t>
  </si>
  <si>
    <t>2026-02-18T11:17:22.352106</t>
  </si>
  <si>
    <t>2026-02-18T11:20:38.122964</t>
  </si>
  <si>
    <t>48.872,31</t>
  </si>
  <si>
    <t>2026-02-18T11:20:39.132249</t>
  </si>
  <si>
    <t>2026-02-18T11:23:38.132823</t>
  </si>
  <si>
    <t>68.308,26</t>
  </si>
  <si>
    <t>2026-02-18T11:23:39.144464</t>
  </si>
  <si>
    <t>2026-02-18T11:28:59.922133</t>
  </si>
  <si>
    <t>69.312,28</t>
  </si>
  <si>
    <t>2026-02-18T11:29:00.929923</t>
  </si>
  <si>
    <t>2026-02-18T11:33:26.246910</t>
  </si>
  <si>
    <t>57.616,31</t>
  </si>
  <si>
    <t>2026-02-18T11:33:27.249933</t>
  </si>
  <si>
    <t>2026-02-18T11:37:21.983695</t>
  </si>
  <si>
    <t>58.796,28</t>
  </si>
  <si>
    <t>2026-02-18T11:37:22.995505</t>
  </si>
  <si>
    <t>2026-02-18T11:43:18.399828</t>
  </si>
  <si>
    <t>74.144,27</t>
  </si>
  <si>
    <t>2026-02-18T11:43:19.412017</t>
  </si>
  <si>
    <t>2026-02-18T11:48:01.150328</t>
  </si>
  <si>
    <t>57.000,31</t>
  </si>
  <si>
    <t>2026-02-18T11:48:02.162857</t>
  </si>
  <si>
    <t>2026-02-18T11:51:33.775033</t>
  </si>
  <si>
    <t>59.056,28</t>
  </si>
  <si>
    <t>2026-02-18T11:51:34.783139</t>
  </si>
  <si>
    <t>2026-02-18T11:55:54.429468</t>
  </si>
  <si>
    <t>69.000,26</t>
  </si>
  <si>
    <t>2026-02-18T11:55:55.442009</t>
  </si>
  <si>
    <t>2026-02-18T12:00:54.142337</t>
  </si>
  <si>
    <t>47.260,32</t>
  </si>
  <si>
    <t>2026-02-18T12:00:55.151804</t>
  </si>
  <si>
    <t>2026-02-18T12:03:45.974392</t>
  </si>
  <si>
    <t>66.848,29</t>
  </si>
  <si>
    <t>2026-02-18T12:03:46.981304</t>
  </si>
  <si>
    <t>2026-02-18T12:07:49.583838</t>
  </si>
  <si>
    <t>53.756,30</t>
  </si>
  <si>
    <t>2026-02-18T12:07:50.594950</t>
  </si>
  <si>
    <t>2026-02-18T12:11:50.153860</t>
  </si>
  <si>
    <t>43.560,28</t>
  </si>
  <si>
    <t>2026-02-18T12:11:51.160785</t>
  </si>
  <si>
    <t>2026-02-18T12:15:11.541368</t>
  </si>
  <si>
    <t>60.548,29</t>
  </si>
  <si>
    <t>2026-02-18T12:15:12.547051</t>
  </si>
  <si>
    <t>2026-02-18T12:20:27.268740</t>
  </si>
  <si>
    <t>116.092,27</t>
  </si>
  <si>
    <t>2026-02-18T12:20:28.272210</t>
  </si>
  <si>
    <t>2026-02-18T12:27:31.737845</t>
  </si>
  <si>
    <t>49.532,30</t>
  </si>
  <si>
    <t>2026-02-18T12:27:32.749457</t>
  </si>
  <si>
    <t>2026-02-18T12:31:07.937197</t>
  </si>
  <si>
    <t>57.840,29</t>
  </si>
  <si>
    <t>2026-02-18T12:31:08.945663</t>
  </si>
  <si>
    <t>2026-02-18T12:35:30.133249</t>
  </si>
  <si>
    <t>72.196,26</t>
  </si>
  <si>
    <t>2026-02-18T12:35:31.139397</t>
  </si>
  <si>
    <t>2026-02-18T12:40:55.547467</t>
  </si>
  <si>
    <t>37.428,32</t>
  </si>
  <si>
    <t>2026-02-18T12:40:56.554666</t>
  </si>
  <si>
    <t>2026-02-18T12:43:24.523579</t>
  </si>
  <si>
    <t>54.584,23</t>
  </si>
  <si>
    <t>2026-02-18T12:43:25.529503</t>
  </si>
  <si>
    <t>2026-02-18T12:46:16.235440</t>
  </si>
  <si>
    <t>54.872,26</t>
  </si>
  <si>
    <t>2026-02-18T12:46:17.254369</t>
  </si>
  <si>
    <t>2026-02-18T12:50:39.777865</t>
  </si>
  <si>
    <t>29.208,36</t>
  </si>
  <si>
    <t>2026-02-18T12:50:40.781905</t>
  </si>
  <si>
    <t>2026-02-18T12:53:01.678396</t>
  </si>
  <si>
    <t>66.072,29</t>
  </si>
  <si>
    <t>2026-02-18T12:53:02.689358</t>
  </si>
  <si>
    <t>2026-02-18T12:57:52.931610</t>
  </si>
  <si>
    <t>83.656,27</t>
  </si>
  <si>
    <t>2026-02-18T12:57:53.939237</t>
  </si>
  <si>
    <t>2026-02-18T13:02:46.128077</t>
  </si>
  <si>
    <t>43.016,29</t>
  </si>
  <si>
    <t>2026-02-18T13:02:47.141722</t>
  </si>
  <si>
    <t>2026-02-18T13:06:52.726404</t>
  </si>
  <si>
    <t>85.772,25</t>
  </si>
  <si>
    <t>2026-02-18T13:06:53.731519</t>
  </si>
  <si>
    <t>2026-02-18T13:13:08.775849</t>
  </si>
  <si>
    <t>66.328,23</t>
  </si>
  <si>
    <t>2026-02-18T13:13:09.793331</t>
  </si>
  <si>
    <t>2026-02-18T13:17:44.288306</t>
  </si>
  <si>
    <t>52.064,31</t>
  </si>
  <si>
    <t>2026-02-18T13:17:45.294362</t>
  </si>
  <si>
    <t>2026-02-18T13:21:49.794904</t>
  </si>
  <si>
    <t>57.960,24</t>
  </si>
  <si>
    <t>2026-02-18T13:21:50.799936</t>
  </si>
  <si>
    <t>2026-02-18T13:27:26.648276</t>
  </si>
  <si>
    <t>80.944,27</t>
  </si>
  <si>
    <t>2026-02-18T13:27:27.655494</t>
  </si>
  <si>
    <t>2026-02-18T13:33:18.375927</t>
  </si>
  <si>
    <t>43.740,30</t>
  </si>
  <si>
    <t>2026-02-18T13:33:19.380256</t>
  </si>
  <si>
    <t>2026-02-18T13:37:58.526759</t>
  </si>
  <si>
    <t>61.352,22</t>
  </si>
  <si>
    <t>2026-02-18T13:37:59.538618</t>
  </si>
  <si>
    <t>2026-02-18T13:42:52.678213</t>
  </si>
  <si>
    <t>77.388,26</t>
  </si>
  <si>
    <t>2026-02-18T13:42:53.690363</t>
  </si>
  <si>
    <t>2026-02-18T13:47:58.662250</t>
  </si>
  <si>
    <t>48.032,31</t>
  </si>
  <si>
    <t>2026-02-18T13:47:59.674110</t>
  </si>
  <si>
    <t>2026-02-18T13:51:15.502552</t>
  </si>
  <si>
    <t>64.724,23</t>
  </si>
  <si>
    <t>2026-02-18T13:51:16.515540</t>
  </si>
  <si>
    <t>2026-02-18T13:54:54.633999</t>
  </si>
  <si>
    <t>65.064,22</t>
  </si>
  <si>
    <t>2026-02-18T13:54:55.645274</t>
  </si>
  <si>
    <t>2026-02-18T13:59:17.493574</t>
  </si>
  <si>
    <t>45.252,34</t>
  </si>
  <si>
    <t>2026-02-18T13:59:18.505276</t>
  </si>
  <si>
    <t>2026-02-18T14:03:30.164720</t>
  </si>
  <si>
    <t>83.400,26</t>
  </si>
  <si>
    <t>2026-02-18T14:03:31.167803</t>
  </si>
  <si>
    <t>2026-02-18T14:09:27.076927</t>
  </si>
  <si>
    <t>66.916,26</t>
  </si>
  <si>
    <t>2026-02-18T14:09:28.090103</t>
  </si>
  <si>
    <t>2026-02-18T14:14:05.769829</t>
  </si>
  <si>
    <t>41.132,30</t>
  </si>
  <si>
    <t>2026-02-18T14:14:06.784093</t>
  </si>
  <si>
    <t>2026-02-18T14:17:11.710141</t>
  </si>
  <si>
    <t>102.320,27</t>
  </si>
  <si>
    <t>2026-02-18T14:17:12.722309</t>
  </si>
  <si>
    <t>2026-02-18T14:24:24.312355</t>
  </si>
  <si>
    <t>56.612,26</t>
  </si>
  <si>
    <t>2026-02-18T14:24:25.324431</t>
  </si>
  <si>
    <t>2026-02-18T14:29:04.988389</t>
  </si>
  <si>
    <t>42.288,30</t>
  </si>
  <si>
    <t>2026-02-18T14:29:05.994952</t>
  </si>
  <si>
    <t>2026-02-18T14:32:18.533140</t>
  </si>
  <si>
    <t>63.728,26</t>
  </si>
  <si>
    <t>2026-02-18T14:32:19.544926</t>
  </si>
  <si>
    <t>2026-02-18T14:37:05.968539</t>
  </si>
  <si>
    <t>92.164,24</t>
  </si>
  <si>
    <t>2026-02-18T14:37:06.981270</t>
  </si>
  <si>
    <t>2026-02-18T14:44:16.457882</t>
  </si>
  <si>
    <t>32.556,31</t>
  </si>
  <si>
    <t>2026-02-18T14:44:17.469335</t>
  </si>
  <si>
    <t>2026-02-18T14:46:47.763232</t>
  </si>
  <si>
    <t>68.080,25</t>
  </si>
  <si>
    <t>2026-02-18T14:46:48.773981</t>
  </si>
  <si>
    <t>2026-02-18T14:51:33.503401</t>
  </si>
  <si>
    <t>54.432,25</t>
  </si>
  <si>
    <t>2026-02-18T14:51:34.516488</t>
  </si>
  <si>
    <t>2026-02-18T14:55:44.075192</t>
  </si>
  <si>
    <t>39.784,32</t>
  </si>
  <si>
    <t>2026-02-18T14:55:45.080580</t>
  </si>
  <si>
    <t>2026-02-18T14:58:08.057738</t>
  </si>
  <si>
    <t>56.624,24</t>
  </si>
  <si>
    <t>2026-02-18T14:58:09.069679</t>
  </si>
  <si>
    <t>2026-02-18T15:02:35.702705</t>
  </si>
  <si>
    <t>68.744,25</t>
  </si>
  <si>
    <t>2026-02-18T15:02:36.706645</t>
  </si>
  <si>
    <t>2026-02-18T15:08:01.717127</t>
  </si>
  <si>
    <t>49.016,25</t>
  </si>
  <si>
    <t>2026-02-18T15:08:02.723852</t>
  </si>
  <si>
    <t>2026-02-18T15:11:02.683861</t>
  </si>
  <si>
    <t>53.332,27</t>
  </si>
  <si>
    <t>2026-02-18T15:11:03.695985</t>
  </si>
  <si>
    <t>2026-02-18T15:14:47.216066</t>
  </si>
  <si>
    <t>99.780,28</t>
  </si>
  <si>
    <t>2026-02-18T15:14:48.232813</t>
  </si>
  <si>
    <t>2026-02-18T15:21:40.472688</t>
  </si>
  <si>
    <t>48.216,24</t>
  </si>
  <si>
    <t>2026-02-18T15:21:41.482205</t>
  </si>
  <si>
    <t>2026-02-18T15:24:55.073330</t>
  </si>
  <si>
    <t>60.500,23</t>
  </si>
  <si>
    <t>2026-02-18T15:24:56.090927</t>
  </si>
  <si>
    <t>2026-02-18T15:29:28.861815</t>
  </si>
  <si>
    <t>94.280,27</t>
  </si>
  <si>
    <t>2026-02-18T15:29:29.875395</t>
  </si>
  <si>
    <t>2026-02-18T15:36:10.548127</t>
  </si>
  <si>
    <t>45.976,27</t>
  </si>
  <si>
    <t>2026-02-18T15:36:11.561233</t>
  </si>
  <si>
    <t>2026-02-18T15:39:30.984611</t>
  </si>
  <si>
    <t>85.264,25</t>
  </si>
  <si>
    <t>2026-02-18T15:39:31.991233</t>
  </si>
  <si>
    <t>2026-02-18T15:44:30.355865</t>
  </si>
  <si>
    <t>97.524,27</t>
  </si>
  <si>
    <t>2026-02-18T15:44:31.364159</t>
  </si>
  <si>
    <t>2026-02-18T15:53:10.418130</t>
  </si>
  <si>
    <t>47.728,28</t>
  </si>
  <si>
    <t>2026-02-18T15:53:11.422422</t>
  </si>
  <si>
    <t>2026-02-18T15:56:51.609008</t>
  </si>
  <si>
    <t>84.744,24</t>
  </si>
  <si>
    <t>2026-02-18T15:56:52.616970</t>
  </si>
  <si>
    <t>2026-02-18T16:02:20.509531</t>
  </si>
  <si>
    <t>64.260,25</t>
  </si>
  <si>
    <t>2026-02-18T16:02:21.516655</t>
  </si>
  <si>
    <t>2026-02-18T16:07:43.866648</t>
  </si>
  <si>
    <t>46.600,23</t>
  </si>
  <si>
    <t>2026-02-18T16:07:44.878108</t>
  </si>
  <si>
    <t>2026-02-18T16:10:30.796590</t>
  </si>
  <si>
    <t>77.412,25</t>
  </si>
  <si>
    <t>2026-02-18T16:10:31.802348</t>
  </si>
  <si>
    <t>2026-02-18T16:15:29.655863</t>
  </si>
  <si>
    <t>91.592,23</t>
  </si>
  <si>
    <t>2026-02-18T16:15:30.664225</t>
  </si>
  <si>
    <t>2026-02-18T16:22:16.823938</t>
  </si>
  <si>
    <t>40.468,25</t>
  </si>
  <si>
    <t>2026-02-18T16:22:17.831071</t>
  </si>
  <si>
    <t>2026-02-18T16:26:12.977372</t>
  </si>
  <si>
    <t>58.320,25</t>
  </si>
  <si>
    <t>2026-02-18T16:26:13.984397</t>
  </si>
  <si>
    <t>2026-02-18T16:30:38.393809</t>
  </si>
  <si>
    <t>65.256,27</t>
  </si>
  <si>
    <t>2026-02-18T16:30:39.406646</t>
  </si>
  <si>
    <t>2026-02-18T16:36:47.226599</t>
  </si>
  <si>
    <t>56.008,28</t>
  </si>
  <si>
    <t>2026-02-18T16:36:48.245466</t>
  </si>
  <si>
    <t>2026-02-18T16:40:29.309971</t>
  </si>
  <si>
    <t>79.384,27</t>
  </si>
  <si>
    <t>2026-02-18T16:40:30.317657</t>
  </si>
  <si>
    <t>2026-02-18T16:46:12.754548</t>
  </si>
  <si>
    <t>72.656,27</t>
  </si>
  <si>
    <t>2026-02-18T16:46:13.768029</t>
  </si>
  <si>
    <t>2026-02-18T16:52:58.492800</t>
  </si>
  <si>
    <t>51.116,31</t>
  </si>
  <si>
    <t>2026-02-18T16:52:59.498916</t>
  </si>
  <si>
    <t>2026-02-18T16:57:39.587787</t>
  </si>
  <si>
    <t>67.164,29</t>
  </si>
  <si>
    <t>2026-02-18T16:57:40.595925</t>
  </si>
  <si>
    <t>2026-02-18T17:03:19.039727</t>
  </si>
  <si>
    <t>59.312,28</t>
  </si>
  <si>
    <t>2026-02-18T17:03:20.045820</t>
  </si>
  <si>
    <t>2026-02-18T17:08:34.914654</t>
  </si>
  <si>
    <t>34.640,28</t>
  </si>
  <si>
    <t>2026-02-18T17:08:35.926221</t>
  </si>
  <si>
    <t>2026-02-18T17:10:52.135859</t>
  </si>
  <si>
    <t>74.976,23</t>
  </si>
  <si>
    <t>2026-02-18T17:10:53.144902</t>
  </si>
  <si>
    <t>2026-02-18T17:16:34.020315</t>
  </si>
  <si>
    <t>47.764,25</t>
  </si>
  <si>
    <t>2026-02-18T17:16:35.024808</t>
  </si>
  <si>
    <t>2026-02-18T17:20:51.377469</t>
  </si>
  <si>
    <t>50.320,30</t>
  </si>
  <si>
    <t>2026-02-18T17:20:52.385794</t>
  </si>
  <si>
    <t>2026-02-18T17:24:17.979068</t>
  </si>
  <si>
    <t>109.952,25</t>
  </si>
  <si>
    <t>2026-02-18T17:24:18.981147</t>
  </si>
  <si>
    <t>2026-02-18T17:31:45.246894</t>
  </si>
  <si>
    <t>58.188,25</t>
  </si>
  <si>
    <t>2026-02-18T17:31:46.251552</t>
  </si>
  <si>
    <t>2026-02-18T17:36:32.896731</t>
  </si>
  <si>
    <t>55.856,27</t>
  </si>
  <si>
    <t>2026-02-18T17:36:33.910697</t>
  </si>
  <si>
    <t>2026-02-18T17:41:38.253915</t>
  </si>
  <si>
    <t>68.564,27</t>
  </si>
  <si>
    <t>2026-02-18T17:41:39.267144</t>
  </si>
  <si>
    <t>2026-02-18T17:46:39.674604</t>
  </si>
  <si>
    <t>47.344,24</t>
  </si>
  <si>
    <t>2026-02-18T17:46:40.688108</t>
  </si>
  <si>
    <t>2026-02-18T17:51:49.459779</t>
  </si>
  <si>
    <t>51.420,28</t>
  </si>
  <si>
    <t>2026-02-18T17:51:50.464630</t>
  </si>
  <si>
    <t>2026-02-18T17:54:54.572950</t>
  </si>
  <si>
    <t>89.864,28</t>
  </si>
  <si>
    <t>2026-02-18T17:54:55.591977</t>
  </si>
  <si>
    <t>2026-02-18T18:01:17.689036</t>
  </si>
  <si>
    <t>60.444,24</t>
  </si>
  <si>
    <t>2026-02-18T18:01:18.700114</t>
  </si>
  <si>
    <t>2026-02-18T18:06:15.623771</t>
  </si>
  <si>
    <t>51.044,26</t>
  </si>
  <si>
    <t>2026-02-18T18:06:16.635565</t>
  </si>
  <si>
    <t>2026-02-18T18:10:07.378708</t>
  </si>
  <si>
    <t>92.764,28</t>
  </si>
  <si>
    <t>2026-02-18T18:10:08.390479</t>
  </si>
  <si>
    <t>2026-02-18T18:17:38.444844</t>
  </si>
  <si>
    <t>59.360,24</t>
  </si>
  <si>
    <t>2026-02-18T18:17:39.457113</t>
  </si>
  <si>
    <t>2026-02-18T18:22:28.620439</t>
  </si>
  <si>
    <t>37.300,31</t>
  </si>
  <si>
    <t>2026-02-18T18:22:29.632524</t>
  </si>
  <si>
    <t>2026-02-18T18:26:10.751632</t>
  </si>
  <si>
    <t>103.948,30</t>
  </si>
  <si>
    <t>2026-02-18T18:26:11.764987</t>
  </si>
  <si>
    <t>2026-02-18T18:32:51.789233</t>
  </si>
  <si>
    <t>43.856,24</t>
  </si>
  <si>
    <t>2026-02-18T18:32:52.797899</t>
  </si>
  <si>
    <t>2026-02-18T18:37:30.175841</t>
  </si>
  <si>
    <t>41.556,28</t>
  </si>
  <si>
    <t>2026-02-18T18:37:31.183381</t>
  </si>
  <si>
    <t>2026-02-18T18:39:53.496271</t>
  </si>
  <si>
    <t>82.836,29</t>
  </si>
  <si>
    <t>2026-02-18T18:39:54.502455</t>
  </si>
  <si>
    <t>2026-02-18T18:45:52.806270</t>
  </si>
  <si>
    <t>98.032,27</t>
  </si>
  <si>
    <t>2026-02-18T18:45:53.812536</t>
  </si>
  <si>
    <t>2026-02-18T18:54:24.585000</t>
  </si>
  <si>
    <t>43.932,26</t>
  </si>
  <si>
    <t>2026-02-18T18:54:25.594310</t>
  </si>
  <si>
    <t>2026-02-18T18:57:24.714589</t>
  </si>
  <si>
    <t>91.072,27</t>
  </si>
  <si>
    <t>2026-02-18T18:57:25.739430</t>
  </si>
  <si>
    <t>2026-02-18T19:03:24.154718</t>
  </si>
  <si>
    <t>73.448,28</t>
  </si>
  <si>
    <t>2026-02-18T19:03:25.157308</t>
  </si>
  <si>
    <t>2026-02-18T19:08:58.964778</t>
  </si>
  <si>
    <t>45.440,27</t>
  </si>
  <si>
    <t>2026-02-18T19:08:59.976669</t>
  </si>
  <si>
    <t>2026-02-18T19:11:57.008143</t>
  </si>
  <si>
    <t>83.020,24</t>
  </si>
  <si>
    <t>2026-02-18T19:11:58.018764</t>
  </si>
  <si>
    <t>2026-02-18T19:16:27.402829</t>
  </si>
  <si>
    <t>49.796,27</t>
  </si>
  <si>
    <t>2026-02-18T19:16:28.411721</t>
  </si>
  <si>
    <t>2026-02-18T19:19:37.199461</t>
  </si>
  <si>
    <t>37.420,33</t>
  </si>
  <si>
    <t>98.248,23</t>
  </si>
  <si>
    <t>2026-02-18T19:22:23.830907</t>
  </si>
  <si>
    <t>2026-02-18T19:28:53.586070</t>
  </si>
  <si>
    <t>74.104,25</t>
  </si>
  <si>
    <t>2026-02-18T19:28:54.592336</t>
  </si>
  <si>
    <t>2026-02-18T19:34:37.425460</t>
  </si>
  <si>
    <t>43.032,26</t>
  </si>
  <si>
    <t>2026-02-18T19:34:38.434074</t>
  </si>
  <si>
    <t>2026-02-18T19:37:31.138119</t>
  </si>
  <si>
    <t>127.204,22</t>
  </si>
  <si>
    <t>55.460,25</t>
  </si>
  <si>
    <t>50.780,27</t>
  </si>
  <si>
    <t>2026-02-18T19:51:02.860673</t>
  </si>
  <si>
    <t>2026-02-18T19:55:02.937721</t>
  </si>
  <si>
    <t>67.216,19</t>
  </si>
  <si>
    <t>43.924,25</t>
  </si>
  <si>
    <t>49.064,25</t>
  </si>
  <si>
    <t>91.956,22</t>
  </si>
  <si>
    <t>65.776,24</t>
  </si>
  <si>
    <t>53.016,22</t>
  </si>
  <si>
    <t>2026-02-18T20:21:01.510361</t>
  </si>
  <si>
    <t>2026-02-18T20:24:14.143817</t>
  </si>
  <si>
    <t>83.792,20</t>
  </si>
  <si>
    <t>55.112,25</t>
  </si>
  <si>
    <t>43.672,28</t>
  </si>
  <si>
    <t>85.672,22</t>
  </si>
  <si>
    <t>53.264,25</t>
  </si>
  <si>
    <t>58.600,28</t>
  </si>
  <si>
    <t>2026-02-18T20:47:11.841404</t>
  </si>
  <si>
    <t>2026-02-18T20:52:19.579870</t>
  </si>
  <si>
    <t>84.140,22</t>
  </si>
  <si>
    <t>62.784,29</t>
  </si>
  <si>
    <t>2026-02-18T08:34:40.318932</t>
  </si>
  <si>
    <t>2026-02-18T08:38:33.527998</t>
  </si>
  <si>
    <t>62.904,30</t>
  </si>
  <si>
    <t>2026-02-18T08:38:34.534117</t>
  </si>
  <si>
    <t>2026-02-18T08:42:39.298498</t>
  </si>
  <si>
    <t>38.908,26</t>
  </si>
  <si>
    <t>2026-02-18T08:42:40.303988</t>
  </si>
  <si>
    <t>2026-02-18T08:45:02.554384</t>
  </si>
  <si>
    <t>70.924,28</t>
  </si>
  <si>
    <t>2026-02-18T08:45:03.564844</t>
  </si>
  <si>
    <t>2026-02-18T08:49:37.775040</t>
  </si>
  <si>
    <t>78.536,23</t>
  </si>
  <si>
    <t>2026-02-18T08:49:38.786353</t>
  </si>
  <si>
    <t>2026-02-18T08:56:35.695334</t>
  </si>
  <si>
    <t>54.644,24</t>
  </si>
  <si>
    <t>2026-02-18T08:56:36.702158</t>
  </si>
  <si>
    <t>2026-02-18T09:00:36.595301</t>
  </si>
  <si>
    <t>86.600,29</t>
  </si>
  <si>
    <t>2026-02-18T09:00:37.601387</t>
  </si>
  <si>
    <t>2026-02-18T09:06:42.213429</t>
  </si>
  <si>
    <t>64.856,23</t>
  </si>
  <si>
    <t>2026-02-18T09:06:43.225744</t>
  </si>
  <si>
    <t>2026-02-18T09:11:18.069395</t>
  </si>
  <si>
    <t>51.368,24</t>
  </si>
  <si>
    <t>2026-02-18T09:11:19.076077</t>
  </si>
  <si>
    <t>2026-02-18T09:15:49.133811</t>
  </si>
  <si>
    <t>67.108,29</t>
  </si>
  <si>
    <t>2026-02-18T09:15:50.137400</t>
  </si>
  <si>
    <t>2026-02-18T09:20:40.022950</t>
  </si>
  <si>
    <t>65.132,23</t>
  </si>
  <si>
    <t>2026-02-18T09:20:41.026447</t>
  </si>
  <si>
    <t>2026-02-18T09:25:45.999869</t>
  </si>
  <si>
    <t>38.224,28</t>
  </si>
  <si>
    <t>2026-02-18T09:25:47.008061</t>
  </si>
  <si>
    <t>2026-02-18T09:28:40.518699</t>
  </si>
  <si>
    <t>62.968,24</t>
  </si>
  <si>
    <t>2026-02-18T09:28:41.520896</t>
  </si>
  <si>
    <t>2026-02-18T09:33:09.656019</t>
  </si>
  <si>
    <t>75.456,25</t>
  </si>
  <si>
    <t>2026-02-18T09:33:10.667438</t>
  </si>
  <si>
    <t>2026-02-18T09:39:48.611830</t>
  </si>
  <si>
    <t>51.640,22</t>
  </si>
  <si>
    <t>2026-02-18T09:39:49.614723</t>
  </si>
  <si>
    <t>2026-02-18T09:44:10.139223</t>
  </si>
  <si>
    <t>85.260,23</t>
  </si>
  <si>
    <t>2026-02-18T09:44:11.150679</t>
  </si>
  <si>
    <t>2026-02-18T09:49:00.459831</t>
  </si>
  <si>
    <t>74.276,29</t>
  </si>
  <si>
    <t>2026-02-18T09:49:01.466896</t>
  </si>
  <si>
    <t>2026-02-18T09:53:58.666958</t>
  </si>
  <si>
    <t>49.444,23</t>
  </si>
  <si>
    <t>2026-02-18T09:53:59.678856</t>
  </si>
  <si>
    <t>2026-02-18T09:57:41.281806</t>
  </si>
  <si>
    <t>65.300,25</t>
  </si>
  <si>
    <t>2026-02-18T09:57:42.293140</t>
  </si>
  <si>
    <t>2026-02-18T10:02:17.356747</t>
  </si>
  <si>
    <t>81.276,23</t>
  </si>
  <si>
    <t>2026-02-18T10:02:18.365347</t>
  </si>
  <si>
    <t>2026-02-18T10:08:48.336687</t>
  </si>
  <si>
    <t>65.372,26</t>
  </si>
  <si>
    <t>2026-02-18T10:08:49.341079</t>
  </si>
  <si>
    <t>2026-02-18T10:12:56.663600</t>
  </si>
  <si>
    <t>59.884,26</t>
  </si>
  <si>
    <t>2026-02-18T10:12:57.670382</t>
  </si>
  <si>
    <t>2026-02-18T10:17:20.808218</t>
  </si>
  <si>
    <t>57.372,25</t>
  </si>
  <si>
    <t>2026-02-18T10:17:21.819046</t>
  </si>
  <si>
    <t>2026-02-18T10:21:57.727593</t>
  </si>
  <si>
    <t>34.576,27</t>
  </si>
  <si>
    <t>2026-02-18T10:21:58.738756</t>
  </si>
  <si>
    <t>2026-02-18T10:24:08.527470</t>
  </si>
  <si>
    <t>78.268,25</t>
  </si>
  <si>
    <t>2026-02-18T10:24:09.537996</t>
  </si>
  <si>
    <t>2026-02-18T10:29:07.146272</t>
  </si>
  <si>
    <t>53.820,21</t>
  </si>
  <si>
    <t>2026-02-18T10:29:08.158713</t>
  </si>
  <si>
    <t>2026-02-18T10:37:04.553258</t>
  </si>
  <si>
    <t>47.684,27</t>
  </si>
  <si>
    <t>2026-02-18T10:37:05.556719</t>
  </si>
  <si>
    <t>2026-02-18T10:40:10.210007</t>
  </si>
  <si>
    <t>38.112,23</t>
  </si>
  <si>
    <t>2026-02-18T10:40:11.218232</t>
  </si>
  <si>
    <t>2026-02-18T10:43:03.037680</t>
  </si>
  <si>
    <t>48.824,21</t>
  </si>
  <si>
    <t>2026-02-18T10:43:04.048205</t>
  </si>
  <si>
    <t>2026-02-18T10:47:47.052977</t>
  </si>
  <si>
    <t>35.572,26</t>
  </si>
  <si>
    <t>2026-02-18T10:47:48.064569</t>
  </si>
  <si>
    <t>2026-02-18T10:51:17.702525</t>
  </si>
  <si>
    <t>68.960,22</t>
  </si>
  <si>
    <t>2026-02-18T10:51:18.711428</t>
  </si>
  <si>
    <t>2026-02-18T10:56:20.467613</t>
  </si>
  <si>
    <t>94.612,21</t>
  </si>
  <si>
    <t>2026-02-18T10:56:21.470497</t>
  </si>
  <si>
    <t>2026-02-18T11:03:02.008630</t>
  </si>
  <si>
    <t>39.832,23</t>
  </si>
  <si>
    <t>2026-02-18T11:03:03.018438</t>
  </si>
  <si>
    <t>2026-02-18T11:06:36.274842</t>
  </si>
  <si>
    <t>86.396,22</t>
  </si>
  <si>
    <t>2026-02-18T11:06:37.283531</t>
  </si>
  <si>
    <t>2026-02-18T11:11:58.041563</t>
  </si>
  <si>
    <t>52.532,23</t>
  </si>
  <si>
    <t>2026-02-18T11:11:59.046637</t>
  </si>
  <si>
    <t>2026-02-18T11:18:24.020771</t>
  </si>
  <si>
    <t>59.460,23</t>
  </si>
  <si>
    <t>2026-02-18T11:18:25.030514</t>
  </si>
  <si>
    <t>2026-02-18T11:22:41.727996</t>
  </si>
  <si>
    <t>50.708,17</t>
  </si>
  <si>
    <t>2026-02-18T11:22:42.741196</t>
  </si>
  <si>
    <t>2026-02-18T11:28:16.913735</t>
  </si>
  <si>
    <t>46.952,21</t>
  </si>
  <si>
    <t>2026-02-18T11:28:17.917824</t>
  </si>
  <si>
    <t>2026-02-18T11:33:13.257403</t>
  </si>
  <si>
    <t>53.892,23</t>
  </si>
  <si>
    <t>2026-02-18T11:33:14.263958</t>
  </si>
  <si>
    <t>2026-02-18T11:37:45.664309</t>
  </si>
  <si>
    <t>43.424,19</t>
  </si>
  <si>
    <t>2026-02-18T11:37:46.669631</t>
  </si>
  <si>
    <t>2026-02-18T11:41:05.018487</t>
  </si>
  <si>
    <t>52.564,21</t>
  </si>
  <si>
    <t>2026-02-18T11:41:06.026297</t>
  </si>
  <si>
    <t>2026-02-18T11:44:44.355794</t>
  </si>
  <si>
    <t>36.288,26</t>
  </si>
  <si>
    <t>2026-02-18T11:44:45.368109</t>
  </si>
  <si>
    <t>2026-02-18T11:47:27.670868</t>
  </si>
  <si>
    <t>85.752,21</t>
  </si>
  <si>
    <t>2026-02-18T11:47:28.681087</t>
  </si>
  <si>
    <t>2026-02-18T11:53:48.126684</t>
  </si>
  <si>
    <t>59.944,26</t>
  </si>
  <si>
    <t>2026-02-18T11:53:49.134604</t>
  </si>
  <si>
    <t>2026-02-18T11:59:24.979628</t>
  </si>
  <si>
    <t>41.340,26</t>
  </si>
  <si>
    <t>2026-02-18T11:59:25.991307</t>
  </si>
  <si>
    <t>2026-02-18T12:01:55.840736</t>
  </si>
  <si>
    <t>77.112,24</t>
  </si>
  <si>
    <t>2026-02-18T12:01:56.852035</t>
  </si>
  <si>
    <t>2026-02-18T12:07:37.049922</t>
  </si>
  <si>
    <t>60.552,25</t>
  </si>
  <si>
    <t>2026-02-18T12:07:38.056473</t>
  </si>
  <si>
    <t>2026-02-18T12:12:58.170250</t>
  </si>
  <si>
    <t>42.352,25</t>
  </si>
  <si>
    <t>2026-02-18T12:12:59.174973</t>
  </si>
  <si>
    <t>2026-02-18T12:16:13.168746</t>
  </si>
  <si>
    <t>36.192,18</t>
  </si>
  <si>
    <t>2026-02-18T12:16:14.179396</t>
  </si>
  <si>
    <t>2026-02-18T12:21:26.484101</t>
  </si>
  <si>
    <t>67.992,20</t>
  </si>
  <si>
    <t>2026-02-18T12:21:27.488975</t>
  </si>
  <si>
    <t>2026-02-18T12:26:56.300967</t>
  </si>
  <si>
    <t>45.420,20</t>
  </si>
  <si>
    <t>2026-02-18T12:26:57.304232</t>
  </si>
  <si>
    <t>2026-02-18T12:31:11.264748</t>
  </si>
  <si>
    <t>59.240,22</t>
  </si>
  <si>
    <t>2026-02-18T12:31:12.269065</t>
  </si>
  <si>
    <t>2026-02-18T12:34:25.102953</t>
  </si>
  <si>
    <t>56.804,20</t>
  </si>
  <si>
    <t>2026-02-18T12:34:26.111342</t>
  </si>
  <si>
    <t>2026-02-18T12:38:04.945255</t>
  </si>
  <si>
    <t>47.740,25</t>
  </si>
  <si>
    <t>2026-02-18T12:38:05.949106</t>
  </si>
  <si>
    <t>2026-02-18T12:42:57.477652</t>
  </si>
  <si>
    <t>59.984,31</t>
  </si>
  <si>
    <t>2026-02-18T12:42:58.485159</t>
  </si>
  <si>
    <t>2026-02-18T12:46:50.406200</t>
  </si>
  <si>
    <t>63.012,31</t>
  </si>
  <si>
    <t>2026-02-18T12:46:51.415636</t>
  </si>
  <si>
    <t>2026-02-18T12:50:47.137687</t>
  </si>
  <si>
    <t>27.268,30</t>
  </si>
  <si>
    <t>2026-02-18T12:50:48.149014</t>
  </si>
  <si>
    <t>2026-02-18T12:53:03.133683</t>
  </si>
  <si>
    <t>97.096,28</t>
  </si>
  <si>
    <t>2026-02-18T12:53:04.145749</t>
  </si>
  <si>
    <t>2026-02-18T12:59:20.357728</t>
  </si>
  <si>
    <t>127.308,24</t>
  </si>
  <si>
    <t>2026-02-18T12:59:21.364417</t>
  </si>
  <si>
    <t>2026-02-18T13:09:35.853612</t>
  </si>
  <si>
    <t>49.116,31</t>
  </si>
  <si>
    <t>2026-02-18T13:09:36.868434</t>
  </si>
  <si>
    <t>2026-02-18T13:13:17.727457</t>
  </si>
  <si>
    <t>117.880,27</t>
  </si>
  <si>
    <t>2026-02-18T13:13:18.736578</t>
  </si>
  <si>
    <t>2026-02-18T13:20:06.660096</t>
  </si>
  <si>
    <t>50.904,30</t>
  </si>
  <si>
    <t>2026-02-18T13:20:07.666703</t>
  </si>
  <si>
    <t>2026-02-18T13:23:05.616372</t>
  </si>
  <si>
    <t>45.064,31</t>
  </si>
  <si>
    <t>2026-02-18T13:23:06.628718</t>
  </si>
  <si>
    <t>2026-02-18T13:27:19.250081</t>
  </si>
  <si>
    <t>88.736,29</t>
  </si>
  <si>
    <t>2026-02-18T13:27:20.257134</t>
  </si>
  <si>
    <t>2026-02-18T13:34:02.023701</t>
  </si>
  <si>
    <t>62.432,32</t>
  </si>
  <si>
    <t>2026-02-18T13:34:03.028476</t>
  </si>
  <si>
    <t>2026-02-18T13:38:31.152189</t>
  </si>
  <si>
    <t>42.980,26</t>
  </si>
  <si>
    <t>2026-02-18T13:38:32.154907</t>
  </si>
  <si>
    <t>2026-02-18T13:41:34.260574</t>
  </si>
  <si>
    <t>80.860,31</t>
  </si>
  <si>
    <t>2026-02-18T13:41:35.272822</t>
  </si>
  <si>
    <t>2026-02-18T13:47:41.190019</t>
  </si>
  <si>
    <t>79.336,29</t>
  </si>
  <si>
    <t>2026-02-18T13:47:42.202268</t>
  </si>
  <si>
    <t>2026-02-18T13:54:13.186963</t>
  </si>
  <si>
    <t>48.924,28</t>
  </si>
  <si>
    <t>2026-02-18T13:54:14.199031</t>
  </si>
  <si>
    <t>2026-02-18T13:58:02.921559</t>
  </si>
  <si>
    <t>86.424,30</t>
  </si>
  <si>
    <t>2026-02-18T13:58:03.933487</t>
  </si>
  <si>
    <t>2026-02-18T14:03:26.039517</t>
  </si>
  <si>
    <t>134.020,30</t>
  </si>
  <si>
    <t>2026-02-18T14:03:27.046328</t>
  </si>
  <si>
    <t>2026-02-18T14:12:56.403644</t>
  </si>
  <si>
    <t>53.272,30</t>
  </si>
  <si>
    <t>2026-02-18T14:12:57.414036</t>
  </si>
  <si>
    <t>2026-02-18T14:16:49.141617</t>
  </si>
  <si>
    <t>86.728,28</t>
  </si>
  <si>
    <t>2026-02-18T14:16:50.153311</t>
  </si>
  <si>
    <t>2026-02-18T14:21:50.704175</t>
  </si>
  <si>
    <t>76.148,30</t>
  </si>
  <si>
    <t>2026-02-18T14:21:51.713313</t>
  </si>
  <si>
    <t>2026-02-18T14:27:46.781021</t>
  </si>
  <si>
    <t>42.896,28</t>
  </si>
  <si>
    <t>2026-02-18T14:27:47.793280</t>
  </si>
  <si>
    <t>2026-02-18T14:31:03.924346</t>
  </si>
  <si>
    <t>70.972,29</t>
  </si>
  <si>
    <t>2026-02-18T14:31:04.927232</t>
  </si>
  <si>
    <t>2026-02-18T14:36:08.526920</t>
  </si>
  <si>
    <t>59.472,31</t>
  </si>
  <si>
    <t>2026-02-18T14:36:09.531028</t>
  </si>
  <si>
    <t>2026-02-18T14:40:30.972255</t>
  </si>
  <si>
    <t>49.384,29</t>
  </si>
  <si>
    <t>2026-02-18T14:40:31.976194</t>
  </si>
  <si>
    <t>2026-02-18T14:44:16.274238</t>
  </si>
  <si>
    <t>60.332,29</t>
  </si>
  <si>
    <t>2026-02-18T14:44:17.280957</t>
  </si>
  <si>
    <t>2026-02-18T14:47:59.292365</t>
  </si>
  <si>
    <t>52.784,31</t>
  </si>
  <si>
    <t>2026-02-18T14:48:00.304283</t>
  </si>
  <si>
    <t>2026-02-18T14:52:33.271216</t>
  </si>
  <si>
    <t>46.624,29</t>
  </si>
  <si>
    <t>2026-02-18T14:52:34.283641</t>
  </si>
  <si>
    <t>2026-02-18T14:56:22.798262</t>
  </si>
  <si>
    <t>71.728,27</t>
  </si>
  <si>
    <t>2026-02-18T14:56:23.809287</t>
  </si>
  <si>
    <t>2026-02-18T15:00:20.519977</t>
  </si>
  <si>
    <t>60.808,28</t>
  </si>
  <si>
    <t>2026-02-18T15:00:21.531428</t>
  </si>
  <si>
    <t>2026-02-18T15:05:43.477014</t>
  </si>
  <si>
    <t>42.504,26</t>
  </si>
  <si>
    <t>2026-02-18T15:05:44.483119</t>
  </si>
  <si>
    <t>2026-02-18T15:08:28.593378</t>
  </si>
  <si>
    <t>63.292,21</t>
  </si>
  <si>
    <t>2026-02-18T15:08:29.601375</t>
  </si>
  <si>
    <t>2026-02-18T15:14:25.780575</t>
  </si>
  <si>
    <t>54.644,23</t>
  </si>
  <si>
    <t>2026-02-18T15:14:26.790510</t>
  </si>
  <si>
    <t>2026-02-18T15:19:39.980250</t>
  </si>
  <si>
    <t>58.180,25</t>
  </si>
  <si>
    <t>2026-02-18T15:19:41.000419</t>
  </si>
  <si>
    <t>2026-02-18T15:24:33.755332</t>
  </si>
  <si>
    <t>72.760,24</t>
  </si>
  <si>
    <t>2026-02-18T15:24:34.758148</t>
  </si>
  <si>
    <t>2026-02-18T15:29:18.504392</t>
  </si>
  <si>
    <t>68.216,23</t>
  </si>
  <si>
    <t>2026-02-18T15:29:19.515800</t>
  </si>
  <si>
    <t>2026-02-18T15:34:33.670013</t>
  </si>
  <si>
    <t>50.060,26</t>
  </si>
  <si>
    <t>2026-02-18T15:34:34.680771</t>
  </si>
  <si>
    <t>2026-02-18T15:39:15.627911</t>
  </si>
  <si>
    <t>94.672,23</t>
  </si>
  <si>
    <t>2026-02-18T15:39:16.632344</t>
  </si>
  <si>
    <t>2026-02-18T15:45:20.973506</t>
  </si>
  <si>
    <t>119.260,23</t>
  </si>
  <si>
    <t>2026-02-18T15:45:21.977154</t>
  </si>
  <si>
    <t>2026-02-18T15:54:49.238855</t>
  </si>
  <si>
    <t>40.136,26</t>
  </si>
  <si>
    <t>2026-02-18T15:54:50.247368</t>
  </si>
  <si>
    <t>2026-02-18T15:57:25.625312</t>
  </si>
  <si>
    <t>66.976,20</t>
  </si>
  <si>
    <t>2026-02-18T15:57:26.632878</t>
  </si>
  <si>
    <t>2026-02-18T16:01:25.512371</t>
  </si>
  <si>
    <t>89.980,24</t>
  </si>
  <si>
    <t>2026-02-18T16:01:26.519080</t>
  </si>
  <si>
    <t>2026-02-18T16:07:54.782566</t>
  </si>
  <si>
    <t>47.884,25</t>
  </si>
  <si>
    <t>2026-02-18T16:07:55.790338</t>
  </si>
  <si>
    <t>2026-02-18T16:12:18.531735</t>
  </si>
  <si>
    <t>94.684,22</t>
  </si>
  <si>
    <t>2026-02-18T16:12:19.544002</t>
  </si>
  <si>
    <t>2026-02-18T16:17:44.142807</t>
  </si>
  <si>
    <t>93.728,23</t>
  </si>
  <si>
    <t>2026-02-18T16:17:45.146330</t>
  </si>
  <si>
    <t>2026-02-18T16:24:28.565484</t>
  </si>
  <si>
    <t>45.628,25</t>
  </si>
  <si>
    <t>2026-02-18T16:24:29.577430</t>
  </si>
  <si>
    <t>2026-02-18T16:27:56.712722</t>
  </si>
  <si>
    <t>63.616,22</t>
  </si>
  <si>
    <t>2026-02-18T16:27:57.731869</t>
  </si>
  <si>
    <t>2026-02-18T16:32:51.057972</t>
  </si>
  <si>
    <t>41.708,25</t>
  </si>
  <si>
    <t>2026-02-18T16:32:52.070388</t>
  </si>
  <si>
    <t>2026-02-18T16:37:10.366556</t>
  </si>
  <si>
    <t>48.720,22</t>
  </si>
  <si>
    <t>2026-02-18T16:37:11.379924</t>
  </si>
  <si>
    <t>2026-02-18T16:40:25.997441</t>
  </si>
  <si>
    <t>70.704,21</t>
  </si>
  <si>
    <t>2026-02-18T16:40:27.006169</t>
  </si>
  <si>
    <t>2026-02-18T16:45:32.430889</t>
  </si>
  <si>
    <t>57.236,26</t>
  </si>
  <si>
    <t>2026-02-18T16:45:33.436479</t>
  </si>
  <si>
    <t>2026-02-18T16:49:27.825949</t>
  </si>
  <si>
    <t>55.968,27</t>
  </si>
  <si>
    <t>2026-02-18T16:49:28.844215</t>
  </si>
  <si>
    <t>2026-02-18T16:53:22.500564</t>
  </si>
  <si>
    <t>76.924,23</t>
  </si>
  <si>
    <t>2026-02-18T16:53:23.509154</t>
  </si>
  <si>
    <t>2026-02-18T16:58:18.388235</t>
  </si>
  <si>
    <t>98.596,27</t>
  </si>
  <si>
    <t>2026-02-18T16:58:19.399527</t>
  </si>
  <si>
    <t>2026-02-18T17:05:10.832516</t>
  </si>
  <si>
    <t>39.668,29</t>
  </si>
  <si>
    <t>2026-02-18T17:05:11.841784</t>
  </si>
  <si>
    <t>2026-02-18T17:08:11.570462</t>
  </si>
  <si>
    <t>84.692,25</t>
  </si>
  <si>
    <t>2026-02-18T17:08:12.576700</t>
  </si>
  <si>
    <t>2026-02-18T17:14:08.554331</t>
  </si>
  <si>
    <t>79.256,28</t>
  </si>
  <si>
    <t>2026-02-18T17:14:09.559738</t>
  </si>
  <si>
    <t>2026-02-18T17:20:14.864097</t>
  </si>
  <si>
    <t>38.092,29</t>
  </si>
  <si>
    <t>2026-02-18T17:20:15.868203</t>
  </si>
  <si>
    <t>2026-02-18T17:23:55.180974</t>
  </si>
  <si>
    <t>129.840,25</t>
  </si>
  <si>
    <t>2026-02-18T17:23:56.193079</t>
  </si>
  <si>
    <t>2026-02-18T17:33:49.941595</t>
  </si>
  <si>
    <t>78.284,27</t>
  </si>
  <si>
    <t>2026-02-18T17:33:50.953153</t>
  </si>
  <si>
    <t>2026-02-18T17:39:19.233805</t>
  </si>
  <si>
    <t>43.116,29</t>
  </si>
  <si>
    <t>2026-02-18T17:39:20.247287</t>
  </si>
  <si>
    <t>2026-02-18T17:42:39.664065</t>
  </si>
  <si>
    <t>73.392,23</t>
  </si>
  <si>
    <t>2026-02-18T17:42:40.676591</t>
  </si>
  <si>
    <t>2026-02-18T17:47:24.268963</t>
  </si>
  <si>
    <t>64.448,28</t>
  </si>
  <si>
    <t>2026-02-18T17:47:25.279079</t>
  </si>
  <si>
    <t>2026-02-18T17:52:36.549340</t>
  </si>
  <si>
    <t>40.668,28</t>
  </si>
  <si>
    <t>2026-02-18T17:52:37.559175</t>
  </si>
  <si>
    <t>2026-02-18T17:56:36.404151</t>
  </si>
  <si>
    <t>112.132,25</t>
  </si>
  <si>
    <t>2026-02-18T17:56:37.429860</t>
  </si>
  <si>
    <t>2026-02-18T18:03:52.857426</t>
  </si>
  <si>
    <t>88.752,29</t>
  </si>
  <si>
    <t>2026-02-18T18:03:53.868499</t>
  </si>
  <si>
    <t>2026-02-18T18:10:58.344474</t>
  </si>
  <si>
    <t>38.992,29</t>
  </si>
  <si>
    <t>2026-02-18T18:10:59.355552</t>
  </si>
  <si>
    <t>2026-02-18T18:13:51.205440</t>
  </si>
  <si>
    <t>84.828,28</t>
  </si>
  <si>
    <t>2026-02-18T18:13:52.217593</t>
  </si>
  <si>
    <t>2026-02-18T18:19:54.181084</t>
  </si>
  <si>
    <t>92.736,28</t>
  </si>
  <si>
    <t>2026-02-18T18:19:55.193832</t>
  </si>
  <si>
    <t>2026-02-18T18:26:24.034326</t>
  </si>
  <si>
    <t>50.916,31</t>
  </si>
  <si>
    <t>2026-02-18T18:26:25.051000</t>
  </si>
  <si>
    <t>2026-02-18T18:29:47.370209</t>
  </si>
  <si>
    <t>60.116,25</t>
  </si>
  <si>
    <t>2026-02-18T18:29:48.373743</t>
  </si>
  <si>
    <t>2026-02-18T18:33:35.179674</t>
  </si>
  <si>
    <t>114.536,27</t>
  </si>
  <si>
    <t>2026-02-18T18:33:36.184207</t>
  </si>
  <si>
    <t>2026-02-18T18:41:36.593578</t>
  </si>
  <si>
    <t>42.364,31</t>
  </si>
  <si>
    <t>2026-02-18T18:41:37.605577</t>
  </si>
  <si>
    <t>2026-02-18T18:44:44.152754</t>
  </si>
  <si>
    <t>92.112,26</t>
  </si>
  <si>
    <t>2026-02-18T18:44:45.159472</t>
  </si>
  <si>
    <t>2026-02-18T18:50:37.326569</t>
  </si>
  <si>
    <t>78.704,28</t>
  </si>
  <si>
    <t>2026-02-18T18:50:38.339165</t>
  </si>
  <si>
    <t>2026-02-18T18:56:56.181279</t>
  </si>
  <si>
    <t>53.448,33</t>
  </si>
  <si>
    <t>2026-02-18T18:56:57.193561</t>
  </si>
  <si>
    <t>2026-02-18T19:01:12.574458</t>
  </si>
  <si>
    <t>67.444,25</t>
  </si>
  <si>
    <t>2026-02-18T19:01:13.579975</t>
  </si>
  <si>
    <t>2026-02-18T19:07:28.855409</t>
  </si>
  <si>
    <t>65.836,30</t>
  </si>
  <si>
    <t>2026-02-18T19:07:29.868240</t>
  </si>
  <si>
    <t>2026-02-18T19:12:09.677218</t>
  </si>
  <si>
    <t>33.376,32</t>
  </si>
  <si>
    <t>2026-02-18T19:12:10.690515</t>
  </si>
  <si>
    <t>2026-02-18T19:15:24.343535</t>
  </si>
  <si>
    <t>71.112,24</t>
  </si>
  <si>
    <t>2026-02-18T19:15:25.349894</t>
  </si>
  <si>
    <t>2026-02-18T19:20:44.886899</t>
  </si>
  <si>
    <t>55.880,28</t>
  </si>
  <si>
    <t>2026-02-18T19:20:45.895113</t>
  </si>
  <si>
    <t>2026-02-18T19:25:53.147238</t>
  </si>
  <si>
    <t>33.420,32</t>
  </si>
  <si>
    <t>2026-02-18T19:25:54.153142</t>
  </si>
  <si>
    <t>2026-02-18T19:28:21.111669</t>
  </si>
  <si>
    <t>73.236,28</t>
  </si>
  <si>
    <t>83.364,27</t>
  </si>
  <si>
    <t>45.804,32</t>
  </si>
  <si>
    <t>92.892,24</t>
  </si>
  <si>
    <t>48.152,26</t>
  </si>
  <si>
    <t>55.528,28</t>
  </si>
  <si>
    <t>73.620,24</t>
  </si>
  <si>
    <t>108.864,26</t>
  </si>
  <si>
    <t>55.824,29</t>
  </si>
  <si>
    <t>94.416,25</t>
  </si>
  <si>
    <t>85.244,27</t>
  </si>
  <si>
    <t>49.088,24</t>
  </si>
  <si>
    <t>112.248,24</t>
  </si>
  <si>
    <t>38.944,27</t>
  </si>
  <si>
    <t>46.524,26</t>
  </si>
  <si>
    <t>93.776,28</t>
  </si>
  <si>
    <t>69.896,17</t>
  </si>
  <si>
    <t>2026-02-18T08:34:40.319085</t>
  </si>
  <si>
    <t>2026-02-18T08:38:49.238112</t>
  </si>
  <si>
    <t>41.184,20</t>
  </si>
  <si>
    <t>2026-02-18T08:38:50.244375</t>
  </si>
  <si>
    <t>2026-02-18T08:42:02.491240</t>
  </si>
  <si>
    <t>31.384,25</t>
  </si>
  <si>
    <t>2026-02-18T08:42:03.500033</t>
  </si>
  <si>
    <t>2026-02-18T08:45:00.155504</t>
  </si>
  <si>
    <t>62.080,19</t>
  </si>
  <si>
    <t>2026-02-18T08:45:01.166700</t>
  </si>
  <si>
    <t>2026-02-18T08:49:44.954688</t>
  </si>
  <si>
    <t>62.304,20</t>
  </si>
  <si>
    <t>2026-02-18T08:49:45.965739</t>
  </si>
  <si>
    <t>2026-02-18T08:54:19.058918</t>
  </si>
  <si>
    <t>50.632,25</t>
  </si>
  <si>
    <t>2026-02-18T08:54:20.060875</t>
  </si>
  <si>
    <t>2026-02-18T08:58:02.252213</t>
  </si>
  <si>
    <t>63.272,18</t>
  </si>
  <si>
    <t>2026-02-18T08:58:03.260772</t>
  </si>
  <si>
    <t>2026-02-18T09:02:33.817111</t>
  </si>
  <si>
    <t>59.136,17</t>
  </si>
  <si>
    <t>2026-02-18T09:02:34.830119</t>
  </si>
  <si>
    <t>2026-02-18T09:06:55.395942</t>
  </si>
  <si>
    <t>56.048,21</t>
  </si>
  <si>
    <t>2026-02-18T09:06:56.406172</t>
  </si>
  <si>
    <t>2026-02-18T09:09:36.747522</t>
  </si>
  <si>
    <t>108.872,20</t>
  </si>
  <si>
    <t>2026-02-18T09:09:37.758039</t>
  </si>
  <si>
    <t>2026-02-18T09:17:16.122896</t>
  </si>
  <si>
    <t>99.028,20</t>
  </si>
  <si>
    <t>2026-02-18T09:17:17.129721</t>
  </si>
  <si>
    <t>2026-02-18T09:24:42.225922</t>
  </si>
  <si>
    <t>39.344,22</t>
  </si>
  <si>
    <t>2026-02-18T09:24:43.236963</t>
  </si>
  <si>
    <t>2026-02-18T09:26:49.187906</t>
  </si>
  <si>
    <t>61.348,19</t>
  </si>
  <si>
    <t>2026-02-18T09:26:50.199576</t>
  </si>
  <si>
    <t>2026-02-18T09:31:37.664365</t>
  </si>
  <si>
    <t>54.640,18</t>
  </si>
  <si>
    <t>2026-02-18T09:31:38.674864</t>
  </si>
  <si>
    <t>2026-02-18T09:36:06.404626</t>
  </si>
  <si>
    <t>52.676,25</t>
  </si>
  <si>
    <t>2026-02-18T09:36:07.409330</t>
  </si>
  <si>
    <t>2026-02-18T09:39:55.708290</t>
  </si>
  <si>
    <t>108.168,19</t>
  </si>
  <si>
    <t>2026-02-18T09:39:56.719712</t>
  </si>
  <si>
    <t>2026-02-18T09:46:19.463134</t>
  </si>
  <si>
    <t>66.484,19</t>
  </si>
  <si>
    <t>2026-02-18T09:46:20.470183</t>
  </si>
  <si>
    <t>2026-02-18T09:50:44.639222</t>
  </si>
  <si>
    <t>52.980,20</t>
  </si>
  <si>
    <t>2026-02-18T09:50:45.645475</t>
  </si>
  <si>
    <t>2026-02-18T09:55:25.784294</t>
  </si>
  <si>
    <t>84.652,21</t>
  </si>
  <si>
    <t>2026-02-18T09:55:26.792293</t>
  </si>
  <si>
    <t>2026-02-18T10:00:40.780830</t>
  </si>
  <si>
    <t>38.968,20</t>
  </si>
  <si>
    <t>2026-02-18T10:00:41.784685</t>
  </si>
  <si>
    <t>2026-02-18T10:03:03.978646</t>
  </si>
  <si>
    <t>37.984,24</t>
  </si>
  <si>
    <t>2026-02-18T10:03:04.989905</t>
  </si>
  <si>
    <t>2026-02-18T10:05:52.078540</t>
  </si>
  <si>
    <t>76.304,21</t>
  </si>
  <si>
    <t>2026-02-18T10:05:53.082654</t>
  </si>
  <si>
    <t>2026-02-18T10:10:55.968357</t>
  </si>
  <si>
    <t>55.456,17</t>
  </si>
  <si>
    <t>2026-02-18T10:10:56.973254</t>
  </si>
  <si>
    <t>2026-02-18T10:16:18.823155</t>
  </si>
  <si>
    <t>29.736,23</t>
  </si>
  <si>
    <t>2026-02-18T10:16:19.830134</t>
  </si>
  <si>
    <t>2026-02-18T10:18:39.925981</t>
  </si>
  <si>
    <t>51.228,19</t>
  </si>
  <si>
    <t>2026-02-18T10:18:40.938193</t>
  </si>
  <si>
    <t>2026-02-18T10:22:18.291087</t>
  </si>
  <si>
    <t>51.608,18</t>
  </si>
  <si>
    <t>2026-02-18T10:22:19.299649</t>
  </si>
  <si>
    <t>2026-02-18T10:26:12.747074</t>
  </si>
  <si>
    <t>29.580,23</t>
  </si>
  <si>
    <t>2026-02-18T10:26:13.758555</t>
  </si>
  <si>
    <t>2026-02-18T10:29:18.697694</t>
  </si>
  <si>
    <t>68.604,26</t>
  </si>
  <si>
    <t>2026-02-18T10:29:19.708290</t>
  </si>
  <si>
    <t>2026-02-18T10:34:36.844591</t>
  </si>
  <si>
    <t>52.988,26</t>
  </si>
  <si>
    <t>2026-02-18T10:34:37.857325</t>
  </si>
  <si>
    <t>2026-02-18T10:38:21.362403</t>
  </si>
  <si>
    <t>40.448,29</t>
  </si>
  <si>
    <t>2026-02-18T10:38:22.374423</t>
  </si>
  <si>
    <t>2026-02-18T10:41:20.493944</t>
  </si>
  <si>
    <t>85.216,24</t>
  </si>
  <si>
    <t>2026-02-18T10:41:21.507795</t>
  </si>
  <si>
    <t>2026-02-18T10:48:08.578678</t>
  </si>
  <si>
    <t>126.300,27</t>
  </si>
  <si>
    <t>2026-02-18T10:48:09.587686</t>
  </si>
  <si>
    <t>2026-02-18T10:57:04.440623</t>
  </si>
  <si>
    <t>45.212,28</t>
  </si>
  <si>
    <t>2026-02-18T10:57:05.450016</t>
  </si>
  <si>
    <t>2026-02-18T10:59:42.262164</t>
  </si>
  <si>
    <t>101.908,24</t>
  </si>
  <si>
    <t>2026-02-18T10:59:43.271533</t>
  </si>
  <si>
    <t>2026-02-18T11:07:51.735567</t>
  </si>
  <si>
    <t>77.624,26</t>
  </si>
  <si>
    <t>2026-02-18T11:07:52.739486</t>
  </si>
  <si>
    <t>2026-02-18T11:13:00.191041</t>
  </si>
  <si>
    <t>53.008,26</t>
  </si>
  <si>
    <t>2026-02-18T11:13:01.197197</t>
  </si>
  <si>
    <t>2026-02-18T11:17:42.803125</t>
  </si>
  <si>
    <t>50.320,29</t>
  </si>
  <si>
    <t>2026-02-18T11:17:43.814889</t>
  </si>
  <si>
    <t>2026-02-18T11:22:24.006026</t>
  </si>
  <si>
    <t>56.404,26</t>
  </si>
  <si>
    <t>2026-02-18T11:22:25.018056</t>
  </si>
  <si>
    <t>2026-02-18T11:25:25.230577</t>
  </si>
  <si>
    <t>63.836,25</t>
  </si>
  <si>
    <t>2026-02-18T11:25:26.239935</t>
  </si>
  <si>
    <t>2026-02-18T11:29:21.932394</t>
  </si>
  <si>
    <t>72.620,24</t>
  </si>
  <si>
    <t>2026-02-18T11:29:22.937526</t>
  </si>
  <si>
    <t>2026-02-18T11:34:57.708553</t>
  </si>
  <si>
    <t>56.992,26</t>
  </si>
  <si>
    <t>2026-02-18T11:34:58.721576</t>
  </si>
  <si>
    <t>2026-02-18T11:40:03.528183</t>
  </si>
  <si>
    <t>51.424,28</t>
  </si>
  <si>
    <t>2026-02-18T11:40:04.540847</t>
  </si>
  <si>
    <t>2026-02-18T11:43:57.075935</t>
  </si>
  <si>
    <t>92.240,27</t>
  </si>
  <si>
    <t>2026-02-18T11:43:58.084053</t>
  </si>
  <si>
    <t>2026-02-18T11:50:49.907305</t>
  </si>
  <si>
    <t>59.908,23</t>
  </si>
  <si>
    <t>2026-02-18T11:50:50.909961</t>
  </si>
  <si>
    <t>2026-02-18T11:55:49.254898</t>
  </si>
  <si>
    <t>48.292,30</t>
  </si>
  <si>
    <t>2026-02-18T11:55:50.266246</t>
  </si>
  <si>
    <t>2026-02-18T11:59:29.832450</t>
  </si>
  <si>
    <t>58.128,27</t>
  </si>
  <si>
    <t>2026-02-18T11:59:30.848723</t>
  </si>
  <si>
    <t>2026-02-18T12:03:55.396626</t>
  </si>
  <si>
    <t>87.392,23</t>
  </si>
  <si>
    <t>2026-02-18T12:03:56.406887</t>
  </si>
  <si>
    <t>2026-02-18T12:11:09.664423</t>
  </si>
  <si>
    <t>56.468,26</t>
  </si>
  <si>
    <t>2026-02-18T12:11:10.667916</t>
  </si>
  <si>
    <t>2026-02-18T12:13:54.866177</t>
  </si>
  <si>
    <t>74.028,24</t>
  </si>
  <si>
    <t>2026-02-18T12:13:55.872127</t>
  </si>
  <si>
    <t>2026-02-18T12:18:30.238869</t>
  </si>
  <si>
    <t>53.756,25</t>
  </si>
  <si>
    <t>2026-02-18T12:18:31.246764</t>
  </si>
  <si>
    <t>2026-02-18T12:22:14.281003</t>
  </si>
  <si>
    <t>37.112,27</t>
  </si>
  <si>
    <t>2026-02-18T12:22:15.287508</t>
  </si>
  <si>
    <t>2026-02-18T12:25:01.788972</t>
  </si>
  <si>
    <t>63.148,25</t>
  </si>
  <si>
    <t>2026-02-18T12:25:02.795616</t>
  </si>
  <si>
    <t>2026-02-18T12:29:52.291430</t>
  </si>
  <si>
    <t>54.056,25</t>
  </si>
  <si>
    <t>2026-02-18T12:29:53.314669</t>
  </si>
  <si>
    <t>2026-02-18T12:33:42.540229</t>
  </si>
  <si>
    <t>40.284,25</t>
  </si>
  <si>
    <t>2026-02-18T12:33:43.547983</t>
  </si>
  <si>
    <t>2026-02-18T12:37:01.338898</t>
  </si>
  <si>
    <t>46.532,30</t>
  </si>
  <si>
    <t>2026-02-18T12:37:02.345599</t>
  </si>
  <si>
    <t>2026-02-18T12:39:25.081348</t>
  </si>
  <si>
    <t>74.876,29</t>
  </si>
  <si>
    <t>2026-02-18T12:39:26.089918</t>
  </si>
  <si>
    <t>2026-02-18T12:44:39.501362</t>
  </si>
  <si>
    <t>41.300,31</t>
  </si>
  <si>
    <t>2026-02-18T12:44:40.513353</t>
  </si>
  <si>
    <t>2026-02-18T12:47:50.281486</t>
  </si>
  <si>
    <t>76.536,29</t>
  </si>
  <si>
    <t>2026-02-18T12:47:51.290543</t>
  </si>
  <si>
    <t>2026-02-18T12:52:20.078642</t>
  </si>
  <si>
    <t>63.028,29</t>
  </si>
  <si>
    <t>2026-02-18T12:52:21.090331</t>
  </si>
  <si>
    <t>2026-02-18T12:58:16.477484</t>
  </si>
  <si>
    <t>60.960,26</t>
  </si>
  <si>
    <t>2026-02-18T12:58:17.484893</t>
  </si>
  <si>
    <t>2026-02-18T13:02:53.585994</t>
  </si>
  <si>
    <t>73.288,29</t>
  </si>
  <si>
    <t>2026-02-18T13:02:54.596828</t>
  </si>
  <si>
    <t>2026-02-18T13:07:44.035647</t>
  </si>
  <si>
    <t>99.620,23</t>
  </si>
  <si>
    <t>2026-02-18T13:07:45.039173</t>
  </si>
  <si>
    <t>2026-02-18T13:15:36.647272</t>
  </si>
  <si>
    <t>57.964,33</t>
  </si>
  <si>
    <t>2026-02-18T13:15:37.657792</t>
  </si>
  <si>
    <t>2026-02-18T13:19:52.316043</t>
  </si>
  <si>
    <t>74.968,29</t>
  </si>
  <si>
    <t>2026-02-18T13:19:53.323951</t>
  </si>
  <si>
    <t>2026-02-18T13:24:41.811809</t>
  </si>
  <si>
    <t>91.144,25</t>
  </si>
  <si>
    <t>2026-02-18T13:24:42.823922</t>
  </si>
  <si>
    <t>2026-02-18T13:31:24.816595</t>
  </si>
  <si>
    <t>39.876,30</t>
  </si>
  <si>
    <t>2026-02-18T13:31:25.828699</t>
  </si>
  <si>
    <t>2026-02-18T13:33:55.999647</t>
  </si>
  <si>
    <t>96.456,29</t>
  </si>
  <si>
    <t>2026-02-18T13:33:57.008340</t>
  </si>
  <si>
    <t>2026-02-18T13:41:48.475230</t>
  </si>
  <si>
    <t>65.276,27</t>
  </si>
  <si>
    <t>2026-02-18T13:41:49.481215</t>
  </si>
  <si>
    <t>2026-02-18T13:46:43.723416</t>
  </si>
  <si>
    <t>57.844,29</t>
  </si>
  <si>
    <t>2026-02-18T13:46:44.734154</t>
  </si>
  <si>
    <t>2026-02-18T13:51:22.092504</t>
  </si>
  <si>
    <t>62.372,29</t>
  </si>
  <si>
    <t>2026-02-18T13:51:23.097206</t>
  </si>
  <si>
    <t>2026-02-18T13:56:48.121490</t>
  </si>
  <si>
    <t>80.248,23</t>
  </si>
  <si>
    <t>2026-02-18T13:56:49.125149</t>
  </si>
  <si>
    <t>2026-02-18T14:03:09.467582</t>
  </si>
  <si>
    <t>57.900,28</t>
  </si>
  <si>
    <t>2026-02-18T14:03:10.473200</t>
  </si>
  <si>
    <t>2026-02-18T14:08:20.133755</t>
  </si>
  <si>
    <t>50.760,29</t>
  </si>
  <si>
    <t>2026-02-18T14:08:21.146669</t>
  </si>
  <si>
    <t>2026-02-18T14:12:08.308907</t>
  </si>
  <si>
    <t>62.072,27</t>
  </si>
  <si>
    <t>2026-02-18T14:12:09.328503</t>
  </si>
  <si>
    <t>2026-02-18T14:17:36.980889</t>
  </si>
  <si>
    <t>52.068,26</t>
  </si>
  <si>
    <t>2026-02-18T14:17:37.990205</t>
  </si>
  <si>
    <t>2026-02-18T14:21:12.758893</t>
  </si>
  <si>
    <t>94.020,29</t>
  </si>
  <si>
    <t>2026-02-18T14:21:13.771513</t>
  </si>
  <si>
    <t>2026-02-18T14:27:51.220500</t>
  </si>
  <si>
    <t>87.700,26</t>
  </si>
  <si>
    <t>2026-02-18T14:27:52.231807</t>
  </si>
  <si>
    <t>2026-02-18T14:32:26.901491</t>
  </si>
  <si>
    <t>52.480,30</t>
  </si>
  <si>
    <t>2026-02-18T14:32:27.906956</t>
  </si>
  <si>
    <t>2026-02-18T14:35:52.767213</t>
  </si>
  <si>
    <t>67.032,26</t>
  </si>
  <si>
    <t>2026-02-18T14:35:53.780064</t>
  </si>
  <si>
    <t>2026-02-18T14:41:31.356428</t>
  </si>
  <si>
    <t>56.156,28</t>
  </si>
  <si>
    <t>2026-02-18T14:41:32.368345</t>
  </si>
  <si>
    <t>2026-02-18T14:46:02.706809</t>
  </si>
  <si>
    <t>52.992,30</t>
  </si>
  <si>
    <t>2026-02-18T14:46:03.712872</t>
  </si>
  <si>
    <t>2026-02-18T14:48:39.048504</t>
  </si>
  <si>
    <t>37.464,23</t>
  </si>
  <si>
    <t>2026-02-18T14:48:40.059401</t>
  </si>
  <si>
    <t>2026-02-18T14:51:40.839241</t>
  </si>
  <si>
    <t>67.276,27</t>
  </si>
  <si>
    <t>2026-02-18T14:51:41.843174</t>
  </si>
  <si>
    <t>2026-02-18T14:55:37.420648</t>
  </si>
  <si>
    <t>41.700,27</t>
  </si>
  <si>
    <t>2026-02-18T14:55:38.423188</t>
  </si>
  <si>
    <t>2026-02-18T14:59:26.731025</t>
  </si>
  <si>
    <t>85.656,24</t>
  </si>
  <si>
    <t>2026-02-18T14:59:27.736724</t>
  </si>
  <si>
    <t>2026-02-18T15:05:28.159693</t>
  </si>
  <si>
    <t>71.828,21</t>
  </si>
  <si>
    <t>2026-02-18T15:05:29.166398</t>
  </si>
  <si>
    <t>2026-02-18T15:11:13.044897</t>
  </si>
  <si>
    <t>51.676,21</t>
  </si>
  <si>
    <t>2026-02-18T15:11:14.050769</t>
  </si>
  <si>
    <t>2026-02-18T15:14:49.532709</t>
  </si>
  <si>
    <t>95.560,24</t>
  </si>
  <si>
    <t>2026-02-18T15:14:50.543095</t>
  </si>
  <si>
    <t>2026-02-18T15:20:44.336145</t>
  </si>
  <si>
    <t>42.128,24</t>
  </si>
  <si>
    <t>2026-02-18T15:20:45.348209</t>
  </si>
  <si>
    <t>2026-02-18T15:24:10.919741</t>
  </si>
  <si>
    <t>51.764,21</t>
  </si>
  <si>
    <t>2026-02-18T15:24:11.932723</t>
  </si>
  <si>
    <t>2026-02-18T15:28:53.439621</t>
  </si>
  <si>
    <t>81.948,24</t>
  </si>
  <si>
    <t>2026-02-18T15:28:54.443841</t>
  </si>
  <si>
    <t>2026-02-18T15:35:10.668104</t>
  </si>
  <si>
    <t>39.392,24</t>
  </si>
  <si>
    <t>2026-02-18T15:35:11.680343</t>
  </si>
  <si>
    <t>2026-02-18T15:38:17.188180</t>
  </si>
  <si>
    <t>40.340,22</t>
  </si>
  <si>
    <t>2026-02-18T15:38:18.201911</t>
  </si>
  <si>
    <t>2026-02-18T15:40:46.565621</t>
  </si>
  <si>
    <t>62.368,21</t>
  </si>
  <si>
    <t>2026-02-18T15:40:47.571775</t>
  </si>
  <si>
    <t>2026-02-18T15:45:38.435479</t>
  </si>
  <si>
    <t>75.848,25</t>
  </si>
  <si>
    <t>2026-02-18T15:45:39.443797</t>
  </si>
  <si>
    <t>2026-02-18T15:51:40.565399</t>
  </si>
  <si>
    <t>41.112,23</t>
  </si>
  <si>
    <t>2026-02-18T15:51:41.578290</t>
  </si>
  <si>
    <t>2026-02-18T15:54:51.659069</t>
  </si>
  <si>
    <t>80.628,21</t>
  </si>
  <si>
    <t>2026-02-18T15:54:52.670215</t>
  </si>
  <si>
    <t>2026-02-18T15:59:53.715286</t>
  </si>
  <si>
    <t>51.240,25</t>
  </si>
  <si>
    <t>2026-02-18T15:59:54.723227</t>
  </si>
  <si>
    <t>2026-02-18T16:03:21.229119</t>
  </si>
  <si>
    <t>47.524,20</t>
  </si>
  <si>
    <t>2026-02-18T16:03:22.237496</t>
  </si>
  <si>
    <t>2026-02-18T16:06:59.578984</t>
  </si>
  <si>
    <t>90.068,21</t>
  </si>
  <si>
    <t>2026-02-18T16:07:00.591534</t>
  </si>
  <si>
    <t>2026-02-18T16:13:37.106788</t>
  </si>
  <si>
    <t>59.192,25</t>
  </si>
  <si>
    <t>2026-02-18T16:13:38.117432</t>
  </si>
  <si>
    <t>2026-02-18T16:18:07.095321</t>
  </si>
  <si>
    <t>33.876,24</t>
  </si>
  <si>
    <t>2026-02-18T16:18:08.106982</t>
  </si>
  <si>
    <t>2026-02-18T16:20:29.668765</t>
  </si>
  <si>
    <t>77.088,18</t>
  </si>
  <si>
    <t>2026-02-18T16:20:30.686876</t>
  </si>
  <si>
    <t>2026-02-18T16:26:10.849341</t>
  </si>
  <si>
    <t>72.556,24</t>
  </si>
  <si>
    <t>2026-02-18T16:26:11.861617</t>
  </si>
  <si>
    <t>2026-02-18T16:31:22.280783</t>
  </si>
  <si>
    <t>37.728,24</t>
  </si>
  <si>
    <t>2026-02-18T16:31:23.286936</t>
  </si>
  <si>
    <t>2026-02-18T16:34:16.608275</t>
  </si>
  <si>
    <t>75.760,18</t>
  </si>
  <si>
    <t>2026-02-18T16:34:17.613190</t>
  </si>
  <si>
    <t>2026-02-18T16:39:50.070698</t>
  </si>
  <si>
    <t>112.996,20</t>
  </si>
  <si>
    <t>2026-02-18T16:39:51.083471</t>
  </si>
  <si>
    <t>2026-02-18T16:48:44.900742</t>
  </si>
  <si>
    <t>45.796,24</t>
  </si>
  <si>
    <t>2026-02-18T16:48:45.908067</t>
  </si>
  <si>
    <t>2026-02-18T16:52:17.246011</t>
  </si>
  <si>
    <t>61.560,29</t>
  </si>
  <si>
    <t>2026-02-18T16:52:18.252453</t>
  </si>
  <si>
    <t>2026-02-18T16:56:02.424894</t>
  </si>
  <si>
    <t>49.256,28</t>
  </si>
  <si>
    <t>2026-02-18T16:56:03.437320</t>
  </si>
  <si>
    <t>2026-02-18T16:59:19.506319</t>
  </si>
  <si>
    <t>30.440,31</t>
  </si>
  <si>
    <t>2026-02-18T16:59:20.518150</t>
  </si>
  <si>
    <t>2026-02-18T17:01:33.564721</t>
  </si>
  <si>
    <t>62.636,27</t>
  </si>
  <si>
    <t>2026-02-18T17:01:34.569381</t>
  </si>
  <si>
    <t>2026-02-18T17:07:25.972610</t>
  </si>
  <si>
    <t>64.876,24</t>
  </si>
  <si>
    <t>2026-02-18T17:07:26.981317</t>
  </si>
  <si>
    <t>2026-02-18T17:11:46.302281</t>
  </si>
  <si>
    <t>43.628,31</t>
  </si>
  <si>
    <t>2026-02-18T17:11:47.315579</t>
  </si>
  <si>
    <t>2026-02-18T17:14:39.636362</t>
  </si>
  <si>
    <t>91.080,28</t>
  </si>
  <si>
    <t>2026-02-18T17:14:40.642401</t>
  </si>
  <si>
    <t>2026-02-18T17:20:11.739320</t>
  </si>
  <si>
    <t>84.908,22</t>
  </si>
  <si>
    <t>2026-02-18T17:20:12.748676</t>
  </si>
  <si>
    <t>2026-02-18T17:25:53.764364</t>
  </si>
  <si>
    <t>53.472,33</t>
  </si>
  <si>
    <t>2026-02-18T17:25:54.771177</t>
  </si>
  <si>
    <t>2026-02-18T17:29:48.568964</t>
  </si>
  <si>
    <t>59.556,28</t>
  </si>
  <si>
    <t>2026-02-18T17:29:49.574678</t>
  </si>
  <si>
    <t>2026-02-18T17:34:24.610352</t>
  </si>
  <si>
    <t>140.304,23</t>
  </si>
  <si>
    <t>2026-02-18T17:34:25.618637</t>
  </si>
  <si>
    <t>2026-02-18T17:44:35.428407</t>
  </si>
  <si>
    <t>46.996,28</t>
  </si>
  <si>
    <t>2026-02-18T17:44:36.439593</t>
  </si>
  <si>
    <t>2026-02-18T17:47:27.027262</t>
  </si>
  <si>
    <t>61.016,27</t>
  </si>
  <si>
    <t>2026-02-18T17:47:28.039306</t>
  </si>
  <si>
    <t>2026-02-18T17:53:25.816975</t>
  </si>
  <si>
    <t>113.356,23</t>
  </si>
  <si>
    <t>2026-02-18T17:53:26.819828</t>
  </si>
  <si>
    <t>2026-02-18T18:01:43.774701</t>
  </si>
  <si>
    <t>45.224,29</t>
  </si>
  <si>
    <t>2026-02-18T18:01:44.782828</t>
  </si>
  <si>
    <t>2026-02-18T18:04:26.269958</t>
  </si>
  <si>
    <t>56.648,28</t>
  </si>
  <si>
    <t>2026-02-18T18:04:27.281548</t>
  </si>
  <si>
    <t>2026-02-18T18:08:51.296941</t>
  </si>
  <si>
    <t>93.604,26</t>
  </si>
  <si>
    <t>2026-02-18T18:08:52.309796</t>
  </si>
  <si>
    <t>2026-02-18T18:15:23.398895</t>
  </si>
  <si>
    <t>52.404,28</t>
  </si>
  <si>
    <t>2026-02-18T18:15:24.406099</t>
  </si>
  <si>
    <t>2026-02-18T18:19:18.709121</t>
  </si>
  <si>
    <t>64.856,29</t>
  </si>
  <si>
    <t>2026-02-18T18:19:19.732011</t>
  </si>
  <si>
    <t>2026-02-18T18:23:21.445484</t>
  </si>
  <si>
    <t>55.148,24</t>
  </si>
  <si>
    <t>2026-02-18T18:23:22.461931</t>
  </si>
  <si>
    <t>2026-02-18T18:28:41.694440</t>
  </si>
  <si>
    <t>68.308,30</t>
  </si>
  <si>
    <t>2026-02-18T18:28:42.707927</t>
  </si>
  <si>
    <t>2026-02-18T18:33:46.407432</t>
  </si>
  <si>
    <t>62.276,28</t>
  </si>
  <si>
    <t>2026-02-18T18:33:47.430184</t>
  </si>
  <si>
    <t>2026-02-18T18:38:35.468601</t>
  </si>
  <si>
    <t>76.812,25</t>
  </si>
  <si>
    <t>2026-02-18T18:38:36.473817</t>
  </si>
  <si>
    <t>2026-02-18T18:45:29.050630</t>
  </si>
  <si>
    <t>46.184,30</t>
  </si>
  <si>
    <t>2026-02-18T18:45:30.054937</t>
  </si>
  <si>
    <t>2026-02-18T18:48:08.913741</t>
  </si>
  <si>
    <t>62.272,28</t>
  </si>
  <si>
    <t>2026-02-18T18:48:09.918369</t>
  </si>
  <si>
    <t>2026-02-18T18:52:53.862961</t>
  </si>
  <si>
    <t>60.604,28</t>
  </si>
  <si>
    <t>2026-02-18T18:52:54.874892</t>
  </si>
  <si>
    <t>2026-02-18T18:57:24.497331</t>
  </si>
  <si>
    <t>37.192,31</t>
  </si>
  <si>
    <t>2026-02-18T18:57:25.515718</t>
  </si>
  <si>
    <t>2026-02-18T18:59:02.866828</t>
  </si>
  <si>
    <t>2026-02-18T21:44:35.090561</t>
  </si>
  <si>
    <t>2026-02-18T21:46:56.031476</t>
  </si>
  <si>
    <t>2026-02-18T22:01:35.199985</t>
  </si>
  <si>
    <t>2026-02-18T22:10:03.889644</t>
  </si>
  <si>
    <t>2026-02-18T22:10:04.901384</t>
  </si>
  <si>
    <t>2026-02-18T22:14:25.572494</t>
  </si>
  <si>
    <t>2026-02-18T22:17:39.746242</t>
  </si>
  <si>
    <t>2026-02-18T22:22:12.151054</t>
  </si>
  <si>
    <t>2026-02-18T22:22:13.159727</t>
  </si>
  <si>
    <t>2026-02-18T22:25:04.681653</t>
  </si>
  <si>
    <t>2026-02-18T22:25:05.693914</t>
  </si>
  <si>
    <t>2026-02-18T22:28:45.564065</t>
  </si>
  <si>
    <t>2026-02-18T22:28:46.576821</t>
  </si>
  <si>
    <t>2026-02-18T22:34:40.127349</t>
  </si>
  <si>
    <t>2026-02-18T22:34:41.141701</t>
  </si>
  <si>
    <t>2026-02-18T22:40:02.738570</t>
  </si>
  <si>
    <t>2026-02-18T22:43:45.520262</t>
  </si>
  <si>
    <t>2026-02-18T22:46:38.358055</t>
  </si>
  <si>
    <t>2026-02-18T22:46:39.369344</t>
  </si>
  <si>
    <t>2026-02-18T22:49:41.378185</t>
  </si>
  <si>
    <t>2026-02-18T22:49:42.383586</t>
  </si>
  <si>
    <t>2026-02-18T22:51:19.327988</t>
  </si>
  <si>
    <t>2026-02-18T22:51:20.340100</t>
  </si>
  <si>
    <t>2026-02-18T22:53:49.880151</t>
  </si>
  <si>
    <t>2026-02-18T22:53:50.891058</t>
  </si>
  <si>
    <t>2026-02-18T22:56:06.279488</t>
  </si>
  <si>
    <t>2026-02-18T22:58:07.854779</t>
  </si>
  <si>
    <t>2026-02-18T23:01:15.634938</t>
  </si>
  <si>
    <t>60.544,24</t>
  </si>
  <si>
    <t>2026-02-18T23:01:16.644042</t>
  </si>
  <si>
    <t>2026-02-18T23:04:35.638043</t>
  </si>
  <si>
    <t>57.920,33</t>
  </si>
  <si>
    <t>2026-02-18T23:04:36.643732</t>
  </si>
  <si>
    <t>2026-02-18T23:06:45.850384</t>
  </si>
  <si>
    <t>77.292,25</t>
  </si>
  <si>
    <t>2026-02-18T23:06:46.860641</t>
  </si>
  <si>
    <t>2026-02-18T23:10:44.899787</t>
  </si>
  <si>
    <t>62.280,24</t>
  </si>
  <si>
    <t>2026-02-18T23:10:45.911296</t>
  </si>
  <si>
    <t>2026-02-18T23:13:05.035037</t>
  </si>
  <si>
    <t>37.996,29</t>
  </si>
  <si>
    <t>2026-02-18T23:13:06.040895</t>
  </si>
  <si>
    <t>2026-02-18T23:14:27.953136</t>
  </si>
  <si>
    <t>69.964,23</t>
  </si>
  <si>
    <t>2026-02-18T23:14:28.964142</t>
  </si>
  <si>
    <t>2026-02-18T23:16:48.495010</t>
  </si>
  <si>
    <t>78.044,24</t>
  </si>
  <si>
    <t>2026-02-18T23:16:49.503253</t>
  </si>
  <si>
    <t>2026-02-18T23:20:56.530093</t>
  </si>
  <si>
    <t>40.948,25</t>
  </si>
  <si>
    <t>2026-02-18T23:20:57.542018</t>
  </si>
  <si>
    <t>2026-02-18T23:23:39.292946</t>
  </si>
  <si>
    <t>109.780,23</t>
  </si>
  <si>
    <t>2026-02-18T23:23:40.304390</t>
  </si>
  <si>
    <t>2026-02-18T23:28:30.127910</t>
  </si>
  <si>
    <t>67.908,21</t>
  </si>
  <si>
    <t>2026-02-18T23:28:31.137329</t>
  </si>
  <si>
    <t>2026-02-18T23:31:42.738807</t>
  </si>
  <si>
    <t>60.028,28</t>
  </si>
  <si>
    <t>2026-02-18T23:31:43.743304</t>
  </si>
  <si>
    <t>2026-02-18T23:34:09.329252</t>
  </si>
  <si>
    <t>127.996,22</t>
  </si>
  <si>
    <t>2026-02-18T23:34:10.333049</t>
  </si>
  <si>
    <t>2026-02-18T23:38:31.060152</t>
  </si>
  <si>
    <t>117.048,24</t>
  </si>
  <si>
    <t>2026-02-18T23:38:32.071552</t>
  </si>
  <si>
    <t>2026-02-18T23:42:52.090300</t>
  </si>
  <si>
    <t>43.852,30</t>
  </si>
  <si>
    <t>2026-02-18T23:42:53.098110</t>
  </si>
  <si>
    <t>2026-02-18T23:44:18.637711</t>
  </si>
  <si>
    <t>100.216,19</t>
  </si>
  <si>
    <t>2026-02-18T23:44:19.647699</t>
  </si>
  <si>
    <t>2026-02-18T23:48:40.480895</t>
  </si>
  <si>
    <t>64.500,24</t>
  </si>
  <si>
    <t>2026-02-18T23:48:41.492560</t>
  </si>
  <si>
    <t>2026-02-18T23:51:29.226455</t>
  </si>
  <si>
    <t>59.280,29</t>
  </si>
  <si>
    <t>2026-02-18T23:51:30.229391</t>
  </si>
  <si>
    <t>2026-02-18T23:53:59.854457</t>
  </si>
  <si>
    <t>118.220,27</t>
  </si>
  <si>
    <t>2026-02-18T23:54:00.858738</t>
  </si>
  <si>
    <t>2026-02-18T23:58:46.454298</t>
  </si>
  <si>
    <t>59.192,23</t>
  </si>
  <si>
    <t>2026-02-18T23:58:47.460766</t>
  </si>
  <si>
    <t>2026-02-19T00:01:31.151010</t>
  </si>
  <si>
    <t>48.404,29</t>
  </si>
  <si>
    <t>2026-02-19T00:01:32.162601</t>
  </si>
  <si>
    <t>2026-02-19T00:04:18.254116</t>
  </si>
  <si>
    <t>86.964,22</t>
  </si>
  <si>
    <t>2026-02-19T00:04:19.262389</t>
  </si>
  <si>
    <t>2026-02-19T00:07:13.756263</t>
  </si>
  <si>
    <t>97.208,22</t>
  </si>
  <si>
    <t>2026-02-19T00:07:14.768041</t>
  </si>
  <si>
    <t>2026-02-19T00:12:12.516485</t>
  </si>
  <si>
    <t>49.852,27</t>
  </si>
  <si>
    <t>2026-02-19T00:12:13.531810</t>
  </si>
  <si>
    <t>2026-02-19T00:16:20.518861</t>
  </si>
  <si>
    <t>65.296,25</t>
  </si>
  <si>
    <t>2026-02-19T00:16:21.532317</t>
  </si>
  <si>
    <t>2026-02-19T00:19:49.036388</t>
  </si>
  <si>
    <t>102.420,25</t>
  </si>
  <si>
    <t>2026-02-19T00:19:50.043934</t>
  </si>
  <si>
    <t>2026-02-19T00:25:11.491225</t>
  </si>
  <si>
    <t>37.392,29</t>
  </si>
  <si>
    <t>2026-02-19T00:25:12.505045</t>
  </si>
  <si>
    <t>2026-02-19T00:27:35.197893</t>
  </si>
  <si>
    <t>90.648,25</t>
  </si>
  <si>
    <t>2026-02-19T00:27:36.203636</t>
  </si>
  <si>
    <t>2026-02-19T00:30:20.153538</t>
  </si>
  <si>
    <t>80.296,22</t>
  </si>
  <si>
    <t>2026-02-19T00:30:21.165028</t>
  </si>
  <si>
    <t>2026-02-19T00:33:46.936202</t>
  </si>
  <si>
    <t>47.840,25</t>
  </si>
  <si>
    <t>2026-02-19T00:33:47.947525</t>
  </si>
  <si>
    <t>2026-02-19T00:35:29.518605</t>
  </si>
  <si>
    <t>90.196,23</t>
  </si>
  <si>
    <t>2026-02-19T00:35:30.521959</t>
  </si>
  <si>
    <t>2026-02-19T00:40:01.800209</t>
  </si>
  <si>
    <t>67.436,27</t>
  </si>
  <si>
    <t>2026-02-19T00:40:02.812544</t>
  </si>
  <si>
    <t>2026-02-19T00:43:04.799184</t>
  </si>
  <si>
    <t>51.236,28</t>
  </si>
  <si>
    <t>2026-02-19T00:43:05.810378</t>
  </si>
  <si>
    <t>2026-02-19T00:45:14.526707</t>
  </si>
  <si>
    <t>40.868,25</t>
  </si>
  <si>
    <t>2026-02-19T00:45:15.536161</t>
  </si>
  <si>
    <t>2026-02-19T00:47:44.958977</t>
  </si>
  <si>
    <t>48.340,26</t>
  </si>
  <si>
    <t>2026-02-19T00:47:45.971434</t>
  </si>
  <si>
    <t>2026-02-19T00:49:46.179281</t>
  </si>
  <si>
    <t>47.780,27</t>
  </si>
  <si>
    <t>2026-02-19T00:49:47.191322</t>
  </si>
  <si>
    <t>2026-02-19T00:51:49.626919</t>
  </si>
  <si>
    <t>76.256,26</t>
  </si>
  <si>
    <t>2026-02-19T00:51:50.638569</t>
  </si>
  <si>
    <t>2026-02-19T00:55:01.528360</t>
  </si>
  <si>
    <t>81.340,24</t>
  </si>
  <si>
    <t>2026-02-19T00:55:02.540507</t>
  </si>
  <si>
    <t>2026-02-19T00:58:04.711458</t>
  </si>
  <si>
    <t>60.800,31</t>
  </si>
  <si>
    <t>2026-02-19T00:58:05.721694</t>
  </si>
  <si>
    <t>2026-02-19T01:00:01.897206</t>
  </si>
  <si>
    <t>69.176,24</t>
  </si>
  <si>
    <t>2026-02-19T01:00:02.910279</t>
  </si>
  <si>
    <t>2026-02-19T01:02:51.525681</t>
  </si>
  <si>
    <t>47.280,24</t>
  </si>
  <si>
    <t>2026-02-19T01:02:52.527706</t>
  </si>
  <si>
    <t>2026-02-19T01:04:55.937944</t>
  </si>
  <si>
    <t>51.268,28</t>
  </si>
  <si>
    <t>2026-02-19T01:04:56.945496</t>
  </si>
  <si>
    <t>2026-02-19T01:06:43.070541</t>
  </si>
  <si>
    <t>69.212,26</t>
  </si>
  <si>
    <t>2026-02-19T01:06:44.081676</t>
  </si>
  <si>
    <t>2026-02-19T01:09:45.378584</t>
  </si>
  <si>
    <t>46.944,24</t>
  </si>
  <si>
    <t>2026-02-19T01:09:46.391127</t>
  </si>
  <si>
    <t>2026-02-19T01:12:45.495488</t>
  </si>
  <si>
    <t>40.976,28</t>
  </si>
  <si>
    <t>2026-02-19T01:12:46.507388</t>
  </si>
  <si>
    <t>2026-02-19T01:14:28.590207</t>
  </si>
  <si>
    <t>130.732,25</t>
  </si>
  <si>
    <t>2026-02-19T01:14:29.601640</t>
  </si>
  <si>
    <t>2026-02-19T01:19:54.149992</t>
  </si>
  <si>
    <t>54.052,23</t>
  </si>
  <si>
    <t>2026-02-19T01:19:55.160978</t>
  </si>
  <si>
    <t>2026-02-19T01:23:42.465876</t>
  </si>
  <si>
    <t>54.056,29</t>
  </si>
  <si>
    <t>2026-02-19T01:23:43.478246</t>
  </si>
  <si>
    <t>2026-02-19T01:25:44.110633</t>
  </si>
  <si>
    <t>53.272,26</t>
  </si>
  <si>
    <t>2026-02-19T01:25:45.123511</t>
  </si>
  <si>
    <t>2026-02-19T01:28:08.986927</t>
  </si>
  <si>
    <t>42.196,22</t>
  </si>
  <si>
    <t>2026-02-19T01:28:09.998988</t>
  </si>
  <si>
    <t>2026-02-19T01:31:05.669720</t>
  </si>
  <si>
    <t>39.808,31</t>
  </si>
  <si>
    <t>2026-02-19T01:31:06.675979</t>
  </si>
  <si>
    <t>2026-02-19T01:32:41.180326</t>
  </si>
  <si>
    <t>101.936,24</t>
  </si>
  <si>
    <t>2026-02-19T01:32:42.191811</t>
  </si>
  <si>
    <t>2026-02-19T01:36:48.058720</t>
  </si>
  <si>
    <t>120.172,25</t>
  </si>
  <si>
    <t>2026-02-19T01:36:49.063265</t>
  </si>
  <si>
    <t>2026-02-19T01:41:43.745565</t>
  </si>
  <si>
    <t>66.028,32</t>
  </si>
  <si>
    <t>2026-02-19T01:41:44.757069</t>
  </si>
  <si>
    <t>2026-02-19T01:43:53.202430</t>
  </si>
  <si>
    <t>101.060,23</t>
  </si>
  <si>
    <t>2026-02-19T01:43:54.213903</t>
  </si>
  <si>
    <t>2026-02-19T01:46:38.931921</t>
  </si>
  <si>
    <t>77.336,23</t>
  </si>
  <si>
    <t>2026-02-19T01:46:39.938302</t>
  </si>
  <si>
    <t>2026-02-19T01:49:26.948489</t>
  </si>
  <si>
    <t>47.632,29</t>
  </si>
  <si>
    <t>2026-02-19T01:49:27.951543</t>
  </si>
  <si>
    <t>2026-02-19T01:50:52.279358</t>
  </si>
  <si>
    <t>66.312,26</t>
  </si>
  <si>
    <t>2026-02-19T01:50:53.293420</t>
  </si>
  <si>
    <t>2026-02-19T01:52:36.792684</t>
  </si>
  <si>
    <t>69.964,22</t>
  </si>
  <si>
    <t>2026-02-19T01:52:37.803698</t>
  </si>
  <si>
    <t>2026-02-19T01:54:57.868233</t>
  </si>
  <si>
    <t>48.296,31</t>
  </si>
  <si>
    <t>2026-02-19T01:54:58.878715</t>
  </si>
  <si>
    <t>2026-02-19T01:56:41.492610</t>
  </si>
  <si>
    <t>2026-02-18T21:36:03.129590</t>
  </si>
  <si>
    <t>2026-02-18T21:40:44.122682</t>
  </si>
  <si>
    <t>2026-02-18T21:40:45.130200</t>
  </si>
  <si>
    <t>2026-02-18T21:46:30.338809</t>
  </si>
  <si>
    <t>2026-02-18T21:46:31.345740</t>
  </si>
  <si>
    <t>2026-02-18T21:50:10.343317</t>
  </si>
  <si>
    <t>2026-02-18T21:50:11.350834</t>
  </si>
  <si>
    <t>2026-02-18T21:56:37.839985</t>
  </si>
  <si>
    <t>2026-02-18T21:56:38.858038</t>
  </si>
  <si>
    <t>2026-02-18T22:02:38.948473</t>
  </si>
  <si>
    <t>2026-02-18T22:02:39.951631</t>
  </si>
  <si>
    <t>2026-02-18T22:07:33.678203</t>
  </si>
  <si>
    <t>2026-02-18T22:07:34.689272</t>
  </si>
  <si>
    <t>2026-02-18T22:14:10.895389</t>
  </si>
  <si>
    <t>2026-02-18T22:14:11.899837</t>
  </si>
  <si>
    <t>2026-02-18T22:22:54.568384</t>
  </si>
  <si>
    <t>2026-02-18T22:22:55.580802</t>
  </si>
  <si>
    <t>2026-02-18T22:26:24.116237</t>
  </si>
  <si>
    <t>2026-02-18T22:26:25.123647</t>
  </si>
  <si>
    <t>2026-02-18T22:32:31.212420</t>
  </si>
  <si>
    <t>2026-02-18T22:32:32.218034</t>
  </si>
  <si>
    <t>2026-02-18T22:39:13.821563</t>
  </si>
  <si>
    <t>2026-02-18T22:39:14.832622</t>
  </si>
  <si>
    <t>2026-02-18T22:42:11.450693</t>
  </si>
  <si>
    <t>2026-02-18T22:42:12.463764</t>
  </si>
  <si>
    <t>2026-02-18T22:46:27.166436</t>
  </si>
  <si>
    <t>2026-02-18T22:46:28.177504</t>
  </si>
  <si>
    <t>2026-02-18T22:48:49.258272</t>
  </si>
  <si>
    <t>2026-02-18T22:48:50.269843</t>
  </si>
  <si>
    <t>2026-02-18T22:51:40.326251</t>
  </si>
  <si>
    <t>2026-02-18T22:51:41.337728</t>
  </si>
  <si>
    <t>2026-02-18T22:56:10.106652</t>
  </si>
  <si>
    <t>90.680,26</t>
  </si>
  <si>
    <t>2026-02-18T22:56:11.115278</t>
  </si>
  <si>
    <t>2026-02-18T23:00:58.680368</t>
  </si>
  <si>
    <t>45.592,28</t>
  </si>
  <si>
    <t>2026-02-18T23:00:59.691297</t>
  </si>
  <si>
    <t>2026-02-18T23:02:30.268514</t>
  </si>
  <si>
    <t>76.488,27</t>
  </si>
  <si>
    <t>2026-02-18T23:02:31.279716</t>
  </si>
  <si>
    <t>2026-02-18T23:06:23.277504</t>
  </si>
  <si>
    <t>51.516,26</t>
  </si>
  <si>
    <t>2026-02-18T23:06:24.292554</t>
  </si>
  <si>
    <t>2026-02-18T23:09:20.256076</t>
  </si>
  <si>
    <t>56.012,26</t>
  </si>
  <si>
    <t>2026-02-18T23:09:21.275847</t>
  </si>
  <si>
    <t>2026-02-18T23:11:34.882142</t>
  </si>
  <si>
    <t>84.568,27</t>
  </si>
  <si>
    <t>2026-02-18T23:11:35.888030</t>
  </si>
  <si>
    <t>2026-02-18T23:15:58.559854</t>
  </si>
  <si>
    <t>72.940,28</t>
  </si>
  <si>
    <t>2026-02-18T23:15:59.570489</t>
  </si>
  <si>
    <t>2026-02-18T23:19:44.046645</t>
  </si>
  <si>
    <t>39.280,29</t>
  </si>
  <si>
    <t>2026-02-18T23:19:45.058522</t>
  </si>
  <si>
    <t>2026-02-18T23:21:04.399665</t>
  </si>
  <si>
    <t>109.252,27</t>
  </si>
  <si>
    <t>2026-02-18T23:21:05.412230</t>
  </si>
  <si>
    <t>2026-02-18T23:24:39.784346</t>
  </si>
  <si>
    <t>84.468,26</t>
  </si>
  <si>
    <t>2026-02-18T23:24:40.796161</t>
  </si>
  <si>
    <t>2026-02-18T23:28:01.413867</t>
  </si>
  <si>
    <t>38.072,29</t>
  </si>
  <si>
    <t>2026-02-18T23:28:02.419890</t>
  </si>
  <si>
    <t>2026-02-18T23:30:22.360264</t>
  </si>
  <si>
    <t>54.272,27</t>
  </si>
  <si>
    <t>2026-02-18T23:30:23.365521</t>
  </si>
  <si>
    <t>2026-02-18T23:32:42.834033</t>
  </si>
  <si>
    <t>88.128,31</t>
  </si>
  <si>
    <t>2026-02-18T23:32:43.838431</t>
  </si>
  <si>
    <t>2026-02-18T23:36:17.051963</t>
  </si>
  <si>
    <t>43.884,33</t>
  </si>
  <si>
    <t>2026-02-18T23:36:18.061675</t>
  </si>
  <si>
    <t>2026-02-18T23:37:37.801469</t>
  </si>
  <si>
    <t>60.512,26</t>
  </si>
  <si>
    <t>2026-02-18T23:37:38.812343</t>
  </si>
  <si>
    <t>2026-02-18T23:41:19.901394</t>
  </si>
  <si>
    <t>100.040,27</t>
  </si>
  <si>
    <t>2026-02-18T23:41:20.906513</t>
  </si>
  <si>
    <t>2026-02-18T23:45:44.711010</t>
  </si>
  <si>
    <t>65.364,31</t>
  </si>
  <si>
    <t>2026-02-18T23:45:45.721547</t>
  </si>
  <si>
    <t>2026-02-18T23:49:18.811382</t>
  </si>
  <si>
    <t>51.612,27</t>
  </si>
  <si>
    <t>2026-02-18T23:49:19.823855</t>
  </si>
  <si>
    <t>2026-02-18T23:51:08.809063</t>
  </si>
  <si>
    <t>47.272,24</t>
  </si>
  <si>
    <t>2026-02-18T23:51:09.814190</t>
  </si>
  <si>
    <t>2026-02-18T23:54:01.177043</t>
  </si>
  <si>
    <t>50.232,28</t>
  </si>
  <si>
    <t>2026-02-18T23:54:02.188381</t>
  </si>
  <si>
    <t>2026-02-18T23:56:08.754519</t>
  </si>
  <si>
    <t>59.472,29</t>
  </si>
  <si>
    <t>2026-02-18T23:56:09.767251</t>
  </si>
  <si>
    <t>2026-02-18T23:59:28.307506</t>
  </si>
  <si>
    <t>66.752,26</t>
  </si>
  <si>
    <t>2026-02-18T23:59:29.319426</t>
  </si>
  <si>
    <t>2026-02-19T00:02:08.918209</t>
  </si>
  <si>
    <t>48.464,28</t>
  </si>
  <si>
    <t>2026-02-19T00:02:09.929792</t>
  </si>
  <si>
    <t>2026-02-19T00:04:04.043830</t>
  </si>
  <si>
    <t>80.392,25</t>
  </si>
  <si>
    <t>2026-02-19T00:04:05.047162</t>
  </si>
  <si>
    <t>2026-02-19T00:07:57.188683</t>
  </si>
  <si>
    <t>64.240,27</t>
  </si>
  <si>
    <t>2026-02-19T00:07:58.199898</t>
  </si>
  <si>
    <t>2026-02-19T00:10:41.021051</t>
  </si>
  <si>
    <t>31.172,33</t>
  </si>
  <si>
    <t>2026-02-19T00:10:42.032097</t>
  </si>
  <si>
    <t>2026-02-19T00:11:57.022297</t>
  </si>
  <si>
    <t>39.968,26</t>
  </si>
  <si>
    <t>2026-02-19T00:11:58.028220</t>
  </si>
  <si>
    <t>2026-02-19T00:15:50.279903</t>
  </si>
  <si>
    <t>87.316,24</t>
  </si>
  <si>
    <t>2026-02-19T00:15:51.285430</t>
  </si>
  <si>
    <t>2026-02-19T00:19:12.220271</t>
  </si>
  <si>
    <t>49.880,26</t>
  </si>
  <si>
    <t>2026-02-19T00:19:13.229098</t>
  </si>
  <si>
    <t>2026-02-19T00:20:56.539146</t>
  </si>
  <si>
    <t>86.160,25</t>
  </si>
  <si>
    <t>2026-02-19T00:20:57.544584</t>
  </si>
  <si>
    <t>2026-02-19T00:24:44.777230</t>
  </si>
  <si>
    <t>48.456,27</t>
  </si>
  <si>
    <t>2026-02-19T00:24:45.786073</t>
  </si>
  <si>
    <t>2026-02-19T00:26:43.690151</t>
  </si>
  <si>
    <t>31.600,32</t>
  </si>
  <si>
    <t>2026-02-19T00:26:44.692896</t>
  </si>
  <si>
    <t>2026-02-19T00:27:58.824263</t>
  </si>
  <si>
    <t>76.900,29</t>
  </si>
  <si>
    <t>2026-02-19T00:27:59.828318</t>
  </si>
  <si>
    <t>2026-02-19T00:32:03.680232</t>
  </si>
  <si>
    <t>93.956,30</t>
  </si>
  <si>
    <t>2026-02-19T00:32:04.692298</t>
  </si>
  <si>
    <t>2026-02-19T00:35:55.373132</t>
  </si>
  <si>
    <t>48.000,28</t>
  </si>
  <si>
    <t>2026-02-19T00:35:56.385288</t>
  </si>
  <si>
    <t>2026-02-19T00:37:31.386892</t>
  </si>
  <si>
    <t>74.060,30</t>
  </si>
  <si>
    <t>2026-02-19T00:37:32.398130</t>
  </si>
  <si>
    <t>2026-02-19T00:40:33.916687</t>
  </si>
  <si>
    <t>59.672,30</t>
  </si>
  <si>
    <t>2026-02-19T00:40:34.921076</t>
  </si>
  <si>
    <t>2026-02-19T00:43:04.501261</t>
  </si>
  <si>
    <t>41.256,32</t>
  </si>
  <si>
    <t>2026-02-19T00:43:05.512199</t>
  </si>
  <si>
    <t>2026-02-19T00:45:02.613196</t>
  </si>
  <si>
    <t>34.276,25</t>
  </si>
  <si>
    <t>2026-02-19T00:45:03.615817</t>
  </si>
  <si>
    <t>2026-02-19T00:46:47.545459</t>
  </si>
  <si>
    <t>70.436,23</t>
  </si>
  <si>
    <t>2026-02-19T00:46:48.550185</t>
  </si>
  <si>
    <t>2026-02-19T00:49:42.712995</t>
  </si>
  <si>
    <t>49.876,29</t>
  </si>
  <si>
    <t>2026-02-19T00:49:43.724335</t>
  </si>
  <si>
    <t>2026-02-19T00:51:52.897789</t>
  </si>
  <si>
    <t>70.952,25</t>
  </si>
  <si>
    <t>2026-02-19T00:51:53.908134</t>
  </si>
  <si>
    <t>2026-02-19T00:55:30.153139</t>
  </si>
  <si>
    <t>92.672,21</t>
  </si>
  <si>
    <t>2026-02-19T00:55:31.161971</t>
  </si>
  <si>
    <t>2026-02-19T00:59:59.274644</t>
  </si>
  <si>
    <t>50.080,26</t>
  </si>
  <si>
    <t>2026-02-19T01:00:00.285852</t>
  </si>
  <si>
    <t>2026-02-19T01:02:15.454308</t>
  </si>
  <si>
    <t>97.020,24</t>
  </si>
  <si>
    <t>2026-02-19T01:02:16.460969</t>
  </si>
  <si>
    <t>2026-02-19T01:06:06.900848</t>
  </si>
  <si>
    <t>59.264,24</t>
  </si>
  <si>
    <t>2026-02-19T01:06:07.911916</t>
  </si>
  <si>
    <t>2026-02-19T01:08:32.681289</t>
  </si>
  <si>
    <t>57.324,25</t>
  </si>
  <si>
    <t>2026-02-19T01:08:33.687113</t>
  </si>
  <si>
    <t>2026-02-19T01:10:15.207677</t>
  </si>
  <si>
    <t>99.692,24</t>
  </si>
  <si>
    <t>2026-02-19T01:10:16.229317</t>
  </si>
  <si>
    <t>2026-02-19T01:13:55.139915</t>
  </si>
  <si>
    <t>67.880,27</t>
  </si>
  <si>
    <t>2026-02-19T01:13:56.143310</t>
  </si>
  <si>
    <t>2026-02-19T01:16:41.613366</t>
  </si>
  <si>
    <t>49.408,26</t>
  </si>
  <si>
    <t>2026-02-19T01:16:42.624833</t>
  </si>
  <si>
    <t>2026-02-19T01:19:30.829122</t>
  </si>
  <si>
    <t>73.600,26</t>
  </si>
  <si>
    <t>2026-02-19T01:19:31.840970</t>
  </si>
  <si>
    <t>2026-02-19T01:22:01.411858</t>
  </si>
  <si>
    <t>82.908,24</t>
  </si>
  <si>
    <t>2026-02-19T01:22:02.413371</t>
  </si>
  <si>
    <t>2026-02-19T01:25:42.772520</t>
  </si>
  <si>
    <t>58.756,27</t>
  </si>
  <si>
    <t>2026-02-19T01:25:43.785424</t>
  </si>
  <si>
    <t>2026-02-19T01:29:03.851676</t>
  </si>
  <si>
    <t>60.204,23</t>
  </si>
  <si>
    <t>2026-02-19T01:29:04.857215</t>
  </si>
  <si>
    <t>2026-02-19T01:32:42.799323</t>
  </si>
  <si>
    <t>104.836,29</t>
  </si>
  <si>
    <t>2026-02-19T01:32:43.813325</t>
  </si>
  <si>
    <t>2026-02-19T01:37:38.248066</t>
  </si>
  <si>
    <t>58.172,26</t>
  </si>
  <si>
    <t>2026-02-19T01:37:39.262036</t>
  </si>
  <si>
    <t>2026-02-19T01:39:51.461321</t>
  </si>
  <si>
    <t>56.832,25</t>
  </si>
  <si>
    <t>2026-02-19T01:39:52.464888</t>
  </si>
  <si>
    <t>2026-02-19T01:42:56.402707</t>
  </si>
  <si>
    <t>122.112,24</t>
  </si>
  <si>
    <t>2026-02-19T01:42:57.412493</t>
  </si>
  <si>
    <t>2026-02-19T01:46:41.587183</t>
  </si>
  <si>
    <t>46.900,31</t>
  </si>
  <si>
    <t>2026-02-19T01:46:42.598350</t>
  </si>
  <si>
    <t>2026-02-19T01:48:23.786100</t>
  </si>
  <si>
    <t>80.396,25</t>
  </si>
  <si>
    <t>2026-02-19T01:48:24.795577</t>
  </si>
  <si>
    <t>2026-02-19T01:50:42.044376</t>
  </si>
  <si>
    <t>60.944,25</t>
  </si>
  <si>
    <t>2026-02-19T01:50:43.051329</t>
  </si>
  <si>
    <t>2026-02-19T01:53:32.641704</t>
  </si>
  <si>
    <t>51.384,26</t>
  </si>
  <si>
    <t>2026-02-19T01:53:33.653162</t>
  </si>
  <si>
    <t>2026-02-19T01:55:02.653041</t>
  </si>
  <si>
    <t>63.568,23</t>
  </si>
  <si>
    <t>2026-02-19T01:55:03.664055</t>
  </si>
  <si>
    <t>2026-02-19T01:57:05.705049</t>
  </si>
  <si>
    <t>42.756,25</t>
  </si>
  <si>
    <t>2026-02-19T01:57:06.720376</t>
  </si>
  <si>
    <t>2026-02-19T01:58:41.366506</t>
  </si>
  <si>
    <t>56.400,24</t>
  </si>
  <si>
    <t>2026-02-19T01:58:42.381304</t>
  </si>
  <si>
    <t>2026-02-19T02:00:02.917004</t>
  </si>
  <si>
    <t>63.652,28</t>
  </si>
  <si>
    <t>2026-02-18T21:36:03.129657</t>
  </si>
  <si>
    <t>2026-02-18T21:41:23.980708</t>
  </si>
  <si>
    <t>67.740,29</t>
  </si>
  <si>
    <t>2026-02-18T21:41:24.984622</t>
  </si>
  <si>
    <t>2026-02-18T21:47:01.569941</t>
  </si>
  <si>
    <t>38.844,28</t>
  </si>
  <si>
    <t>2026-02-18T21:47:02.581949</t>
  </si>
  <si>
    <t>2026-02-18T21:49:41.360150</t>
  </si>
  <si>
    <t>102.876,28</t>
  </si>
  <si>
    <t>2026-02-18T21:49:42.372357</t>
  </si>
  <si>
    <t>2026-02-18T21:57:18.562634</t>
  </si>
  <si>
    <t>78.476,26</t>
  </si>
  <si>
    <t>2026-02-18T21:57:19.575461</t>
  </si>
  <si>
    <t>2026-02-18T22:02:42.419568</t>
  </si>
  <si>
    <t>50.292,26</t>
  </si>
  <si>
    <t>2026-02-18T22:02:43.427061</t>
  </si>
  <si>
    <t>2026-02-18T22:05:54.377865</t>
  </si>
  <si>
    <t>77.524,26</t>
  </si>
  <si>
    <t>2026-02-18T22:05:55.393664</t>
  </si>
  <si>
    <t>2026-02-18T22:10:45.934012</t>
  </si>
  <si>
    <t>91.236,26</t>
  </si>
  <si>
    <t>2026-02-18T22:10:46.946066</t>
  </si>
  <si>
    <t>2026-02-18T22:17:20.744859</t>
  </si>
  <si>
    <t>68.772,24</t>
  </si>
  <si>
    <t>2026-02-18T22:17:21.757716</t>
  </si>
  <si>
    <t>2026-02-18T22:23:17.070842</t>
  </si>
  <si>
    <t>106.212,29</t>
  </si>
  <si>
    <t>2026-02-18T22:23:18.075975</t>
  </si>
  <si>
    <t>2026-02-18T22:31:41.468261</t>
  </si>
  <si>
    <t>79.824,26</t>
  </si>
  <si>
    <t>2026-02-18T22:31:42.481611</t>
  </si>
  <si>
    <t>2026-02-18T22:38:55.538504</t>
  </si>
  <si>
    <t>62.620,32</t>
  </si>
  <si>
    <t>2026-02-18T22:38:56.549672</t>
  </si>
  <si>
    <t>2026-02-18T22:42:53.621339</t>
  </si>
  <si>
    <t>65.228,27</t>
  </si>
  <si>
    <t>2026-02-18T22:42:54.629423</t>
  </si>
  <si>
    <t>2026-02-18T22:48:43.163156</t>
  </si>
  <si>
    <t>72.768,29</t>
  </si>
  <si>
    <t>2026-02-18T22:48:44.168832</t>
  </si>
  <si>
    <t>2026-02-18T22:51:41.477510</t>
  </si>
  <si>
    <t>63.628,26</t>
  </si>
  <si>
    <t>2026-02-18T22:51:42.481329</t>
  </si>
  <si>
    <t>2026-02-18T22:55:06.056198</t>
  </si>
  <si>
    <t>62.292,26</t>
  </si>
  <si>
    <t>2026-02-18T22:55:07.067088</t>
  </si>
  <si>
    <t>2026-02-18T22:57:18.237343</t>
  </si>
  <si>
    <t>73.340,25</t>
  </si>
  <si>
    <t>2026-02-18T22:57:19.245512</t>
  </si>
  <si>
    <t>2026-02-18T23:00:20.677368</t>
  </si>
  <si>
    <t>48.404,30</t>
  </si>
  <si>
    <t>2026-02-18T23:00:21.679837</t>
  </si>
  <si>
    <t>2026-02-18T23:02:03.146547</t>
  </si>
  <si>
    <t>52.876,27</t>
  </si>
  <si>
    <t>2026-02-18T23:02:04.150861</t>
  </si>
  <si>
    <t>2026-02-18T23:03:52.732476</t>
  </si>
  <si>
    <t>69.936,25</t>
  </si>
  <si>
    <t>2026-02-18T23:03:53.743015</t>
  </si>
  <si>
    <t>2026-02-18T23:06:55.693094</t>
  </si>
  <si>
    <t>69.940,28</t>
  </si>
  <si>
    <t>2026-02-18T23:06:56.694991</t>
  </si>
  <si>
    <t>2026-02-18T23:09:11.544046</t>
  </si>
  <si>
    <t>79.444,28</t>
  </si>
  <si>
    <t>2026-02-18T23:09:12.559060</t>
  </si>
  <si>
    <t>2026-02-18T23:12:13.362010</t>
  </si>
  <si>
    <t>70.396,26</t>
  </si>
  <si>
    <t>2026-02-18T23:12:14.365999</t>
  </si>
  <si>
    <t>2026-02-18T23:15:16.347799</t>
  </si>
  <si>
    <t>47.484,29</t>
  </si>
  <si>
    <t>2026-02-18T23:15:17.359783</t>
  </si>
  <si>
    <t>2026-02-18T23:16:44.460191</t>
  </si>
  <si>
    <t>63.756,28</t>
  </si>
  <si>
    <t>2026-02-18T23:16:45.469741</t>
  </si>
  <si>
    <t>2026-02-18T23:18:45.633094</t>
  </si>
  <si>
    <t>70.500,26</t>
  </si>
  <si>
    <t>2026-02-18T23:18:46.643397</t>
  </si>
  <si>
    <t>2026-02-18T23:21:46.659352</t>
  </si>
  <si>
    <t>44.636,29</t>
  </si>
  <si>
    <t>2026-02-18T23:21:47.670971</t>
  </si>
  <si>
    <t>2026-02-18T23:23:25.936070</t>
  </si>
  <si>
    <t>85.200,31</t>
  </si>
  <si>
    <t>2026-02-18T23:23:26.937671</t>
  </si>
  <si>
    <t>2026-02-18T23:26:15.478668</t>
  </si>
  <si>
    <t>54.376,30</t>
  </si>
  <si>
    <t>2026-02-18T23:26:16.484408</t>
  </si>
  <si>
    <t>2026-02-18T23:28:18.105237</t>
  </si>
  <si>
    <t>56.764,33</t>
  </si>
  <si>
    <t>2026-02-18T23:28:19.116351</t>
  </si>
  <si>
    <t>2026-02-18T23:30:27.349800</t>
  </si>
  <si>
    <t>75.528,31</t>
  </si>
  <si>
    <t>2026-02-18T23:30:28.359957</t>
  </si>
  <si>
    <t>2026-02-18T23:33:29.855159</t>
  </si>
  <si>
    <t>66.132,32</t>
  </si>
  <si>
    <t>2026-02-18T23:33:30.861516</t>
  </si>
  <si>
    <t>2026-02-18T23:36:28.385863</t>
  </si>
  <si>
    <t>59.048,29</t>
  </si>
  <si>
    <t>2026-02-18T23:36:29.399817</t>
  </si>
  <si>
    <t>2026-02-18T23:39:52.992365</t>
  </si>
  <si>
    <t>64.444,28</t>
  </si>
  <si>
    <t>2026-02-18T23:39:54.001235</t>
  </si>
  <si>
    <t>2026-02-18T23:42:24.214758</t>
  </si>
  <si>
    <t>85.700,33</t>
  </si>
  <si>
    <t>2026-02-18T23:42:25.226284</t>
  </si>
  <si>
    <t>2026-02-18T23:46:18.749967</t>
  </si>
  <si>
    <t>52.332,30</t>
  </si>
  <si>
    <t>2026-02-18T23:46:19.752203</t>
  </si>
  <si>
    <t>2026-02-18T23:48:05.569013</t>
  </si>
  <si>
    <t>91.744,28</t>
  </si>
  <si>
    <t>2026-02-18T23:48:06.580035</t>
  </si>
  <si>
    <t>2026-02-18T23:51:54.963243</t>
  </si>
  <si>
    <t>73.532,31</t>
  </si>
  <si>
    <t>2026-02-18T23:51:55.969102</t>
  </si>
  <si>
    <t>2026-02-18T23:55:18.350181</t>
  </si>
  <si>
    <t>70.636,27</t>
  </si>
  <si>
    <t>2026-02-18T23:55:19.362877</t>
  </si>
  <si>
    <t>2026-02-18T23:58:02.948405</t>
  </si>
  <si>
    <t>77.240,28</t>
  </si>
  <si>
    <t>2026-02-18T23:58:03.956733</t>
  </si>
  <si>
    <t>2026-02-19T00:01:04.807974</t>
  </si>
  <si>
    <t>68.360,29</t>
  </si>
  <si>
    <t>2026-02-19T00:01:05.817388</t>
  </si>
  <si>
    <t>2026-02-19T00:03:43.313820</t>
  </si>
  <si>
    <t>2026-02-19T00:03:44.322436</t>
  </si>
  <si>
    <t>2026-02-19T00:05:45.086468</t>
  </si>
  <si>
    <t>91.656,28</t>
  </si>
  <si>
    <t>2026-02-19T00:05:46.094852</t>
  </si>
  <si>
    <t>2026-02-19T00:08:49.090818</t>
  </si>
  <si>
    <t>77.804,29</t>
  </si>
  <si>
    <t>2026-02-19T00:08:50.104588</t>
  </si>
  <si>
    <t>2026-02-19T00:12:06.954487</t>
  </si>
  <si>
    <t>56.712,30</t>
  </si>
  <si>
    <t>2026-02-19T00:12:07.965710</t>
  </si>
  <si>
    <t>2026-02-19T00:13:51.547415</t>
  </si>
  <si>
    <t>67.764,30</t>
  </si>
  <si>
    <t>2026-02-19T00:13:52.552090</t>
  </si>
  <si>
    <t>2026-02-19T00:17:12.487069</t>
  </si>
  <si>
    <t>58.480,30</t>
  </si>
  <si>
    <t>2026-02-19T00:17:13.496439</t>
  </si>
  <si>
    <t>2026-02-19T00:19:44.355681</t>
  </si>
  <si>
    <t>43.708,27</t>
  </si>
  <si>
    <t>2026-02-19T00:19:45.367628</t>
  </si>
  <si>
    <t>2026-02-19T00:21:09.891724</t>
  </si>
  <si>
    <t>94.564,29</t>
  </si>
  <si>
    <t>2026-02-19T00:21:10.898192</t>
  </si>
  <si>
    <t>2026-02-19T00:24:29.402656</t>
  </si>
  <si>
    <t>75.232,30</t>
  </si>
  <si>
    <t>2026-02-19T00:24:30.407928</t>
  </si>
  <si>
    <t>2026-02-19T00:27:35.649620</t>
  </si>
  <si>
    <t>46.060,29</t>
  </si>
  <si>
    <t>2026-02-19T00:27:36.657495</t>
  </si>
  <si>
    <t>2026-02-19T00:30:00.657415</t>
  </si>
  <si>
    <t>67.356,30</t>
  </si>
  <si>
    <t>2026-02-19T00:30:01.666096</t>
  </si>
  <si>
    <t>2026-02-19T00:32:43.119325</t>
  </si>
  <si>
    <t>121.540,31</t>
  </si>
  <si>
    <t>2026-02-19T00:32:44.125720</t>
  </si>
  <si>
    <t>2026-02-19T00:37:31.290228</t>
  </si>
  <si>
    <t>41.432,32</t>
  </si>
  <si>
    <t>2026-02-19T00:37:32.301890</t>
  </si>
  <si>
    <t>2026-02-19T00:39:20.561302</t>
  </si>
  <si>
    <t>67.708,25</t>
  </si>
  <si>
    <t>2026-02-19T00:39:21.572102</t>
  </si>
  <si>
    <t>2026-02-19T00:41:58.728133</t>
  </si>
  <si>
    <t>46.636,26</t>
  </si>
  <si>
    <t>2026-02-19T00:41:59.743022</t>
  </si>
  <si>
    <t>2026-02-19T00:44:08.131195</t>
  </si>
  <si>
    <t>31.460,29</t>
  </si>
  <si>
    <t>2026-02-19T00:44:09.136461</t>
  </si>
  <si>
    <t>2026-02-19T00:45:17.830504</t>
  </si>
  <si>
    <t>67.756,24</t>
  </si>
  <si>
    <t>2026-02-19T00:45:18.839076</t>
  </si>
  <si>
    <t>2026-02-19T00:48:27.984664</t>
  </si>
  <si>
    <t>59.968,23</t>
  </si>
  <si>
    <t>2026-02-19T00:48:28.996376</t>
  </si>
  <si>
    <t>2026-02-19T00:51:12.491061</t>
  </si>
  <si>
    <t>57.224,27</t>
  </si>
  <si>
    <t>2026-02-19T00:51:13.495530</t>
  </si>
  <si>
    <t>2026-02-19T00:53:42.365521</t>
  </si>
  <si>
    <t>66.120,24</t>
  </si>
  <si>
    <t>2026-02-19T00:53:43.367810</t>
  </si>
  <si>
    <t>2026-02-19T00:56:01.780560</t>
  </si>
  <si>
    <t>47.184,24</t>
  </si>
  <si>
    <t>2026-02-19T00:56:02.786435</t>
  </si>
  <si>
    <t>2026-02-19T00:58:22.477475</t>
  </si>
  <si>
    <t>42.104,27</t>
  </si>
  <si>
    <t>2026-02-19T00:58:23.484387</t>
  </si>
  <si>
    <t>2026-02-19T01:01:08.433135</t>
  </si>
  <si>
    <t>86.392,24</t>
  </si>
  <si>
    <t>2026-02-19T01:01:09.445266</t>
  </si>
  <si>
    <t>2026-02-19T01:04:21.566290</t>
  </si>
  <si>
    <t>37.624,24</t>
  </si>
  <si>
    <t>2026-02-19T01:04:22.578391</t>
  </si>
  <si>
    <t>2026-02-19T01:06:18.327181</t>
  </si>
  <si>
    <t>42.508,28</t>
  </si>
  <si>
    <t>2026-02-19T01:06:19.333493</t>
  </si>
  <si>
    <t>2026-02-19T01:08:51.999574</t>
  </si>
  <si>
    <t>58.192,25</t>
  </si>
  <si>
    <t>2026-02-19T01:08:53.010505</t>
  </si>
  <si>
    <t>2026-02-19T01:11:37.067396</t>
  </si>
  <si>
    <t>54.516,22</t>
  </si>
  <si>
    <t>2026-02-19T01:11:38.071658</t>
  </si>
  <si>
    <t>2026-02-19T01:14:09.733804</t>
  </si>
  <si>
    <t>44.224,26</t>
  </si>
  <si>
    <t>2026-02-19T01:14:10.749186</t>
  </si>
  <si>
    <t>2026-02-19T01:15:38.436892</t>
  </si>
  <si>
    <t>94.528,24</t>
  </si>
  <si>
    <t>2026-02-19T01:15:39.448208</t>
  </si>
  <si>
    <t>2026-02-19T01:18:38.618735</t>
  </si>
  <si>
    <t>69.460,24</t>
  </si>
  <si>
    <t>2026-02-19T01:18:39.657172</t>
  </si>
  <si>
    <t>2026-02-19T01:21:14.718305</t>
  </si>
  <si>
    <t>49.388,29</t>
  </si>
  <si>
    <t>2026-02-19T01:21:15.729556</t>
  </si>
  <si>
    <t>2026-02-19T01:23:07.237325</t>
  </si>
  <si>
    <t>60.708,25</t>
  </si>
  <si>
    <t>2026-02-19T01:23:08.250392</t>
  </si>
  <si>
    <t>2026-02-19T01:25:25.862635</t>
  </si>
  <si>
    <t>66.424,27</t>
  </si>
  <si>
    <t>2026-02-19T01:25:26.872259</t>
  </si>
  <si>
    <t>2026-02-19T01:28:11.712373</t>
  </si>
  <si>
    <t>50.148,29</t>
  </si>
  <si>
    <t>2026-02-19T01:28:12.723852</t>
  </si>
  <si>
    <t>2026-02-19T01:29:55.157725</t>
  </si>
  <si>
    <t>56.464,25</t>
  </si>
  <si>
    <t>2026-02-19T01:29:56.169251</t>
  </si>
  <si>
    <t>2026-02-19T01:31:59.608983</t>
  </si>
  <si>
    <t>59.648,28</t>
  </si>
  <si>
    <t>2026-02-19T01:32:00.622021</t>
  </si>
  <si>
    <t>2026-02-19T01:34:51.794817</t>
  </si>
  <si>
    <t>34.084,28</t>
  </si>
  <si>
    <t>2026-02-19T01:34:52.806514</t>
  </si>
  <si>
    <t>2026-02-19T01:36:07.454142</t>
  </si>
  <si>
    <t>75.348,22</t>
  </si>
  <si>
    <t>2026-02-19T01:36:08.464997</t>
  </si>
  <si>
    <t>2026-02-19T01:39:04.019748</t>
  </si>
  <si>
    <t>51.536,28</t>
  </si>
  <si>
    <t>2026-02-19T01:39:05.030569</t>
  </si>
  <si>
    <t>2026-02-19T01:40:56.677722</t>
  </si>
  <si>
    <t>43.504,30</t>
  </si>
  <si>
    <t>2026-02-19T01:40:57.680183</t>
  </si>
  <si>
    <t>2026-02-19T01:42:38.688253</t>
  </si>
  <si>
    <t>improved_nearest_v2</t>
  </si>
  <si>
    <t>45.000,26</t>
  </si>
  <si>
    <t>2026-02-19T11:42:34.687595</t>
  </si>
  <si>
    <t>2026-02-19T11:45:37.890337</t>
  </si>
  <si>
    <t>41.308,27</t>
  </si>
  <si>
    <t>2026-02-19T11:45:38.896503</t>
  </si>
  <si>
    <t>2026-02-19T11:48:31.429638</t>
  </si>
  <si>
    <t>56.872,25</t>
  </si>
  <si>
    <t>2026-02-19T11:48:32.435406</t>
  </si>
  <si>
    <t>2026-02-19T11:51:52.367713</t>
  </si>
  <si>
    <t>73.084,24</t>
  </si>
  <si>
    <t>2026-02-19T11:51:53.370188</t>
  </si>
  <si>
    <t>2026-02-19T11:56:15.952091</t>
  </si>
  <si>
    <t>37.584,28</t>
  </si>
  <si>
    <t>2026-02-19T11:56:16.957910</t>
  </si>
  <si>
    <t>2026-02-19T11:59:34.750434</t>
  </si>
  <si>
    <t>61.488,28</t>
  </si>
  <si>
    <t>2026-02-19T11:59:35.756964</t>
  </si>
  <si>
    <t>2026-02-19T12:03:53.803312</t>
  </si>
  <si>
    <t>86.548,27</t>
  </si>
  <si>
    <t>2026-02-19T11:42:34.687561</t>
  </si>
  <si>
    <t>2026-02-19T11:48:17.226375</t>
  </si>
  <si>
    <t>74.028,30</t>
  </si>
  <si>
    <t>2026-02-19T11:48:18.231940</t>
  </si>
  <si>
    <t>2026-02-19T11:53:53.390679</t>
  </si>
  <si>
    <t>45.500,28</t>
  </si>
  <si>
    <t>2026-02-19T11:53:54.397221</t>
  </si>
  <si>
    <t>2026-02-19T11:56:24.977812</t>
  </si>
  <si>
    <t>69.360,26</t>
  </si>
  <si>
    <t>2026-02-19T11:56:25.982189</t>
  </si>
  <si>
    <t>2026-02-19T12:00:47.446488</t>
  </si>
  <si>
    <t>56.056,26</t>
  </si>
  <si>
    <t>2026-02-19T12:00:48.452303</t>
  </si>
  <si>
    <t>2026-02-19T12:03:49.330709</t>
  </si>
  <si>
    <t>90.492,24</t>
  </si>
  <si>
    <t>2026-02-19T12:03:50.339948</t>
  </si>
  <si>
    <t>2026-02-19T12:06:48.536784</t>
  </si>
  <si>
    <t>53.288,26</t>
  </si>
  <si>
    <t>2026-02-19T11:42:34.687707</t>
  </si>
  <si>
    <t>2026-02-19T11:46:40.453376</t>
  </si>
  <si>
    <t>42.452,27</t>
  </si>
  <si>
    <t>2026-02-19T11:46:41.462002</t>
  </si>
  <si>
    <t>2026-02-19T11:49:17.255492</t>
  </si>
  <si>
    <t>55.988,29</t>
  </si>
  <si>
    <t>2026-02-19T11:49:18.262087</t>
  </si>
  <si>
    <t>2026-02-19T11:52:52.876976</t>
  </si>
  <si>
    <t>99.208,29</t>
  </si>
  <si>
    <t>2026-02-19T11:52:53.883525</t>
  </si>
  <si>
    <t>2026-02-19T11:58:29.138563</t>
  </si>
  <si>
    <t>39.856,25</t>
  </si>
  <si>
    <t>2026-02-19T11:58:30.145161</t>
  </si>
  <si>
    <t>2026-02-19T12:01:13.646230</t>
  </si>
  <si>
    <t>38.940,24</t>
  </si>
  <si>
    <t>2026-02-19T12:01:14.653515</t>
  </si>
  <si>
    <t>2026-02-19T12:03:48.736933</t>
  </si>
  <si>
    <t>improved_nearest_v2_5</t>
  </si>
  <si>
    <t>45.980,29</t>
  </si>
  <si>
    <t>2026-02-19T12:16:41.347605</t>
  </si>
  <si>
    <t>2026-02-19T12:21:27.135429</t>
  </si>
  <si>
    <t>35.976,26</t>
  </si>
  <si>
    <t>2026-02-19T12:21:28.140285</t>
  </si>
  <si>
    <t>2026-02-19T12:25:28.449609</t>
  </si>
  <si>
    <t>79.892,24</t>
  </si>
  <si>
    <t>2026-02-19T12:25:29.457227</t>
  </si>
  <si>
    <t>2026-02-19T12:32:36.557430</t>
  </si>
  <si>
    <t>86.016,26</t>
  </si>
  <si>
    <t>2026-02-19T12:32:37.561405</t>
  </si>
  <si>
    <t>2026-02-19T12:39:23.938819</t>
  </si>
  <si>
    <t>46.904,27</t>
  </si>
  <si>
    <t>2026-02-19T12:39:24.945339</t>
  </si>
  <si>
    <t>2026-02-19T12:43:45.018489</t>
  </si>
  <si>
    <t>65.560,29</t>
  </si>
  <si>
    <t>2026-02-19T12:43:46.030953</t>
  </si>
  <si>
    <t>2026-02-19T12:49:41.540960</t>
  </si>
  <si>
    <t>79.896,25</t>
  </si>
  <si>
    <t>2026-02-19T12:49:42.554745</t>
  </si>
  <si>
    <t>2026-02-19T12:57:05.640907</t>
  </si>
  <si>
    <t>141.400,28</t>
  </si>
  <si>
    <t>2026-02-19T12:57:06.652841</t>
  </si>
  <si>
    <t>2026-02-19T13:09:25.289239</t>
  </si>
  <si>
    <t>67.120,29</t>
  </si>
  <si>
    <t>2026-02-19T13:09:26.320320</t>
  </si>
  <si>
    <t>2026-02-19T13:15:20.085080</t>
  </si>
  <si>
    <t>51.012,30</t>
  </si>
  <si>
    <t>2026-02-19T13:15:21.097016</t>
  </si>
  <si>
    <t>2026-02-19T13:18:58.384114</t>
  </si>
  <si>
    <t>73.240,26</t>
  </si>
  <si>
    <t>2026-02-19T13:18:59.394574</t>
  </si>
  <si>
    <t>2026-02-19T13:25:35.036949</t>
  </si>
  <si>
    <t>83.256,28</t>
  </si>
  <si>
    <t>2026-02-19T13:25:36.043908</t>
  </si>
  <si>
    <t>2026-02-19T13:33:07.142615</t>
  </si>
  <si>
    <t>59.240,24</t>
  </si>
  <si>
    <t>2026-02-19T13:33:08.154620</t>
  </si>
  <si>
    <t>2026-02-19T13:43:37.235715</t>
  </si>
  <si>
    <t>77.320,24</t>
  </si>
  <si>
    <t>2026-02-19T13:43:38.244551</t>
  </si>
  <si>
    <t>2026-02-19T13:50:39.116589</t>
  </si>
  <si>
    <t>123.340,25</t>
  </si>
  <si>
    <t>2026-02-19T13:50:40.121711</t>
  </si>
  <si>
    <t>2026-02-19T14:01:40.662727</t>
  </si>
  <si>
    <t>36.016,27</t>
  </si>
  <si>
    <t>2026-02-19T14:01:41.670421</t>
  </si>
  <si>
    <t>2026-02-19T14:07:29.446601</t>
  </si>
  <si>
    <t>51.240,27</t>
  </si>
  <si>
    <t>2026-02-19T14:07:30.459048</t>
  </si>
  <si>
    <t>2026-02-19T14:12:04.848625</t>
  </si>
  <si>
    <t>42.044,27</t>
  </si>
  <si>
    <t>2026-02-19T14:12:05.852959</t>
  </si>
  <si>
    <t>2026-02-19T14:15:53.864688</t>
  </si>
  <si>
    <t>49.372,26</t>
  </si>
  <si>
    <t>2026-02-19T14:15:54.876581</t>
  </si>
  <si>
    <t>2026-02-19T14:20:29.544828</t>
  </si>
  <si>
    <t>61.612,23</t>
  </si>
  <si>
    <t>2026-02-19T14:20:30.553582</t>
  </si>
  <si>
    <t>2026-02-19T14:26:45.302571</t>
  </si>
  <si>
    <t>54.164,27</t>
  </si>
  <si>
    <t>2026-02-19T14:26:46.306190</t>
  </si>
  <si>
    <t>2026-02-19T14:31:51.621167</t>
  </si>
  <si>
    <t>100.884,25</t>
  </si>
  <si>
    <t>2026-02-19T14:31:52.640999</t>
  </si>
  <si>
    <t>2026-02-19T14:40:55.134312</t>
  </si>
  <si>
    <t>61.856,27</t>
  </si>
  <si>
    <t>2026-02-19T14:40:56.150537</t>
  </si>
  <si>
    <t>2026-02-19T14:45:59.169416</t>
  </si>
  <si>
    <t>151.120,25</t>
  </si>
  <si>
    <t>2026-02-19T14:46:00.181581</t>
  </si>
  <si>
    <t>2026-02-19T14:59:28.173015</t>
  </si>
  <si>
    <t>60.184,29</t>
  </si>
  <si>
    <t>2026-02-19T14:59:29.184966</t>
  </si>
  <si>
    <t>2026-02-19T15:04:48.549310</t>
  </si>
  <si>
    <t>52.900,31</t>
  </si>
  <si>
    <t>2026-02-19T15:04:49.566930</t>
  </si>
  <si>
    <t>2026-02-19T15:09:33.092166</t>
  </si>
  <si>
    <t>73.056,28</t>
  </si>
  <si>
    <t>2026-02-19T15:09:34.103609</t>
  </si>
  <si>
    <t>2026-02-19T15:18:44.090095</t>
  </si>
  <si>
    <t>61.812,28</t>
  </si>
  <si>
    <t>2026-02-19T15:18:45.098561</t>
  </si>
  <si>
    <t>2026-02-19T15:23:50.040239</t>
  </si>
  <si>
    <t>72.656,29</t>
  </si>
  <si>
    <t>2026-02-19T15:23:51.054500</t>
  </si>
  <si>
    <t>2026-02-19T15:29:15.688119</t>
  </si>
  <si>
    <t>50.328,29</t>
  </si>
  <si>
    <t>2026-02-19T15:29:16.700099</t>
  </si>
  <si>
    <t>2026-02-19T15:33:30.172261</t>
  </si>
  <si>
    <t>59.400,28</t>
  </si>
  <si>
    <t>2026-02-19T15:33:31.181153</t>
  </si>
  <si>
    <t>2026-02-19T15:37:57.086345</t>
  </si>
  <si>
    <t>114.860,23</t>
  </si>
  <si>
    <t>2026-02-19T15:37:58.095542</t>
  </si>
  <si>
    <t>2026-02-19T15:47:50.400091</t>
  </si>
  <si>
    <t>50.584,24</t>
  </si>
  <si>
    <t>2026-02-19T15:47:51.412488</t>
  </si>
  <si>
    <t>2026-02-19T15:52:23.956153</t>
  </si>
  <si>
    <t>49.712,27</t>
  </si>
  <si>
    <t>2026-02-19T15:52:24.967387</t>
  </si>
  <si>
    <t>2026-02-19T15:55:56.552184</t>
  </si>
  <si>
    <t>82.040,27</t>
  </si>
  <si>
    <t>2026-02-19T15:55:57.557359</t>
  </si>
  <si>
    <t>2026-02-19T16:03:07.139189</t>
  </si>
  <si>
    <t>66.408,27</t>
  </si>
  <si>
    <t>2026-02-19T16:03:08.151309</t>
  </si>
  <si>
    <t>2026-02-19T16:09:10.035014</t>
  </si>
  <si>
    <t>49.208,24</t>
  </si>
  <si>
    <t>2026-02-19T16:09:11.046960</t>
  </si>
  <si>
    <t>2026-02-19T16:14:10.162156</t>
  </si>
  <si>
    <t>52.592,27</t>
  </si>
  <si>
    <t>2026-02-19T16:14:11.169323</t>
  </si>
  <si>
    <t>2026-02-19T16:17:14.164323</t>
  </si>
  <si>
    <t>63.352,26</t>
  </si>
  <si>
    <t>2026-02-19T16:17:15.169108</t>
  </si>
  <si>
    <t>2026-02-19T16:20:42.039978</t>
  </si>
  <si>
    <t>104.024,25</t>
  </si>
  <si>
    <t>2026-02-19T16:20:43.050587</t>
  </si>
  <si>
    <t>2026-02-19T16:25:19.772740</t>
  </si>
  <si>
    <t>50.948,29</t>
  </si>
  <si>
    <t>2026-02-19T12:16:41.347647</t>
  </si>
  <si>
    <t>2026-02-19T12:19:37.784555</t>
  </si>
  <si>
    <t>37.008,28</t>
  </si>
  <si>
    <t>2026-02-19T12:19:38.787682</t>
  </si>
  <si>
    <t>2026-02-19T12:22:13.861624</t>
  </si>
  <si>
    <t>76.016,25</t>
  </si>
  <si>
    <t>2026-02-19T12:22:14.870959</t>
  </si>
  <si>
    <t>2026-02-19T12:27:52.678055</t>
  </si>
  <si>
    <t>88.344,27</t>
  </si>
  <si>
    <t>2026-02-19T12:27:53.686581</t>
  </si>
  <si>
    <t>2026-02-19T12:35:41.344419</t>
  </si>
  <si>
    <t>74.892,28</t>
  </si>
  <si>
    <t>2026-02-19T12:35:42.355523</t>
  </si>
  <si>
    <t>2026-02-19T12:43:09.179408</t>
  </si>
  <si>
    <t>75.544,27</t>
  </si>
  <si>
    <t>2026-02-19T12:43:10.191304</t>
  </si>
  <si>
    <t>2026-02-19T12:49:50.847679</t>
  </si>
  <si>
    <t>59.616,28</t>
  </si>
  <si>
    <t>2026-02-19T12:49:51.861442</t>
  </si>
  <si>
    <t>2026-02-19T12:55:25.641368</t>
  </si>
  <si>
    <t>99.816,26</t>
  </si>
  <si>
    <t>2026-02-19T12:55:26.656383</t>
  </si>
  <si>
    <t>2026-02-19T13:04:11.901348</t>
  </si>
  <si>
    <t>85.392,30</t>
  </si>
  <si>
    <t>2026-02-19T13:04:12.913586</t>
  </si>
  <si>
    <t>2026-02-19T13:11:30.530656</t>
  </si>
  <si>
    <t>81.864,29</t>
  </si>
  <si>
    <t>2026-02-19T13:11:31.546881</t>
  </si>
  <si>
    <t>2026-02-19T13:17:42.179888</t>
  </si>
  <si>
    <t>140.436,28</t>
  </si>
  <si>
    <t>2026-02-19T13:17:43.191349</t>
  </si>
  <si>
    <t>2026-02-19T13:29:57.955738</t>
  </si>
  <si>
    <t>36.208,30</t>
  </si>
  <si>
    <t>2026-02-19T13:29:58.967461</t>
  </si>
  <si>
    <t>2026-02-19T13:33:16.718076</t>
  </si>
  <si>
    <t>76.140,22</t>
  </si>
  <si>
    <t>2026-02-19T13:33:17.730463</t>
  </si>
  <si>
    <t>2026-02-19T13:40:07.581738</t>
  </si>
  <si>
    <t>42.920,27</t>
  </si>
  <si>
    <t>2026-02-19T13:40:08.593398</t>
  </si>
  <si>
    <t>2026-02-19T13:49:09.741443</t>
  </si>
  <si>
    <t>93.216,25</t>
  </si>
  <si>
    <t>2026-02-19T13:49:10.756450</t>
  </si>
  <si>
    <t>2026-02-19T13:57:38.475041</t>
  </si>
  <si>
    <t>90.996,28</t>
  </si>
  <si>
    <t>2026-02-19T13:57:39.487442</t>
  </si>
  <si>
    <t>2026-02-19T14:05:46.044593</t>
  </si>
  <si>
    <t>53.232,29</t>
  </si>
  <si>
    <t>2026-02-19T14:05:47.056303</t>
  </si>
  <si>
    <t>2026-02-19T14:11:16.547536</t>
  </si>
  <si>
    <t>37.052,29</t>
  </si>
  <si>
    <t>2026-02-19T14:11:17.560438</t>
  </si>
  <si>
    <t>2026-02-19T14:14:39.528465</t>
  </si>
  <si>
    <t>42.636,29</t>
  </si>
  <si>
    <t>2026-02-19T14:14:40.541522</t>
  </si>
  <si>
    <t>2026-02-19T14:19:54.752657</t>
  </si>
  <si>
    <t>93.724,26</t>
  </si>
  <si>
    <t>2026-02-19T14:19:55.765015</t>
  </si>
  <si>
    <t>2026-02-19T14:28:24.425727</t>
  </si>
  <si>
    <t>59.388,29</t>
  </si>
  <si>
    <t>2026-02-19T14:28:25.430742</t>
  </si>
  <si>
    <t>2026-02-19T14:33:54.545812</t>
  </si>
  <si>
    <t>73.796,25</t>
  </si>
  <si>
    <t>2026-02-19T14:33:55.557368</t>
  </si>
  <si>
    <t>2026-02-19T14:40:30.408061</t>
  </si>
  <si>
    <t>84.648,28</t>
  </si>
  <si>
    <t>2026-02-19T14:40:31.414804</t>
  </si>
  <si>
    <t>2026-02-19T14:47:33.859841</t>
  </si>
  <si>
    <t>48.532,27</t>
  </si>
  <si>
    <t>2026-02-19T14:47:34.871170</t>
  </si>
  <si>
    <t>2026-02-19T14:52:02.256016</t>
  </si>
  <si>
    <t>55.552,22</t>
  </si>
  <si>
    <t>2026-02-19T14:52:03.268784</t>
  </si>
  <si>
    <t>2026-02-19T14:57:08.332581</t>
  </si>
  <si>
    <t>56.544,27</t>
  </si>
  <si>
    <t>2026-02-19T14:57:09.342347</t>
  </si>
  <si>
    <t>2026-02-19T15:02:20.796678</t>
  </si>
  <si>
    <t>59.980,22</t>
  </si>
  <si>
    <t>2026-02-19T15:02:21.808864</t>
  </si>
  <si>
    <t>2026-02-19T15:07:41.499453</t>
  </si>
  <si>
    <t>65.296,20</t>
  </si>
  <si>
    <t>2026-02-19T15:07:42.501920</t>
  </si>
  <si>
    <t>2026-02-19T15:13:33.712386</t>
  </si>
  <si>
    <t>46.624,21</t>
  </si>
  <si>
    <t>2026-02-19T15:13:34.720282</t>
  </si>
  <si>
    <t>2026-02-19T15:18:32.919081</t>
  </si>
  <si>
    <t>44.200,25</t>
  </si>
  <si>
    <t>2026-02-19T15:18:33.927922</t>
  </si>
  <si>
    <t>2026-02-19T15:23:07.488868</t>
  </si>
  <si>
    <t>64.516,19</t>
  </si>
  <si>
    <t>2026-02-19T15:23:08.496704</t>
  </si>
  <si>
    <t>2026-02-19T15:29:38.017967</t>
  </si>
  <si>
    <t>64.088,23</t>
  </si>
  <si>
    <t>2026-02-19T15:29:39.028685</t>
  </si>
  <si>
    <t>2026-02-19T15:35:14.234008</t>
  </si>
  <si>
    <t>62.248,31</t>
  </si>
  <si>
    <t>2026-02-19T15:35:15.244063</t>
  </si>
  <si>
    <t>2026-02-19T15:40:57.858070</t>
  </si>
  <si>
    <t>42.232,31</t>
  </si>
  <si>
    <t>2026-02-19T15:40:58.876031</t>
  </si>
  <si>
    <t>2026-02-19T15:46:35.321335</t>
  </si>
  <si>
    <t>92.980,27</t>
  </si>
  <si>
    <t>2026-02-19T15:46:36.333321</t>
  </si>
  <si>
    <t>2026-02-19T15:55:11.000613</t>
  </si>
  <si>
    <t>57.156,29</t>
  </si>
  <si>
    <t>2026-02-19T15:55:12.011509</t>
  </si>
  <si>
    <t>2026-02-19T16:01:06.931985</t>
  </si>
  <si>
    <t>72.480,29</t>
  </si>
  <si>
    <t>2026-02-19T16:01:07.939199</t>
  </si>
  <si>
    <t>2026-02-19T16:07:48.879847</t>
  </si>
  <si>
    <t>97.108,29</t>
  </si>
  <si>
    <t>2026-02-19T16:07:49.891734</t>
  </si>
  <si>
    <t>2026-02-19T16:15:39.132930</t>
  </si>
  <si>
    <t>67.620,29</t>
  </si>
  <si>
    <t>2026-02-19T16:15:40.140108</t>
  </si>
  <si>
    <t>2026-02-19T16:19:23.865102</t>
  </si>
  <si>
    <t>61.532,29</t>
  </si>
  <si>
    <t>2026-02-19T16:19:24.869276</t>
  </si>
  <si>
    <t>2026-02-19T16:23:00.648897</t>
  </si>
  <si>
    <t>64.088,30</t>
  </si>
  <si>
    <t>2026-02-19T12:16:41.347651</t>
  </si>
  <si>
    <t>2026-02-19T12:22:17.335276</t>
  </si>
  <si>
    <t>55.900,27</t>
  </si>
  <si>
    <t>2026-02-19T12:22:18.337255</t>
  </si>
  <si>
    <t>2026-02-19T12:27:40.246278</t>
  </si>
  <si>
    <t>67.504,29</t>
  </si>
  <si>
    <t>2026-02-19T12:27:41.262626</t>
  </si>
  <si>
    <t>2026-02-19T12:33:45.147626</t>
  </si>
  <si>
    <t>64.768,22</t>
  </si>
  <si>
    <t>2026-02-19T12:33:46.152139</t>
  </si>
  <si>
    <t>2026-02-19T12:41:16.368532</t>
  </si>
  <si>
    <t>62.944,29</t>
  </si>
  <si>
    <t>2026-02-19T12:41:17.372183</t>
  </si>
  <si>
    <t>2026-02-19T12:46:59.102268</t>
  </si>
  <si>
    <t>76.052,25</t>
  </si>
  <si>
    <t>2026-02-19T12:47:00.114300</t>
  </si>
  <si>
    <t>2026-02-19T12:54:00.102787</t>
  </si>
  <si>
    <t>88.004,29</t>
  </si>
  <si>
    <t>2026-02-19T12:54:01.116591</t>
  </si>
  <si>
    <t>2026-02-19T13:01:45.348253</t>
  </si>
  <si>
    <t>55.644,28</t>
  </si>
  <si>
    <t>2026-02-19T13:01:46.364035</t>
  </si>
  <si>
    <t>2026-02-19T13:06:48.483685</t>
  </si>
  <si>
    <t>49.776,26</t>
  </si>
  <si>
    <t>2026-02-19T13:06:49.495921</t>
  </si>
  <si>
    <t>2026-02-19T13:11:09.146128</t>
  </si>
  <si>
    <t>60.504,29</t>
  </si>
  <si>
    <t>2026-02-19T13:11:10.154096</t>
  </si>
  <si>
    <t>2026-02-19T13:16:30.524085</t>
  </si>
  <si>
    <t>99.864,25</t>
  </si>
  <si>
    <t>2026-02-19T13:16:31.536732</t>
  </si>
  <si>
    <t>2026-02-19T13:26:06.205686</t>
  </si>
  <si>
    <t>88.852,25</t>
  </si>
  <si>
    <t>2026-02-19T13:26:07.216552</t>
  </si>
  <si>
    <t>2026-02-19T13:34:03.619967</t>
  </si>
  <si>
    <t>83.520,21</t>
  </si>
  <si>
    <t>2026-02-19T13:34:04.624029</t>
  </si>
  <si>
    <t>2026-02-19T13:41:32.691591</t>
  </si>
  <si>
    <t>62.540,27</t>
  </si>
  <si>
    <t>2026-02-19T13:41:33.694983</t>
  </si>
  <si>
    <t>2026-02-19T13:47:14.451407</t>
  </si>
  <si>
    <t>58.564,23</t>
  </si>
  <si>
    <t>2026-02-19T13:47:15.463522</t>
  </si>
  <si>
    <t>2026-02-19T13:52:37.943985</t>
  </si>
  <si>
    <t>38.392,24</t>
  </si>
  <si>
    <t>2026-02-19T13:52:38.952709</t>
  </si>
  <si>
    <t>2026-02-19T13:57:01.524397</t>
  </si>
  <si>
    <t>48.508,16</t>
  </si>
  <si>
    <t>2026-02-19T13:57:02.536863</t>
  </si>
  <si>
    <t>2026-02-19T14:01:20.291074</t>
  </si>
  <si>
    <t>41.292,20</t>
  </si>
  <si>
    <t>2026-02-19T14:01:21.302762</t>
  </si>
  <si>
    <t>2026-02-19T14:05:53.230193</t>
  </si>
  <si>
    <t>43.348,18</t>
  </si>
  <si>
    <t>2026-02-19T14:05:54.241454</t>
  </si>
  <si>
    <t>2026-02-19T14:11:09.077901</t>
  </si>
  <si>
    <t>52.364,19</t>
  </si>
  <si>
    <t>2026-02-19T14:11:10.089219</t>
  </si>
  <si>
    <t>2026-02-19T14:15:57.017286</t>
  </si>
  <si>
    <t>53.324,17</t>
  </si>
  <si>
    <t>2026-02-19T14:15:58.027162</t>
  </si>
  <si>
    <t>2026-02-19T14:22:13.211252</t>
  </si>
  <si>
    <t>57.444,17</t>
  </si>
  <si>
    <t>2026-02-19T14:22:14.223348</t>
  </si>
  <si>
    <t>2026-02-19T14:27:28.124051</t>
  </si>
  <si>
    <t>110.212,18</t>
  </si>
  <si>
    <t>2026-02-19T14:27:29.136535</t>
  </si>
  <si>
    <t>2026-02-19T14:37:22.022342</t>
  </si>
  <si>
    <t>51.132,17</t>
  </si>
  <si>
    <t>2026-02-19T14:37:23.032464</t>
  </si>
  <si>
    <t>2026-02-19T14:42:33.380766</t>
  </si>
  <si>
    <t>66.276,27</t>
  </si>
  <si>
    <t>2026-02-19T14:42:34.396732</t>
  </si>
  <si>
    <t>2026-02-19T14:47:53.733648</t>
  </si>
  <si>
    <t>47.340,27</t>
  </si>
  <si>
    <t>2026-02-19T14:47:54.747844</t>
  </si>
  <si>
    <t>2026-02-19T14:52:03.463251</t>
  </si>
  <si>
    <t>68.480,25</t>
  </si>
  <si>
    <t>2026-02-19T14:52:04.476064</t>
  </si>
  <si>
    <t>2026-02-19T14:58:30.245579</t>
  </si>
  <si>
    <t>51.824,24</t>
  </si>
  <si>
    <t>2026-02-19T14:58:31.258700</t>
  </si>
  <si>
    <t>2026-02-19T15:03:22.668773</t>
  </si>
  <si>
    <t>68.164,26</t>
  </si>
  <si>
    <t>2026-02-19T15:03:23.684933</t>
  </si>
  <si>
    <t>2026-02-19T15:09:32.847388</t>
  </si>
  <si>
    <t>42.124,26</t>
  </si>
  <si>
    <t>2026-02-19T15:09:33.855655</t>
  </si>
  <si>
    <t>2026-02-19T15:13:24.126157</t>
  </si>
  <si>
    <t>68.140,26</t>
  </si>
  <si>
    <t>2026-02-19T15:13:25.134992</t>
  </si>
  <si>
    <t>2026-02-19T15:19:26.613382</t>
  </si>
  <si>
    <t>62.416,26</t>
  </si>
  <si>
    <t>2026-02-19T15:19:27.623030</t>
  </si>
  <si>
    <t>2026-02-19T15:24:19.847869</t>
  </si>
  <si>
    <t>45.544,30</t>
  </si>
  <si>
    <t>2026-02-19T15:24:20.859686</t>
  </si>
  <si>
    <t>2026-02-19T15:29:08.196367</t>
  </si>
  <si>
    <t>49.352,28</t>
  </si>
  <si>
    <t>2026-02-19T15:29:09.200578</t>
  </si>
  <si>
    <t>2026-02-19T15:34:22.353916</t>
  </si>
  <si>
    <t>46.140,30</t>
  </si>
  <si>
    <t>2026-02-19T15:34:23.367780</t>
  </si>
  <si>
    <t>2026-02-19T15:37:44.709485</t>
  </si>
  <si>
    <t>40.176,26</t>
  </si>
  <si>
    <t>2026-02-19T15:37:45.722624</t>
  </si>
  <si>
    <t>2026-02-19T15:42:32.578358</t>
  </si>
  <si>
    <t>69.876,29</t>
  </si>
  <si>
    <t>2026-02-19T15:42:33.583950</t>
  </si>
  <si>
    <t>2026-02-19T15:48:47.224589</t>
  </si>
  <si>
    <t>73.828,24</t>
  </si>
  <si>
    <t>2026-02-19T15:48:48.228183</t>
  </si>
  <si>
    <t>2026-02-19T15:55:25.125469</t>
  </si>
  <si>
    <t>69.640,29</t>
  </si>
  <si>
    <t>2026-02-19T15:55:26.135843</t>
  </si>
  <si>
    <t>2026-02-19T16:02:25.514988</t>
  </si>
  <si>
    <t>2026-02-19T16:02:26.526884</t>
  </si>
  <si>
    <t>2026-02-19T16:07:17.524832</t>
  </si>
  <si>
    <t>ball_take_speed(bals/sec)</t>
  </si>
  <si>
    <t>77.932,28</t>
  </si>
  <si>
    <t>2026-02-19T16:40:03.037834</t>
  </si>
  <si>
    <t>2026-02-19T16:45:19.543803</t>
  </si>
  <si>
    <t>66.648,27</t>
  </si>
  <si>
    <t>2026-02-19T16:45:20.551220</t>
  </si>
  <si>
    <t>2026-02-19T16:50:27.941119</t>
  </si>
  <si>
    <t>51.292,27</t>
  </si>
  <si>
    <t>2026-02-19T16:50:28.944999</t>
  </si>
  <si>
    <t>2026-02-19T16:54:13.423780</t>
  </si>
  <si>
    <t>126.072,28</t>
  </si>
  <si>
    <t>2026-02-19T16:54:14.427729</t>
  </si>
  <si>
    <t>2026-02-19T17:03:02.515393</t>
  </si>
  <si>
    <t>64.196,30</t>
  </si>
  <si>
    <t>2026-02-19T17:03:03.522309</t>
  </si>
  <si>
    <t>2026-02-19T17:07:41.509222</t>
  </si>
  <si>
    <t>41.116,30</t>
  </si>
  <si>
    <t>2026-02-19T17:07:42.517471</t>
  </si>
  <si>
    <t>2026-02-19T17:11:27.569937</t>
  </si>
  <si>
    <t>49.828,27</t>
  </si>
  <si>
    <t>2026-02-19T17:11:28.576840</t>
  </si>
  <si>
    <t>2026-02-19T17:13:48.104234</t>
  </si>
  <si>
    <t>55.912,29</t>
  </si>
  <si>
    <t>2026-02-19T17:13:49.108959</t>
  </si>
  <si>
    <t>2026-02-19T17:17:04.254298</t>
  </si>
  <si>
    <t>50.612,27</t>
  </si>
  <si>
    <t>2026-02-19T16:40:03.037791</t>
  </si>
  <si>
    <t>2026-02-19T16:43:59.027769</t>
  </si>
  <si>
    <t>59.140,28</t>
  </si>
  <si>
    <t>2026-02-19T16:44:00.035326</t>
  </si>
  <si>
    <t>2026-02-19T16:48:36.804014</t>
  </si>
  <si>
    <t>81.288,21</t>
  </si>
  <si>
    <t>2026-02-19T16:48:37.812956</t>
  </si>
  <si>
    <t>2026-02-19T16:55:02.528701</t>
  </si>
  <si>
    <t>92.976,21</t>
  </si>
  <si>
    <t>2026-02-19T16:55:03.535120</t>
  </si>
  <si>
    <t>2026-02-19T17:01:51.820765</t>
  </si>
  <si>
    <t>66.560,26</t>
  </si>
  <si>
    <t>2026-02-19T17:01:52.828686</t>
  </si>
  <si>
    <t>2026-02-19T17:06:34.456767</t>
  </si>
  <si>
    <t>69.844,29</t>
  </si>
  <si>
    <t>2026-02-19T17:06:35.468683</t>
  </si>
  <si>
    <t>2026-02-19T17:11:02.262869</t>
  </si>
  <si>
    <t>63.184,23</t>
  </si>
  <si>
    <t>2026-02-19T17:11:03.269268</t>
  </si>
  <si>
    <t>2026-02-19T17:14:04.141346</t>
  </si>
  <si>
    <t>104.528,28</t>
  </si>
  <si>
    <t>2026-02-19T17:14:05.150314</t>
  </si>
  <si>
    <t>2026-02-19T17:17:52.460684</t>
  </si>
  <si>
    <t>36.820,23</t>
  </si>
  <si>
    <t>2026-02-19T16:40:03.037809</t>
  </si>
  <si>
    <t>2026-02-19T16:43:19.827341</t>
  </si>
  <si>
    <t>39.648,23</t>
  </si>
  <si>
    <t>2026-02-19T16:43:20.833887</t>
  </si>
  <si>
    <t>2026-02-19T16:45:30.312472</t>
  </si>
  <si>
    <t>53.492,24</t>
  </si>
  <si>
    <t>2026-02-19T16:45:31.318676</t>
  </si>
  <si>
    <t>2026-02-19T16:48:52.488634</t>
  </si>
  <si>
    <t>76.108,21</t>
  </si>
  <si>
    <t>2026-02-19T16:48:53.498375</t>
  </si>
  <si>
    <t>2026-02-19T16:54:08.443871</t>
  </si>
  <si>
    <t>56.944,29</t>
  </si>
  <si>
    <t>2026-02-19T16:54:09.447362</t>
  </si>
  <si>
    <t>2026-02-19T16:58:55.680271</t>
  </si>
  <si>
    <t>33.152,27</t>
  </si>
  <si>
    <t>2026-02-19T16:58:56.686698</t>
  </si>
  <si>
    <t>2026-02-19T17:01:22.214074</t>
  </si>
  <si>
    <t>91.328,28</t>
  </si>
  <si>
    <t>2026-02-19T17:01:23.216943</t>
  </si>
  <si>
    <t>2026-02-19T17:07:51.061841</t>
  </si>
  <si>
    <t>59.272,27</t>
  </si>
  <si>
    <t>2026-02-19T17:07:52.064530</t>
  </si>
  <si>
    <t>2026-02-19T17:11:47.910397</t>
  </si>
  <si>
    <t>all_ball_path_panned</t>
  </si>
  <si>
    <t>32.692,26</t>
  </si>
  <si>
    <t>2026-02-19T22:14:50.038417</t>
  </si>
  <si>
    <t>2026-02-19T22:17:20.977712</t>
  </si>
  <si>
    <t>50.212,25</t>
  </si>
  <si>
    <t>2026-02-19T22:17:21.983795</t>
  </si>
  <si>
    <t>2026-02-19T22:21:02.205869</t>
  </si>
  <si>
    <t>33.976,32</t>
  </si>
  <si>
    <t>2026-02-19T22:21:03.213219</t>
  </si>
  <si>
    <t>2026-02-19T22:23:31.949517</t>
  </si>
  <si>
    <t>38.668,27</t>
  </si>
  <si>
    <t>2026-02-19T22:23:32.960099</t>
  </si>
  <si>
    <t>2026-02-19T22:25:47.328332</t>
  </si>
  <si>
    <t>42.976,29</t>
  </si>
  <si>
    <t>2026-02-19T22:25:48.341269</t>
  </si>
  <si>
    <t>2026-02-19T22:28:51.590028</t>
  </si>
  <si>
    <t>52.164,24</t>
  </si>
  <si>
    <t>2026-02-19T22:28:52.603287</t>
  </si>
  <si>
    <t>2026-02-19T22:32:46.141941</t>
  </si>
  <si>
    <t>40.980,31</t>
  </si>
  <si>
    <t>2026-02-19T22:32:47.153911</t>
  </si>
  <si>
    <t>2026-02-19T22:35:42.101115</t>
  </si>
  <si>
    <t>40.444,31</t>
  </si>
  <si>
    <t>2026-02-19T22:35:43.107578</t>
  </si>
  <si>
    <t>2026-02-19T22:38:05.492141</t>
  </si>
  <si>
    <t>30.256,29</t>
  </si>
  <si>
    <t>2026-02-19T22:38:06.503679</t>
  </si>
  <si>
    <t>2026-02-19T22:40:10.398280</t>
  </si>
  <si>
    <t>38.552,27</t>
  </si>
  <si>
    <t>2026-02-19T22:40:11.411507</t>
  </si>
  <si>
    <t>2026-02-19T22:43:01.873557</t>
  </si>
  <si>
    <t>37.264,33</t>
  </si>
  <si>
    <t>2026-02-19T22:43:02.883845</t>
  </si>
  <si>
    <t>2026-02-19T22:45:44.279596</t>
  </si>
  <si>
    <t>48.112,29</t>
  </si>
  <si>
    <t>2026-02-19T22:45:45.291246</t>
  </si>
  <si>
    <t>2026-02-19T22:50:02.926620</t>
  </si>
  <si>
    <t>38.136,28</t>
  </si>
  <si>
    <t>2026-02-19T22:50:03.938946</t>
  </si>
  <si>
    <t>2026-02-19T22:52:25.260897</t>
  </si>
  <si>
    <t>67.120,30</t>
  </si>
  <si>
    <t>2026-02-19T22:52:26.265822</t>
  </si>
  <si>
    <t>2026-02-19T22:57:07.280674</t>
  </si>
  <si>
    <t>42.344,32</t>
  </si>
  <si>
    <t>2026-02-19T22:57:08.292261</t>
  </si>
  <si>
    <t>2026-02-19T23:00:45.472482</t>
  </si>
  <si>
    <t>2026-02-19T23:00:46.484910</t>
  </si>
  <si>
    <t>2026-02-19T23:04:00.291758</t>
  </si>
  <si>
    <t>31.592,29</t>
  </si>
  <si>
    <t>2026-02-19T23:04:01.302824</t>
  </si>
  <si>
    <t>2026-02-19T23:05:51.660061</t>
  </si>
  <si>
    <t>44.276,28</t>
  </si>
  <si>
    <t>2026-02-19T23:05:52.672368</t>
  </si>
  <si>
    <t>2026-02-19T23:09:49.610541</t>
  </si>
  <si>
    <t>36.496,32</t>
  </si>
  <si>
    <t>2026-02-19T23:09:50.614639</t>
  </si>
  <si>
    <t>2026-02-19T23:12:24.445539</t>
  </si>
  <si>
    <t>45.852,33</t>
  </si>
  <si>
    <t>2026-02-19T23:12:25.457332</t>
  </si>
  <si>
    <t>2026-02-19T23:14:40.239531</t>
  </si>
  <si>
    <t>31.236,30</t>
  </si>
  <si>
    <t>2026-02-19T22:14:50.038409</t>
  </si>
  <si>
    <t>2026-02-19T22:17:08.384833</t>
  </si>
  <si>
    <t>50.688,26</t>
  </si>
  <si>
    <t>2026-02-19T22:17:09.391458</t>
  </si>
  <si>
    <t>2026-02-19T22:20:46.391699</t>
  </si>
  <si>
    <t>37.840,28</t>
  </si>
  <si>
    <t>2026-02-19T22:20:47.398494</t>
  </si>
  <si>
    <t>2026-02-19T22:23:33.407800</t>
  </si>
  <si>
    <t>33.236,27</t>
  </si>
  <si>
    <t>2026-02-19T22:23:34.429989</t>
  </si>
  <si>
    <t>2026-02-19T22:25:31.585946</t>
  </si>
  <si>
    <t>46.556,22</t>
  </si>
  <si>
    <t>2026-02-19T22:25:32.589314</t>
  </si>
  <si>
    <t>2026-02-19T22:28:50.767794</t>
  </si>
  <si>
    <t>43.508,24</t>
  </si>
  <si>
    <t>2026-02-19T22:28:51.773592</t>
  </si>
  <si>
    <t>2026-02-19T22:32:07.302548</t>
  </si>
  <si>
    <t>32.124,27</t>
  </si>
  <si>
    <t>2026-02-19T22:32:08.308400</t>
  </si>
  <si>
    <t>2026-02-19T22:34:37.853581</t>
  </si>
  <si>
    <t>48.664,23</t>
  </si>
  <si>
    <t>2026-02-19T22:34:38.866499</t>
  </si>
  <si>
    <t>2026-02-19T22:37:48.355379</t>
  </si>
  <si>
    <t>38.276,30</t>
  </si>
  <si>
    <t>2026-02-19T22:37:49.364145</t>
  </si>
  <si>
    <t>2026-02-19T22:40:18.208040</t>
  </si>
  <si>
    <t>42.392,27</t>
  </si>
  <si>
    <t>2026-02-19T22:40:19.220002</t>
  </si>
  <si>
    <t>2026-02-19T22:43:31.358511</t>
  </si>
  <si>
    <t>34.476,28</t>
  </si>
  <si>
    <t>2026-02-19T22:43:32.369622</t>
  </si>
  <si>
    <t>2026-02-19T22:45:54.815128</t>
  </si>
  <si>
    <t>43.252,28</t>
  </si>
  <si>
    <t>2026-02-19T22:45:55.820676</t>
  </si>
  <si>
    <t>2026-02-19T22:48:45.149956</t>
  </si>
  <si>
    <t>36.388,30</t>
  </si>
  <si>
    <t>2026-02-19T22:48:46.161583</t>
  </si>
  <si>
    <t>2026-02-19T22:51:31.076581</t>
  </si>
  <si>
    <t>50.580,29</t>
  </si>
  <si>
    <t>2026-02-19T22:51:32.082880</t>
  </si>
  <si>
    <t>2026-02-19T22:55:56.002931</t>
  </si>
  <si>
    <t>42.076,30</t>
  </si>
  <si>
    <t>2026-02-19T22:55:57.007410</t>
  </si>
  <si>
    <t>2026-02-19T22:58:21.876223</t>
  </si>
  <si>
    <t>37.432,28</t>
  </si>
  <si>
    <t>2026-02-19T22:58:22.888488</t>
  </si>
  <si>
    <t>2026-02-19T23:01:33.997194</t>
  </si>
  <si>
    <t>40.556,35</t>
  </si>
  <si>
    <t>2026-02-19T23:01:35.007802</t>
  </si>
  <si>
    <t>2026-02-19T23:04:05.528287</t>
  </si>
  <si>
    <t>43.716,31</t>
  </si>
  <si>
    <t>2026-02-19T23:04:06.530024</t>
  </si>
  <si>
    <t>2026-02-19T23:06:36.330260</t>
  </si>
  <si>
    <t>33.940,32</t>
  </si>
  <si>
    <t>2026-02-19T23:06:37.340265</t>
  </si>
  <si>
    <t>2026-02-19T23:08:50.874534</t>
  </si>
  <si>
    <t>53.644,24</t>
  </si>
  <si>
    <t>2026-02-19T23:08:51.886923</t>
  </si>
  <si>
    <t>2026-02-19T23:12:38.143154</t>
  </si>
  <si>
    <t>43.828,25</t>
  </si>
  <si>
    <t>2026-02-19T22:14:50.038367</t>
  </si>
  <si>
    <t>2026-02-19T22:18:06.597363</t>
  </si>
  <si>
    <t>53.816,26</t>
  </si>
  <si>
    <t>2026-02-19T22:18:07.601930</t>
  </si>
  <si>
    <t>2026-02-19T22:21:57.995998</t>
  </si>
  <si>
    <t>30.340,27</t>
  </si>
  <si>
    <t>2026-02-19T22:21:59.001688</t>
  </si>
  <si>
    <t>2026-02-19T22:24:18.793800</t>
  </si>
  <si>
    <t>49.228,33</t>
  </si>
  <si>
    <t>2026-02-19T22:24:19.802156</t>
  </si>
  <si>
    <t>2026-02-19T22:28:47.824082</t>
  </si>
  <si>
    <t>32.196,24</t>
  </si>
  <si>
    <t>2026-02-19T22:28:48.831308</t>
  </si>
  <si>
    <t>2026-02-19T22:31:09.567458</t>
  </si>
  <si>
    <t>39.680,22</t>
  </si>
  <si>
    <t>2026-02-19T22:31:10.578789</t>
  </si>
  <si>
    <t>2026-02-19T22:34:09.205427</t>
  </si>
  <si>
    <t>44.040,30</t>
  </si>
  <si>
    <t>2026-02-19T22:34:10.217056</t>
  </si>
  <si>
    <t>2026-02-19T22:37:13.622442</t>
  </si>
  <si>
    <t>52.708,25</t>
  </si>
  <si>
    <t>2026-02-19T22:37:14.634585</t>
  </si>
  <si>
    <t>2026-02-19T22:41:51.325642</t>
  </si>
  <si>
    <t>33.548,30</t>
  </si>
  <si>
    <t>2026-02-19T22:41:52.336399</t>
  </si>
  <si>
    <t>2026-02-19T22:44:21.781635</t>
  </si>
  <si>
    <t>41.028,30</t>
  </si>
  <si>
    <t>2026-02-19T22:44:22.784584</t>
  </si>
  <si>
    <t>2026-02-19T22:46:58.843330</t>
  </si>
  <si>
    <t>36.332,26</t>
  </si>
  <si>
    <t>2026-02-19T22:46:59.854960</t>
  </si>
  <si>
    <t>2026-02-19T22:49:36.059323</t>
  </si>
  <si>
    <t>39.884,27</t>
  </si>
  <si>
    <t>2026-02-19T22:49:37.063877</t>
  </si>
  <si>
    <t>2026-02-19T22:52:14.151233</t>
  </si>
  <si>
    <t>30.172,29</t>
  </si>
  <si>
    <t>2026-02-19T22:52:15.162342</t>
  </si>
  <si>
    <t>2026-02-19T22:54:13.944772</t>
  </si>
  <si>
    <t>62.688,31</t>
  </si>
  <si>
    <t>2026-02-19T22:54:14.956203</t>
  </si>
  <si>
    <t>2026-02-19T22:57:56.789183</t>
  </si>
  <si>
    <t>35.892,28</t>
  </si>
  <si>
    <t>2026-02-19T22:57:57.790483</t>
  </si>
  <si>
    <t>2026-02-19T23:00:24.940609</t>
  </si>
  <si>
    <t>46.708,28</t>
  </si>
  <si>
    <t>2026-02-19T23:00:25.952025</t>
  </si>
  <si>
    <t>2026-02-19T23:03:44.674986</t>
  </si>
  <si>
    <t>38.504,34</t>
  </si>
  <si>
    <t>2026-02-19T23:03:45.685866</t>
  </si>
  <si>
    <t>2026-02-19T23:06:44.185092</t>
  </si>
  <si>
    <t>50.176,35</t>
  </si>
  <si>
    <t>2026-02-19T23:06:45.196313</t>
  </si>
  <si>
    <t>2026-02-19T23:10:26.460389</t>
  </si>
  <si>
    <t>38.748,29</t>
  </si>
  <si>
    <t>2026-02-19T23:10:27.469056</t>
  </si>
  <si>
    <t>2026-02-19T23:12:56.584165</t>
  </si>
  <si>
    <t>50.224,26</t>
  </si>
  <si>
    <t>2026-02-19T23:12:57.594936</t>
  </si>
  <si>
    <t>2026-02-19T23:14:55.432837</t>
  </si>
  <si>
    <t>51.152,26</t>
  </si>
  <si>
    <t>2026-02-19T23:40:58.789827</t>
  </si>
  <si>
    <t>2026-02-19T23:44:07.109216</t>
  </si>
  <si>
    <t>48.908,25</t>
  </si>
  <si>
    <t>2026-02-19T23:44:08.115102</t>
  </si>
  <si>
    <t>2026-02-19T23:47:07.518533</t>
  </si>
  <si>
    <t>41.832,25</t>
  </si>
  <si>
    <t>2026-02-19T23:47:08.520407</t>
  </si>
  <si>
    <t>2026-02-19T23:49:53.574605</t>
  </si>
  <si>
    <t>31.544,28</t>
  </si>
  <si>
    <t>2026-02-19T23:49:54.576485</t>
  </si>
  <si>
    <t>2026-02-19T23:53:00.134458</t>
  </si>
  <si>
    <t>33.028,28</t>
  </si>
  <si>
    <t>2026-02-19T23:53:01.146411</t>
  </si>
  <si>
    <t>2026-02-19T23:55:26.648180</t>
  </si>
  <si>
    <t>31.488,26</t>
  </si>
  <si>
    <t>2026-02-19T23:55:27.650599</t>
  </si>
  <si>
    <t>2026-02-19T23:57:16.051448</t>
  </si>
  <si>
    <t>40.956,29</t>
  </si>
  <si>
    <t>2026-02-19T23:57:17.054391</t>
  </si>
  <si>
    <t>2026-02-19T23:59:51.812907</t>
  </si>
  <si>
    <t>40.412,24</t>
  </si>
  <si>
    <t>2026-02-19T23:59:52.826356</t>
  </si>
  <si>
    <t>2026-02-20T00:01:50.741519</t>
  </si>
  <si>
    <t>39.108,24</t>
  </si>
  <si>
    <t>2026-02-20T00:01:51.753476</t>
  </si>
  <si>
    <t>2026-02-20T00:03:54.587752</t>
  </si>
  <si>
    <t>39.708,31</t>
  </si>
  <si>
    <t>2026-02-20T00:03:55.601401</t>
  </si>
  <si>
    <t>2026-02-20T00:06:18.221410</t>
  </si>
  <si>
    <t>39.792,31</t>
  </si>
  <si>
    <t>2026-02-20T00:06:19.223286</t>
  </si>
  <si>
    <t>2026-02-20T00:09:56.689858</t>
  </si>
  <si>
    <t>39.144,31</t>
  </si>
  <si>
    <t>2026-02-20T00:09:57.699050</t>
  </si>
  <si>
    <t>2026-02-20T00:13:32.595558</t>
  </si>
  <si>
    <t>41.292,29</t>
  </si>
  <si>
    <t>2026-02-20T00:13:33.606928</t>
  </si>
  <si>
    <t>2026-02-20T00:16:36.170633</t>
  </si>
  <si>
    <t>29.308,27</t>
  </si>
  <si>
    <t>2026-02-20T00:16:37.182449</t>
  </si>
  <si>
    <t>2026-02-20T00:18:57.206260</t>
  </si>
  <si>
    <t>44.952,29</t>
  </si>
  <si>
    <t>2026-02-20T00:18:58.217304</t>
  </si>
  <si>
    <t>2026-02-20T00:22:00.654523</t>
  </si>
  <si>
    <t>59.508,31</t>
  </si>
  <si>
    <t>2026-02-20T00:22:01.664594</t>
  </si>
  <si>
    <t>2026-02-20T00:25:39.205789</t>
  </si>
  <si>
    <t>49.344,31</t>
  </si>
  <si>
    <t>2026-02-20T00:25:40.216175</t>
  </si>
  <si>
    <t>2026-02-20T00:27:48.918839</t>
  </si>
  <si>
    <t>65.216,33</t>
  </si>
  <si>
    <t>2026-02-20T00:27:49.923891</t>
  </si>
  <si>
    <t>2026-02-20T00:32:38.301214</t>
  </si>
  <si>
    <t>52.780,30</t>
  </si>
  <si>
    <t>2026-02-20T00:32:39.312049</t>
  </si>
  <si>
    <t>2026-02-20T00:35:43.367689</t>
  </si>
  <si>
    <t>50.144,28</t>
  </si>
  <si>
    <t>2026-02-20T00:35:44.370294</t>
  </si>
  <si>
    <t>2026-02-20T00:39:32.242374</t>
  </si>
  <si>
    <t>42.972,29</t>
  </si>
  <si>
    <t>2026-02-20T00:39:33.253819</t>
  </si>
  <si>
    <t>2026-02-20T00:42:46.145197</t>
  </si>
  <si>
    <t>48.428,27</t>
  </si>
  <si>
    <t>2026-02-20T00:42:47.156615</t>
  </si>
  <si>
    <t>2026-02-20T00:46:22.694369</t>
  </si>
  <si>
    <t>37.320,28</t>
  </si>
  <si>
    <t>2026-02-20T00:46:23.698413</t>
  </si>
  <si>
    <t>2026-02-20T00:49:48.775619</t>
  </si>
  <si>
    <t>37.260,31</t>
  </si>
  <si>
    <t>2026-02-20T00:49:49.782081</t>
  </si>
  <si>
    <t>2026-02-20T00:51:52.360501</t>
  </si>
  <si>
    <t>51.820,29</t>
  </si>
  <si>
    <t>2026-02-20T00:51:53.372170</t>
  </si>
  <si>
    <t>2026-02-20T00:56:14.802749</t>
  </si>
  <si>
    <t>41.280,29</t>
  </si>
  <si>
    <t>2026-02-20T00:56:15.812182</t>
  </si>
  <si>
    <t>2026-02-20T00:58:55.623443</t>
  </si>
  <si>
    <t>48.036,27</t>
  </si>
  <si>
    <t>2026-02-20T00:58:56.628205</t>
  </si>
  <si>
    <t>2026-02-20T01:01:35.073401</t>
  </si>
  <si>
    <t>52.968,32</t>
  </si>
  <si>
    <t>2026-02-20T01:01:36.081760</t>
  </si>
  <si>
    <t>2026-02-20T01:04:33.569856</t>
  </si>
  <si>
    <t>48.236,32</t>
  </si>
  <si>
    <t>2026-02-20T01:04:34.581169</t>
  </si>
  <si>
    <t>2026-02-20T01:08:45.814187</t>
  </si>
  <si>
    <t>57.148,32</t>
  </si>
  <si>
    <t>2026-02-20T01:08:46.817374</t>
  </si>
  <si>
    <t>2026-02-20T01:13:04.352242</t>
  </si>
  <si>
    <t>50.548,25</t>
  </si>
  <si>
    <t>2026-02-19T23:40:58.789862</t>
  </si>
  <si>
    <t>2026-02-19T23:44:06.077716</t>
  </si>
  <si>
    <t>38.984,27</t>
  </si>
  <si>
    <t>2026-02-19T23:44:07.083541</t>
  </si>
  <si>
    <t>2026-02-19T23:46:44.203012</t>
  </si>
  <si>
    <t>44.832,26</t>
  </si>
  <si>
    <t>2026-02-19T23:46:45.209915</t>
  </si>
  <si>
    <t>2026-02-19T23:50:17.811046</t>
  </si>
  <si>
    <t>51.676,27</t>
  </si>
  <si>
    <t>2026-02-19T23:50:18.819557</t>
  </si>
  <si>
    <t>2026-02-19T23:53:41.105837</t>
  </si>
  <si>
    <t>37.760,28</t>
  </si>
  <si>
    <t>2026-02-19T23:53:42.117240</t>
  </si>
  <si>
    <t>2026-02-19T23:56:24.310095</t>
  </si>
  <si>
    <t>33.420,27</t>
  </si>
  <si>
    <t>2026-02-19T23:56:25.320148</t>
  </si>
  <si>
    <t>2026-02-19T23:59:34.150635</t>
  </si>
  <si>
    <t>48.480,25</t>
  </si>
  <si>
    <t>2026-02-19T23:59:35.158976</t>
  </si>
  <si>
    <t>2026-02-20T00:03:32.321101</t>
  </si>
  <si>
    <t>58.532,30</t>
  </si>
  <si>
    <t>2026-02-20T00:03:33.324998</t>
  </si>
  <si>
    <t>2026-02-20T00:07:45.905994</t>
  </si>
  <si>
    <t>43.548,23</t>
  </si>
  <si>
    <t>2026-02-20T00:07:46.918208</t>
  </si>
  <si>
    <t>2026-02-20T00:10:26.237710</t>
  </si>
  <si>
    <t>38.140,22</t>
  </si>
  <si>
    <t>2026-02-20T00:10:27.242815</t>
  </si>
  <si>
    <t>2026-02-20T00:12:59.119407</t>
  </si>
  <si>
    <t>37.956,25</t>
  </si>
  <si>
    <t>2026-02-20T00:13:00.130970</t>
  </si>
  <si>
    <t>2026-02-20T00:15:10.611328</t>
  </si>
  <si>
    <t>38.224,23</t>
  </si>
  <si>
    <t>2026-02-20T00:15:11.619072</t>
  </si>
  <si>
    <t>2026-02-20T00:18:04.257192</t>
  </si>
  <si>
    <t>54.484,25</t>
  </si>
  <si>
    <t>2026-02-20T00:18:05.268876</t>
  </si>
  <si>
    <t>2026-02-20T00:22:25.906518</t>
  </si>
  <si>
    <t>47.516,25</t>
  </si>
  <si>
    <t>2026-02-20T00:22:26.918306</t>
  </si>
  <si>
    <t>2026-02-20T00:25:34.850581</t>
  </si>
  <si>
    <t>49.300,30</t>
  </si>
  <si>
    <t>2026-02-20T00:25:35.859875</t>
  </si>
  <si>
    <t>2026-02-20T00:28:51.738812</t>
  </si>
  <si>
    <t>45.648,25</t>
  </si>
  <si>
    <t>2026-02-20T00:28:52.750202</t>
  </si>
  <si>
    <t>2026-02-20T00:31:58.533266</t>
  </si>
  <si>
    <t>35.688,29</t>
  </si>
  <si>
    <t>2026-02-20T00:31:59.544182</t>
  </si>
  <si>
    <t>2026-02-20T00:35:05.103265</t>
  </si>
  <si>
    <t>51.420,25</t>
  </si>
  <si>
    <t>2026-02-20T00:35:06.105189</t>
  </si>
  <si>
    <t>2026-02-20T00:37:46.120839</t>
  </si>
  <si>
    <t>47.176,31</t>
  </si>
  <si>
    <t>2026-02-20T00:37:47.131706</t>
  </si>
  <si>
    <t>2026-02-20T00:40:13.170117</t>
  </si>
  <si>
    <t>44.860,29</t>
  </si>
  <si>
    <t>2026-02-20T00:40:14.181166</t>
  </si>
  <si>
    <t>2026-02-20T00:42:39.952945</t>
  </si>
  <si>
    <t>45.528,29</t>
  </si>
  <si>
    <t>2026-02-20T00:42:40.954476</t>
  </si>
  <si>
    <t>2026-02-20T00:45:05.471343</t>
  </si>
  <si>
    <t>47.816,30</t>
  </si>
  <si>
    <t>2026-02-20T00:45:06.480743</t>
  </si>
  <si>
    <t>2026-02-20T00:47:32.936022</t>
  </si>
  <si>
    <t>39.456,27</t>
  </si>
  <si>
    <t>2026-02-20T00:47:33.947091</t>
  </si>
  <si>
    <t>2026-02-20T00:50:25.405993</t>
  </si>
  <si>
    <t>55.892,30</t>
  </si>
  <si>
    <t>2026-02-20T00:50:26.407736</t>
  </si>
  <si>
    <t>2026-02-20T00:54:28.958443</t>
  </si>
  <si>
    <t>58.852,27</t>
  </si>
  <si>
    <t>2026-02-20T00:54:29.970017</t>
  </si>
  <si>
    <t>2026-02-20T00:58:30.859216</t>
  </si>
  <si>
    <t>59.136,34</t>
  </si>
  <si>
    <t>2026-02-20T00:58:31.871043</t>
  </si>
  <si>
    <t>2026-02-20T01:02:47.660319</t>
  </si>
  <si>
    <t>43.072,29</t>
  </si>
  <si>
    <t>2026-02-20T01:02:48.671648</t>
  </si>
  <si>
    <t>2026-02-20T01:06:26.392508</t>
  </si>
  <si>
    <t>39.680,28</t>
  </si>
  <si>
    <t>2026-02-20T01:06:27.403951</t>
  </si>
  <si>
    <t>2026-02-20T01:09:04.848190</t>
  </si>
  <si>
    <t>44.592,29</t>
  </si>
  <si>
    <t>2026-02-20T01:09:05.853883</t>
  </si>
  <si>
    <t>2026-02-20T01:12:04.229802</t>
  </si>
  <si>
    <t>39.264,26</t>
  </si>
  <si>
    <t>2026-02-20T01:12:05.236501</t>
  </si>
  <si>
    <t>2026-02-20T01:13:45.334740</t>
  </si>
  <si>
    <t>34.860,28</t>
  </si>
  <si>
    <t>2026-02-19T23:40:58.789872</t>
  </si>
  <si>
    <t>2026-02-19T23:43:34.472166</t>
  </si>
  <si>
    <t>43.796,25</t>
  </si>
  <si>
    <t>2026-02-19T23:43:35.477344</t>
  </si>
  <si>
    <t>2026-02-19T23:47:08.631280</t>
  </si>
  <si>
    <t>48.224,26</t>
  </si>
  <si>
    <t>2026-02-19T23:47:09.637123</t>
  </si>
  <si>
    <t>2026-02-19T23:50:08.252771</t>
  </si>
  <si>
    <t>41.100,29</t>
  </si>
  <si>
    <t>2026-02-19T23:50:09.263659</t>
  </si>
  <si>
    <t>2026-02-19T23:52:49.577001</t>
  </si>
  <si>
    <t>57.916,32</t>
  </si>
  <si>
    <t>2026-02-19T23:52:50.588355</t>
  </si>
  <si>
    <t>2026-02-19T23:56:44.617419</t>
  </si>
  <si>
    <t>48.064,31</t>
  </si>
  <si>
    <t>2026-02-19T23:56:45.628179</t>
  </si>
  <si>
    <t>2026-02-19T23:59:44.220596</t>
  </si>
  <si>
    <t>39.380,25</t>
  </si>
  <si>
    <t>2026-02-19T23:59:45.221613</t>
  </si>
  <si>
    <t>2026-02-20T00:03:18.343703</t>
  </si>
  <si>
    <t>49.472,21</t>
  </si>
  <si>
    <t>2026-02-20T00:03:19.352640</t>
  </si>
  <si>
    <t>2026-02-20T00:07:00.912986</t>
  </si>
  <si>
    <t>49.608,22</t>
  </si>
  <si>
    <t>2026-02-20T00:07:01.923136</t>
  </si>
  <si>
    <t>2026-02-20T00:10:12.248820</t>
  </si>
  <si>
    <t>51.744,28</t>
  </si>
  <si>
    <t>2026-02-20T00:10:13.255580</t>
  </si>
  <si>
    <t>2026-02-20T00:13:33.703448</t>
  </si>
  <si>
    <t>52.796,25</t>
  </si>
  <si>
    <t>2026-02-20T00:13:34.713464</t>
  </si>
  <si>
    <t>2026-02-20T00:16:09.685002</t>
  </si>
  <si>
    <t>58.008,26</t>
  </si>
  <si>
    <t>2026-02-20T00:16:10.696267</t>
  </si>
  <si>
    <t>2026-02-20T00:18:56.867518</t>
  </si>
  <si>
    <t>40.880,27</t>
  </si>
  <si>
    <t>2026-02-20T00:18:57.880887</t>
  </si>
  <si>
    <t>2026-02-20T00:21:51.976814</t>
  </si>
  <si>
    <t>2026-02-20T00:21:52.984897</t>
  </si>
  <si>
    <t>2026-02-20T00:26:05.941754</t>
  </si>
  <si>
    <t>38.000,29</t>
  </si>
  <si>
    <t>2026-02-20T00:26:06.952905</t>
  </si>
  <si>
    <t>2026-02-20T00:28:56.898895</t>
  </si>
  <si>
    <t>44.216,25</t>
  </si>
  <si>
    <t>2026-02-20T00:28:57.902609</t>
  </si>
  <si>
    <t>2026-02-20T00:31:58.552250</t>
  </si>
  <si>
    <t>43.064,24</t>
  </si>
  <si>
    <t>2026-02-20T00:31:59.563239</t>
  </si>
  <si>
    <t>2026-02-20T00:34:36.293244</t>
  </si>
  <si>
    <t>39.988,26</t>
  </si>
  <si>
    <t>2026-02-20T00:34:37.299493</t>
  </si>
  <si>
    <t>2026-02-20T00:37:33.683777</t>
  </si>
  <si>
    <t>47.572,29</t>
  </si>
  <si>
    <t>2026-02-20T00:37:34.696165</t>
  </si>
  <si>
    <t>2026-02-20T00:41:03.690059</t>
  </si>
  <si>
    <t>51.628,26</t>
  </si>
  <si>
    <t>2026-02-20T00:41:04.701205</t>
  </si>
  <si>
    <t>2026-02-20T00:44:49.523275</t>
  </si>
  <si>
    <t>39.892,30</t>
  </si>
  <si>
    <t>2026-02-20T00:44:50.527938</t>
  </si>
  <si>
    <t>2026-02-20T00:47:47.426943</t>
  </si>
  <si>
    <t>59.536,26</t>
  </si>
  <si>
    <t>2026-02-20T00:47:48.439022</t>
  </si>
  <si>
    <t>2026-02-20T00:51:19.079961</t>
  </si>
  <si>
    <t>48.684,28</t>
  </si>
  <si>
    <t>2026-02-20T00:51:20.090698</t>
  </si>
  <si>
    <t>2026-02-20T00:54:02.823248</t>
  </si>
  <si>
    <t>38.608,29</t>
  </si>
  <si>
    <t>2026-02-20T00:54:03.834780</t>
  </si>
  <si>
    <t>2026-02-20T00:56:52.514546</t>
  </si>
  <si>
    <t>65.848,34</t>
  </si>
  <si>
    <t>2026-02-20T00:56:53.517761</t>
  </si>
  <si>
    <t>2026-02-20T01:00:50.011043</t>
  </si>
  <si>
    <t>53.728,34</t>
  </si>
  <si>
    <t>2026-02-20T01:00:51.022451</t>
  </si>
  <si>
    <t>2026-02-20T01:04:43.219873</t>
  </si>
  <si>
    <t>67.780,33</t>
  </si>
  <si>
    <t>2026-02-20T01:04:44.221619</t>
  </si>
  <si>
    <t>2026-02-20T01:08:55.747612</t>
  </si>
  <si>
    <t>54.688,27</t>
  </si>
  <si>
    <t>2026-02-20T01:08:56.752380</t>
  </si>
  <si>
    <t>2026-02-20T01:12:21.471515</t>
  </si>
  <si>
    <t>53.924,27</t>
  </si>
  <si>
    <t>2026-02-20T01:12:22.478881</t>
  </si>
  <si>
    <t>2026-02-20T01:14:45.082461</t>
  </si>
  <si>
    <t>43.432,27</t>
  </si>
  <si>
    <t>2026-02-20T01:14:46.091141</t>
  </si>
  <si>
    <t>2026-02-20T01:15:54.937199</t>
  </si>
  <si>
    <t>old_all_ball_path_planned</t>
  </si>
  <si>
    <t>seen_ball_path_planned</t>
  </si>
  <si>
    <t>60.380,31</t>
  </si>
  <si>
    <t>2026-02-20T18:59:11.562491</t>
  </si>
  <si>
    <t>2026-02-20T19:03:12.625604</t>
  </si>
  <si>
    <t>37.824,30</t>
  </si>
  <si>
    <t>2026-02-20T19:03:13.629152</t>
  </si>
  <si>
    <t>2026-02-20T19:05:47.707085</t>
  </si>
  <si>
    <t>102.048,29</t>
  </si>
  <si>
    <t>2026-02-20T19:05:48.713898</t>
  </si>
  <si>
    <t>2026-02-20T19:13:36.962154</t>
  </si>
  <si>
    <t>36.804,29</t>
  </si>
  <si>
    <t>2026-02-20T19:13:37.971588</t>
  </si>
  <si>
    <t>2026-02-20T19:16:13.759222</t>
  </si>
  <si>
    <t>86.900,31</t>
  </si>
  <si>
    <t>2026-02-20T19:16:14.768019</t>
  </si>
  <si>
    <t>2026-02-20T19:22:35.433312</t>
  </si>
  <si>
    <t>48.628,28</t>
  </si>
  <si>
    <t>2026-02-20T19:22:36.441075</t>
  </si>
  <si>
    <t>2026-02-20T19:25:49.728720</t>
  </si>
  <si>
    <t>83.864,33</t>
  </si>
  <si>
    <t>2026-02-20T19:25:50.740713</t>
  </si>
  <si>
    <t>2026-02-20T19:32:00.788372</t>
  </si>
  <si>
    <t>52.512,29</t>
  </si>
  <si>
    <t>2026-02-20T19:32:01.798636</t>
  </si>
  <si>
    <t>2026-02-20T19:35:35.413646</t>
  </si>
  <si>
    <t>54.508,29</t>
  </si>
  <si>
    <t>2026-02-20T19:35:36.422189</t>
  </si>
  <si>
    <t>2026-02-20T19:39:38.830774</t>
  </si>
  <si>
    <t>39.632,30</t>
  </si>
  <si>
    <t>2026-02-20T19:39:39.842033</t>
  </si>
  <si>
    <t>2026-02-20T19:42:18.567618</t>
  </si>
  <si>
    <t>40.844,29</t>
  </si>
  <si>
    <t>2026-02-20T19:42:19.579075</t>
  </si>
  <si>
    <t>2026-02-20T19:45:15.085955</t>
  </si>
  <si>
    <t>39.240,35</t>
  </si>
  <si>
    <t>2026-02-20T19:45:16.096316</t>
  </si>
  <si>
    <t>2026-02-20T19:47:18.706459</t>
  </si>
  <si>
    <t>49.240,23</t>
  </si>
  <si>
    <t>2026-02-20T19:47:19.714591</t>
  </si>
  <si>
    <t>2026-02-20T19:51:02.879685</t>
  </si>
  <si>
    <t>32.292,28</t>
  </si>
  <si>
    <t>2026-02-20T19:51:03.886971</t>
  </si>
  <si>
    <t>2026-02-20T19:53:17.927184</t>
  </si>
  <si>
    <t>70.328,25</t>
  </si>
  <si>
    <t>2026-02-20T19:53:18.938330</t>
  </si>
  <si>
    <t>2026-02-20T19:57:44.548978</t>
  </si>
  <si>
    <t>49.320,32</t>
  </si>
  <si>
    <t>2026-02-20T19:57:45.554836</t>
  </si>
  <si>
    <t>2026-02-20T20:01:07.058397</t>
  </si>
  <si>
    <t>54.468,23</t>
  </si>
  <si>
    <t>2026-02-20T20:01:08.069520</t>
  </si>
  <si>
    <t>2026-02-20T20:05:12.854998</t>
  </si>
  <si>
    <t>62.636,31</t>
  </si>
  <si>
    <t>2026-02-20T20:05:13.865992</t>
  </si>
  <si>
    <t>2026-02-20T20:09:21.980875</t>
  </si>
  <si>
    <t>39.608,25</t>
  </si>
  <si>
    <t>2026-02-20T20:09:22.991859</t>
  </si>
  <si>
    <t>2026-02-20T20:13:31.884482</t>
  </si>
  <si>
    <t>37.176,29</t>
  </si>
  <si>
    <t>2026-02-20T20:13:32.891073</t>
  </si>
  <si>
    <t>2026-02-20T20:16:08.175295</t>
  </si>
  <si>
    <t>46.052,27</t>
  </si>
  <si>
    <t>2026-02-20T20:16:09.186463</t>
  </si>
  <si>
    <t>2026-02-20T20:19:27.505117</t>
  </si>
  <si>
    <t>41.016,30</t>
  </si>
  <si>
    <t>2026-02-20T20:19:28.516623</t>
  </si>
  <si>
    <t>2026-02-20T20:22:06.064314</t>
  </si>
  <si>
    <t>93.828,26</t>
  </si>
  <si>
    <t>2026-02-20T20:22:07.071026</t>
  </si>
  <si>
    <t>2026-02-20T20:28:57.589424</t>
  </si>
  <si>
    <t>53.192,26</t>
  </si>
  <si>
    <t>2026-02-20T20:28:58.599455</t>
  </si>
  <si>
    <t>2026-02-20T20:32:29.327430</t>
  </si>
  <si>
    <t>52.520,27</t>
  </si>
  <si>
    <t>2026-02-20T20:32:30.337038</t>
  </si>
  <si>
    <t>2026-02-20T20:36:38.807767</t>
  </si>
  <si>
    <t>39.224,26</t>
  </si>
  <si>
    <t>2026-02-20T20:36:39.816812</t>
  </si>
  <si>
    <t>2026-02-20T20:39:19.916578</t>
  </si>
  <si>
    <t>49.592,26</t>
  </si>
  <si>
    <t>2026-02-20T20:39:20.927822</t>
  </si>
  <si>
    <t>2026-02-20T20:43:02.085109</t>
  </si>
  <si>
    <t>47.952,29</t>
  </si>
  <si>
    <t>2026-02-20T20:43:03.094737</t>
  </si>
  <si>
    <t>2026-02-20T20:46:18.897675</t>
  </si>
  <si>
    <t>133.584,25</t>
  </si>
  <si>
    <t>2026-02-20T20:46:19.907863</t>
  </si>
  <si>
    <t>2026-02-20T20:55:53.034944</t>
  </si>
  <si>
    <t>44.152,28</t>
  </si>
  <si>
    <t>2026-02-20T20:55:54.046172</t>
  </si>
  <si>
    <t>2026-02-20T20:58:52.764317</t>
  </si>
  <si>
    <t>47.572,30</t>
  </si>
  <si>
    <t>2026-02-20T20:58:53.775152</t>
  </si>
  <si>
    <t>2026-02-20T21:02:33.251375</t>
  </si>
  <si>
    <t>41.508,30</t>
  </si>
  <si>
    <t>2026-02-20T21:02:34.262207</t>
  </si>
  <si>
    <t>2026-02-20T21:05:13.560935</t>
  </si>
  <si>
    <t>97.872,26</t>
  </si>
  <si>
    <t>2026-02-20T21:05:14.564795</t>
  </si>
  <si>
    <t>2026-02-20T21:12:25.859104</t>
  </si>
  <si>
    <t>47.120,31</t>
  </si>
  <si>
    <t>2026-02-20T21:12:26.871342</t>
  </si>
  <si>
    <t>2026-02-20T21:15:34.958873</t>
  </si>
  <si>
    <t>64.424,27</t>
  </si>
  <si>
    <t>2026-02-20T21:15:35.962452</t>
  </si>
  <si>
    <t>2026-02-20T21:20:22.353701</t>
  </si>
  <si>
    <t>42.992,28</t>
  </si>
  <si>
    <t>2026-02-20T21:20:23.364948</t>
  </si>
  <si>
    <t>2026-02-20T21:23:16.561796</t>
  </si>
  <si>
    <t>44.064,26</t>
  </si>
  <si>
    <t>2026-02-20T21:23:17.568245</t>
  </si>
  <si>
    <t>2026-02-20T21:27:31.284774</t>
  </si>
  <si>
    <t>43.684,30</t>
  </si>
  <si>
    <t>2026-02-20T21:27:32.296463</t>
  </si>
  <si>
    <t>2026-02-20T21:30:26.899422</t>
  </si>
  <si>
    <t>56.412,29</t>
  </si>
  <si>
    <t>2026-02-20T21:30:27.911112</t>
  </si>
  <si>
    <t>2026-02-20T21:34:41.666015</t>
  </si>
  <si>
    <t>47.524,30</t>
  </si>
  <si>
    <t>2026-02-20T21:34:42.677180</t>
  </si>
  <si>
    <t>2026-02-20T21:37:56.691860</t>
  </si>
  <si>
    <t>44.332,25</t>
  </si>
  <si>
    <t>2026-02-20T21:37:57.703202</t>
  </si>
  <si>
    <t>2026-02-20T21:41:26.249927</t>
  </si>
  <si>
    <t>38.416,37</t>
  </si>
  <si>
    <t>2026-02-20T21:41:27.261495</t>
  </si>
  <si>
    <t>2026-02-20T21:43:57.572044</t>
  </si>
  <si>
    <t>77.076,24</t>
  </si>
  <si>
    <t>2026-02-20T21:43:58.583293</t>
  </si>
  <si>
    <t>2026-02-20T21:49:46.727419</t>
  </si>
  <si>
    <t>39.636,31</t>
  </si>
  <si>
    <t>2026-02-20T21:49:47.732665</t>
  </si>
  <si>
    <t>2026-02-20T21:52:36.461805</t>
  </si>
  <si>
    <t>61.708,24</t>
  </si>
  <si>
    <t>2026-02-20T21:52:37.473049</t>
  </si>
  <si>
    <t>2026-02-20T21:57:28.657836</t>
  </si>
  <si>
    <t>65.644,30</t>
  </si>
  <si>
    <t>2026-02-20T18:59:11.562592</t>
  </si>
  <si>
    <t>2026-02-20T19:04:28.469763</t>
  </si>
  <si>
    <t>37.272,32</t>
  </si>
  <si>
    <t>2026-02-20T19:04:29.474241</t>
  </si>
  <si>
    <t>2026-02-20T19:07:14.427599</t>
  </si>
  <si>
    <t>91.380,28</t>
  </si>
  <si>
    <t>2026-02-20T19:07:15.434108</t>
  </si>
  <si>
    <t>2026-02-20T19:14:12.737403</t>
  </si>
  <si>
    <t>40.748,31</t>
  </si>
  <si>
    <t>2026-02-20T19:14:13.749779</t>
  </si>
  <si>
    <t>2026-02-20T19:17:05.600360</t>
  </si>
  <si>
    <t>73.052,29</t>
  </si>
  <si>
    <t>2026-02-20T19:17:06.607076</t>
  </si>
  <si>
    <t>2026-02-20T19:22:19.986634</t>
  </si>
  <si>
    <t>46.388,30</t>
  </si>
  <si>
    <t>2026-02-20T19:22:20.997855</t>
  </si>
  <si>
    <t>2026-02-20T19:25:29.875220</t>
  </si>
  <si>
    <t>103.760,28</t>
  </si>
  <si>
    <t>2026-02-20T19:25:30.887045</t>
  </si>
  <si>
    <t>2026-02-20T19:32:58.620490</t>
  </si>
  <si>
    <t>48.392,30</t>
  </si>
  <si>
    <t>2026-02-20T19:32:59.627056</t>
  </si>
  <si>
    <t>2026-02-20T19:36:14.785581</t>
  </si>
  <si>
    <t>80.228,28</t>
  </si>
  <si>
    <t>2026-02-20T19:36:15.787315</t>
  </si>
  <si>
    <t>2026-02-20T19:41:59.601801</t>
  </si>
  <si>
    <t>47.268,31</t>
  </si>
  <si>
    <t>2026-02-20T19:42:00.613092</t>
  </si>
  <si>
    <t>2026-02-20T19:45:12.469929</t>
  </si>
  <si>
    <t>57.788,30</t>
  </si>
  <si>
    <t>2026-02-20T19:45:13.475338</t>
  </si>
  <si>
    <t>2026-02-20T19:48:49.047626</t>
  </si>
  <si>
    <t>36.548,25</t>
  </si>
  <si>
    <t>2026-02-20T19:48:50.057242</t>
  </si>
  <si>
    <t>2026-02-20T19:51:10.575688</t>
  </si>
  <si>
    <t>68.444,27</t>
  </si>
  <si>
    <t>2026-02-20T19:51:11.587675</t>
  </si>
  <si>
    <t>2026-02-20T19:55:33.929988</t>
  </si>
  <si>
    <t>45.352,28</t>
  </si>
  <si>
    <t>2026-02-20T19:55:34.941311</t>
  </si>
  <si>
    <t>2026-02-20T19:58:39.313189</t>
  </si>
  <si>
    <t>57.948,25</t>
  </si>
  <si>
    <t>2026-02-20T19:58:40.324036</t>
  </si>
  <si>
    <t>2026-02-20T20:03:06.344201</t>
  </si>
  <si>
    <t>43.748,29</t>
  </si>
  <si>
    <t>2026-02-20T20:03:07.351306</t>
  </si>
  <si>
    <t>2026-02-20T20:06:03.468764</t>
  </si>
  <si>
    <t>62.404,30</t>
  </si>
  <si>
    <t>2026-02-20T20:06:04.480458</t>
  </si>
  <si>
    <t>2026-02-20T20:10:34.857133</t>
  </si>
  <si>
    <t>41.128,25</t>
  </si>
  <si>
    <t>2026-02-20T20:10:35.866709</t>
  </si>
  <si>
    <t>2026-02-20T20:13:22.882592</t>
  </si>
  <si>
    <t>80.808,29</t>
  </si>
  <si>
    <t>2026-02-20T20:13:23.887312</t>
  </si>
  <si>
    <t>2026-02-20T20:19:15.462090</t>
  </si>
  <si>
    <t>61.188,26</t>
  </si>
  <si>
    <t>2026-02-20T20:19:16.474053</t>
  </si>
  <si>
    <t>2026-02-20T20:23:26.231734</t>
  </si>
  <si>
    <t>48.520,30</t>
  </si>
  <si>
    <t>2026-02-20T20:23:27.242135</t>
  </si>
  <si>
    <t>2026-02-20T20:26:59.242093</t>
  </si>
  <si>
    <t>42.168,32</t>
  </si>
  <si>
    <t>2026-02-20T20:27:00.253906</t>
  </si>
  <si>
    <t>2026-02-20T20:29:43.562701</t>
  </si>
  <si>
    <t>76.252,29</t>
  </si>
  <si>
    <t>2026-02-20T20:29:44.568013</t>
  </si>
  <si>
    <t>2026-02-20T20:35:21.815819</t>
  </si>
  <si>
    <t>43.072,24</t>
  </si>
  <si>
    <t>2026-02-20T20:35:22.827156</t>
  </si>
  <si>
    <t>2026-02-20T20:38:18.958930</t>
  </si>
  <si>
    <t>60.448,32</t>
  </si>
  <si>
    <t>2026-02-20T20:38:19.970270</t>
  </si>
  <si>
    <t>2026-02-20T20:42:59.685420</t>
  </si>
  <si>
    <t>40.788,26</t>
  </si>
  <si>
    <t>2026-02-20T20:43:00.688476</t>
  </si>
  <si>
    <t>2026-02-20T20:45:46.288224</t>
  </si>
  <si>
    <t>59.852,27</t>
  </si>
  <si>
    <t>2026-02-20T20:45:47.299423</t>
  </si>
  <si>
    <t>2026-02-20T20:50:16.298523</t>
  </si>
  <si>
    <t>47.392,23</t>
  </si>
  <si>
    <t>2026-02-20T20:50:17.308648</t>
  </si>
  <si>
    <t>2026-02-20T20:53:20.673991</t>
  </si>
  <si>
    <t>42.372,30</t>
  </si>
  <si>
    <t>2026-02-20T20:53:21.685207</t>
  </si>
  <si>
    <t>2026-02-20T20:56:33.669900</t>
  </si>
  <si>
    <t>41.208,21</t>
  </si>
  <si>
    <t>2026-02-20T20:56:34.681034</t>
  </si>
  <si>
    <t>2026-02-20T20:59:22.353976</t>
  </si>
  <si>
    <t>36.900,29</t>
  </si>
  <si>
    <t>2026-02-20T20:59:23.360220</t>
  </si>
  <si>
    <t>2026-02-20T21:02:10.334674</t>
  </si>
  <si>
    <t>32.396,26</t>
  </si>
  <si>
    <t>2026-02-20T21:02:11.346144</t>
  </si>
  <si>
    <t>2026-02-20T21:04:16.829381</t>
  </si>
  <si>
    <t>57.916,25</t>
  </si>
  <si>
    <t>2026-02-20T21:04:17.841072</t>
  </si>
  <si>
    <t>2026-02-20T21:08:38.262303</t>
  </si>
  <si>
    <t>44.296,27</t>
  </si>
  <si>
    <t>2026-02-20T21:08:39.273927</t>
  </si>
  <si>
    <t>2026-02-20T21:11:39.459152</t>
  </si>
  <si>
    <t>50.572,20</t>
  </si>
  <si>
    <t>2026-02-20T21:11:40.470767</t>
  </si>
  <si>
    <t>2026-02-20T21:15:34.389530</t>
  </si>
  <si>
    <t>48.204,21</t>
  </si>
  <si>
    <t>2026-02-20T21:15:35.400654</t>
  </si>
  <si>
    <t>2026-02-20T21:18:51.460726</t>
  </si>
  <si>
    <t>54.160,27</t>
  </si>
  <si>
    <t>2026-02-20T21:18:52.466641</t>
  </si>
  <si>
    <t>2026-02-20T21:23:04.477364</t>
  </si>
  <si>
    <t>53.020,23</t>
  </si>
  <si>
    <t>2026-02-20T21:23:05.488495</t>
  </si>
  <si>
    <t>2026-02-20T21:26:36.691378</t>
  </si>
  <si>
    <t>98.572,25</t>
  </si>
  <si>
    <t>2026-02-20T21:26:37.695563</t>
  </si>
  <si>
    <t>2026-02-20T21:33:49.635745</t>
  </si>
  <si>
    <t>48.796,24</t>
  </si>
  <si>
    <t>2026-02-20T21:33:50.647166</t>
  </si>
  <si>
    <t>2026-02-20T21:37:05.621936</t>
  </si>
  <si>
    <t>89.820,32</t>
  </si>
  <si>
    <t>2026-02-20T21:37:06.625223</t>
  </si>
  <si>
    <t>2026-02-20T21:43:39.340818</t>
  </si>
  <si>
    <t>39.896,30</t>
  </si>
  <si>
    <t>2026-02-20T21:43:40.352189</t>
  </si>
  <si>
    <t>2026-02-20T21:46:15.453140</t>
  </si>
  <si>
    <t>105.696,31</t>
  </si>
  <si>
    <t>2026-02-20T21:46:16.456734</t>
  </si>
  <si>
    <t>2026-02-20T21:54:17.569673</t>
  </si>
  <si>
    <t>58.064,30</t>
  </si>
  <si>
    <t>2026-02-20T21:54:18.574413</t>
  </si>
  <si>
    <t>2026-02-20T21:58:16.533114</t>
  </si>
  <si>
    <t>180.000,30</t>
  </si>
  <si>
    <t>2026-02-20T18:59:11.562513</t>
  </si>
  <si>
    <t>2026-02-20T19:12:12.346894</t>
  </si>
  <si>
    <t>44.820,30</t>
  </si>
  <si>
    <t>2026-02-20T19:12:13.358438</t>
  </si>
  <si>
    <t>2026-02-20T19:15:13.613469</t>
  </si>
  <si>
    <t>55.024,29</t>
  </si>
  <si>
    <t>2026-02-20T19:15:14.624838</t>
  </si>
  <si>
    <t>2026-02-20T19:19:49.329814</t>
  </si>
  <si>
    <t>76.200,28</t>
  </si>
  <si>
    <t>2026-02-20T19:19:50.337065</t>
  </si>
  <si>
    <t>2026-02-20T19:24:48.289003</t>
  </si>
  <si>
    <t>46.616,27</t>
  </si>
  <si>
    <t>2026-02-20T19:24:49.300902</t>
  </si>
  <si>
    <t>2026-02-20T19:28:26.565240</t>
  </si>
  <si>
    <t>49.928,31</t>
  </si>
  <si>
    <t>2026-02-20T19:28:27.572601</t>
  </si>
  <si>
    <t>2026-02-20T19:31:44.239494</t>
  </si>
  <si>
    <t>59.352,26</t>
  </si>
  <si>
    <t>2026-02-20T19:31:45.245184</t>
  </si>
  <si>
    <t>2026-02-20T19:36:18.250680</t>
  </si>
  <si>
    <t>48.132,29</t>
  </si>
  <si>
    <t>2026-02-20T19:36:19.262424</t>
  </si>
  <si>
    <t>2026-02-20T19:39:34.942836</t>
  </si>
  <si>
    <t>80.336,30</t>
  </si>
  <si>
    <t>2026-02-20T19:39:35.954130</t>
  </si>
  <si>
    <t>2026-02-20T19:45:25.846918</t>
  </si>
  <si>
    <t>54.944,29</t>
  </si>
  <si>
    <t>2026-02-20T19:45:26.859165</t>
  </si>
  <si>
    <t>2026-02-20T19:49:55.441462</t>
  </si>
  <si>
    <t>38.652,28</t>
  </si>
  <si>
    <t>2026-02-20T19:49:56.453507</t>
  </si>
  <si>
    <t>2026-02-20T19:54:20.378375</t>
  </si>
  <si>
    <t>45.928,30</t>
  </si>
  <si>
    <t>2026-02-20T19:54:21.389187</t>
  </si>
  <si>
    <t>2026-02-20T19:58:02.578322</t>
  </si>
  <si>
    <t>63.864,24</t>
  </si>
  <si>
    <t>2026-02-20T19:58:03.588665</t>
  </si>
  <si>
    <t>2026-02-20T20:02:48.840983</t>
  </si>
  <si>
    <t>46.084,29</t>
  </si>
  <si>
    <t>2026-02-20T20:02:49.846885</t>
  </si>
  <si>
    <t>2026-02-20T20:05:57.857744</t>
  </si>
  <si>
    <t>62.028,26</t>
  </si>
  <si>
    <t>2026-02-20T20:05:58.860689</t>
  </si>
  <si>
    <t>2026-02-20T20:10:31.761627</t>
  </si>
  <si>
    <t>62.032,28</t>
  </si>
  <si>
    <t>2026-02-20T20:10:32.772310</t>
  </si>
  <si>
    <t>2026-02-20T20:14:36.410284</t>
  </si>
  <si>
    <t>71.956,23</t>
  </si>
  <si>
    <t>2026-02-20T20:14:37.412769</t>
  </si>
  <si>
    <t>2026-02-20T20:20:03.165262</t>
  </si>
  <si>
    <t>60.340,28</t>
  </si>
  <si>
    <t>2026-02-20T20:20:04.176811</t>
  </si>
  <si>
    <t>2026-02-20T20:24:02.515460</t>
  </si>
  <si>
    <t>75.332,29</t>
  </si>
  <si>
    <t>2026-02-20T20:24:03.527114</t>
  </si>
  <si>
    <t>2026-02-20T20:29:33.256189</t>
  </si>
  <si>
    <t>50.400,27</t>
  </si>
  <si>
    <t>2026-02-20T20:29:34.264734</t>
  </si>
  <si>
    <t>2026-02-20T20:32:55.137393</t>
  </si>
  <si>
    <t>40.088,20</t>
  </si>
  <si>
    <t>2026-02-20T20:32:56.146756</t>
  </si>
  <si>
    <t>2026-02-20T20:35:56.905699</t>
  </si>
  <si>
    <t>29.880,26</t>
  </si>
  <si>
    <t>2026-02-20T20:35:57.913684</t>
  </si>
  <si>
    <t>2026-02-20T20:37:55.713300</t>
  </si>
  <si>
    <t>49.888,22</t>
  </si>
  <si>
    <t>2026-02-20T20:37:56.724691</t>
  </si>
  <si>
    <t>2026-02-20T20:41:42.574777</t>
  </si>
  <si>
    <t>48.932,23</t>
  </si>
  <si>
    <t>2026-02-20T20:41:43.581353</t>
  </si>
  <si>
    <t>2026-02-20T20:44:58.740006</t>
  </si>
  <si>
    <t>60.760,20</t>
  </si>
  <si>
    <t>2026-02-20T20:44:59.751843</t>
  </si>
  <si>
    <t>2026-02-20T20:49:30.351022</t>
  </si>
  <si>
    <t>54.952,21</t>
  </si>
  <si>
    <t>2026-02-20T20:49:31.362443</t>
  </si>
  <si>
    <t>2026-02-20T20:53:08.667964</t>
  </si>
  <si>
    <t>52.004,18</t>
  </si>
  <si>
    <t>2026-02-20T20:53:09.679303</t>
  </si>
  <si>
    <t>2026-02-20T20:58:20.187949</t>
  </si>
  <si>
    <t>42.356,22</t>
  </si>
  <si>
    <t>2026-02-20T20:58:21.195199</t>
  </si>
  <si>
    <t>2026-02-20T21:01:25.121516</t>
  </si>
  <si>
    <t>56.744,16</t>
  </si>
  <si>
    <t>2026-02-20T21:01:26.132892</t>
  </si>
  <si>
    <t>2026-02-20T21:05:51.368866</t>
  </si>
  <si>
    <t>37.496,23</t>
  </si>
  <si>
    <t>2026-02-20T21:05:52.379375</t>
  </si>
  <si>
    <t>2026-02-20T21:08:23.065750</t>
  </si>
  <si>
    <t>49.184,27</t>
  </si>
  <si>
    <t>2026-02-20T21:08:24.077257</t>
  </si>
  <si>
    <t>2026-02-20T21:12:01.141857</t>
  </si>
  <si>
    <t>33.780,31</t>
  </si>
  <si>
    <t>2026-02-20T21:12:02.152263</t>
  </si>
  <si>
    <t>2026-02-20T21:14:13.231313</t>
  </si>
  <si>
    <t>57.044,25</t>
  </si>
  <si>
    <t>2026-02-20T21:14:14.241293</t>
  </si>
  <si>
    <t>2026-02-20T21:18:28.514080</t>
  </si>
  <si>
    <t>42.848,29</t>
  </si>
  <si>
    <t>2026-02-20T21:18:29.525323</t>
  </si>
  <si>
    <t>2026-02-20T21:21:22.694944</t>
  </si>
  <si>
    <t>62.444,27</t>
  </si>
  <si>
    <t>2026-02-20T21:21:23.706689</t>
  </si>
  <si>
    <t>2026-02-20T21:26:01.055736</t>
  </si>
  <si>
    <t>46.352,28</t>
  </si>
  <si>
    <t>2026-02-20T21:26:02.066715</t>
  </si>
  <si>
    <t>2026-02-20T21:29:11.079799</t>
  </si>
  <si>
    <t>82.144,26</t>
  </si>
  <si>
    <t>2026-02-20T21:29:12.091549</t>
  </si>
  <si>
    <t>2026-02-20T21:35:16.829650</t>
  </si>
  <si>
    <t>47.260,28</t>
  </si>
  <si>
    <t>2026-02-20T21:35:17.841041</t>
  </si>
  <si>
    <t>2026-02-20T21:38:28.256887</t>
  </si>
  <si>
    <t>44.840,29</t>
  </si>
  <si>
    <t>2026-02-20T21:38:29.268435</t>
  </si>
  <si>
    <t>2026-02-20T21:42:00.548705</t>
  </si>
  <si>
    <t>44.712,31</t>
  </si>
  <si>
    <t>2026-02-20T21:42:01.557906</t>
  </si>
  <si>
    <t>2026-02-20T21:45:02.947328</t>
  </si>
  <si>
    <t>29.172,31</t>
  </si>
  <si>
    <t>2026-02-20T21:45:03.955492</t>
  </si>
  <si>
    <t>2026-02-20T21:47:25.420577</t>
  </si>
  <si>
    <t>38.916,34</t>
  </si>
  <si>
    <t>2026-02-20T21:47:26.429702</t>
  </si>
  <si>
    <t>2026-02-20T21:49:59.693853</t>
  </si>
  <si>
    <t>44.960,29</t>
  </si>
  <si>
    <t>2026-02-20T21:50:00.702725</t>
  </si>
  <si>
    <t>2026-02-20T21:53:34.293451</t>
  </si>
  <si>
    <t>45.508,27</t>
  </si>
  <si>
    <t>2026-02-20T21:53:35.304648</t>
  </si>
  <si>
    <t>2026-02-20T21:56:45.232233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</si>
</sst>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collision_rate</a:t>
            </a: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(Collisions/Sec)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boxWhisker" uniqueId="{FEE8F704-7856-B14A-A08F-FEACF6BE5B92}">
          <cx:tx>
            <cx:txData>
              <cx:f>_xlchart.v1.10</cx:f>
              <cx:v>collision_rate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ball_take_</a:t>
            </a: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speed(balls/sec)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endParaRPr>
          </a:p>
        </cx:rich>
      </cx:tx>
    </cx:title>
    <cx:plotArea>
      <cx:plotAreaRegion>
        <cx:series layoutId="boxWhisker" uniqueId="{1FC5C2DB-D76B-0240-A95A-EE21BB7AF00B}">
          <cx:tx>
            <cx:txData>
              <cx:f>_xlchart.v1.4</cx:f>
              <cx:v>ball_take_speed(bals/sec)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ball_take_rate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ball_take_rate</a:t>
          </a:r>
        </a:p>
      </cx:txPr>
    </cx:title>
    <cx:plotArea>
      <cx:plotAreaRegion>
        <cx:series layoutId="boxWhisker" uniqueId="{C9B7687E-EC07-F04D-8A01-8C9B214F8282}">
          <cx:tx>
            <cx:txData>
              <cx:f>_xlchart.v1.7</cx:f>
              <cx:v>ball_take_speed(bals/sec)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total_balls_taken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total_balls_taken</a:t>
          </a:r>
        </a:p>
      </cx:txPr>
    </cx:title>
    <cx:plotArea>
      <cx:plotAreaRegion>
        <cx:series layoutId="boxWhisker" uniqueId="{DB0B1B3F-DBAE-4A4D-8062-0702BC00670E}">
          <cx:tx>
            <cx:txData>
              <cx:f>_xlchart.v1.1</cx:f>
              <cx:v>total_balls_taken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31</xdr:col>
      <xdr:colOff>15968</xdr:colOff>
      <xdr:row>3</xdr:row>
      <xdr:rowOff>29028</xdr:rowOff>
    </xdr:from>
    <xdr:to>
      <xdr:col>53</xdr:col>
      <xdr:colOff>304216</xdr:colOff>
      <xdr:row>295</xdr:row>
      <xdr:rowOff>148524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F53A9DA-0436-8CD3-8DAE-C233883FAB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78068" y="232228"/>
              <a:ext cx="18449248" cy="5809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348111</xdr:colOff>
      <xdr:row>4</xdr:row>
      <xdr:rowOff>0</xdr:rowOff>
    </xdr:from>
    <xdr:to>
      <xdr:col>30</xdr:col>
      <xdr:colOff>809741</xdr:colOff>
      <xdr:row>296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AFA90CD-EFF9-973B-7A25-9A1D993B4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5211" y="406400"/>
              <a:ext cx="7891130" cy="568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31</xdr:col>
      <xdr:colOff>7118</xdr:colOff>
      <xdr:row>295</xdr:row>
      <xdr:rowOff>177799</xdr:rowOff>
    </xdr:from>
    <xdr:to>
      <xdr:col>53</xdr:col>
      <xdr:colOff>304216</xdr:colOff>
      <xdr:row>659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EC47BAF-F924-06AF-FFD8-9604F4E381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69218" y="6070599"/>
              <a:ext cx="18458098" cy="637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344791</xdr:colOff>
      <xdr:row>323</xdr:row>
      <xdr:rowOff>177800</xdr:rowOff>
    </xdr:from>
    <xdr:to>
      <xdr:col>31</xdr:col>
      <xdr:colOff>41343</xdr:colOff>
      <xdr:row>659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7A95FB-AFC3-FB98-161A-0AB23CD2A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1891" y="6273800"/>
              <a:ext cx="7951552" cy="617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B18-3D81-5A48-9BE5-09FFF423584D}">
  <sheetPr filterMode="1"/>
  <dimension ref="A1:X1264"/>
  <sheetViews>
    <sheetView tabSelected="1" topLeftCell="K1" zoomScale="75" zoomScaleNormal="86" workbookViewId="0">
      <selection activeCell="S130" sqref="S130"/>
    </sheetView>
  </sheetViews>
  <sheetFormatPr baseColWidth="10" defaultRowHeight="16" x14ac:dyDescent="0.2"/>
  <cols>
    <col min="2" max="2" width="18.5" customWidth="1"/>
    <col min="18" max="18" width="12.1640625" bestFit="1" customWidth="1"/>
    <col min="21" max="21" width="19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533</v>
      </c>
      <c r="R1" t="s">
        <v>534</v>
      </c>
      <c r="S1" t="s">
        <v>2891</v>
      </c>
      <c r="W1" t="s">
        <v>535</v>
      </c>
      <c r="X1">
        <f>1-EXP((-10*AVERAGE(R:R)))</f>
        <v>0.51202172810452262</v>
      </c>
    </row>
    <row r="2" spans="1:24" hidden="1" x14ac:dyDescent="0.2">
      <c r="A2">
        <v>57</v>
      </c>
      <c r="B2" t="s">
        <v>25</v>
      </c>
      <c r="C2">
        <v>-1</v>
      </c>
      <c r="D2">
        <v>3</v>
      </c>
      <c r="E2">
        <v>1004</v>
      </c>
      <c r="F2" t="b">
        <v>1</v>
      </c>
      <c r="G2">
        <v>29.207999999999998</v>
      </c>
      <c r="H2">
        <v>36</v>
      </c>
      <c r="I2">
        <v>6</v>
      </c>
      <c r="J2">
        <v>3.9</v>
      </c>
      <c r="K2" t="s">
        <v>701</v>
      </c>
      <c r="L2">
        <v>0</v>
      </c>
      <c r="N2" t="s">
        <v>702</v>
      </c>
      <c r="O2" t="s">
        <v>703</v>
      </c>
      <c r="P2" t="s">
        <v>20</v>
      </c>
      <c r="Q2">
        <f>(VALUE(LEFT(SUBSTITUTE(O2,"T"," "),23)) - VALUE(LEFT(SUBSTITUTE(N2,"T"," "),23))) * 86400</f>
        <v>140.89699967298657</v>
      </c>
      <c r="R2">
        <f>I2/G2</f>
        <v>0.20542317173377159</v>
      </c>
      <c r="S2">
        <f>H2/G2</f>
        <v>1.2325390304026296</v>
      </c>
    </row>
    <row r="3" spans="1:24" hidden="1" x14ac:dyDescent="0.2">
      <c r="A3">
        <v>5</v>
      </c>
      <c r="B3" t="s">
        <v>21</v>
      </c>
      <c r="C3">
        <v>0</v>
      </c>
      <c r="D3">
        <v>1</v>
      </c>
      <c r="E3">
        <v>1000</v>
      </c>
      <c r="F3" t="b">
        <v>1</v>
      </c>
      <c r="G3">
        <v>77.540000000000006</v>
      </c>
      <c r="H3">
        <v>26</v>
      </c>
      <c r="I3">
        <v>2</v>
      </c>
      <c r="J3">
        <v>0.96</v>
      </c>
      <c r="K3" t="s">
        <v>32</v>
      </c>
      <c r="L3">
        <v>0</v>
      </c>
      <c r="N3" t="s">
        <v>33</v>
      </c>
      <c r="O3" t="s">
        <v>34</v>
      </c>
      <c r="P3" t="s">
        <v>20</v>
      </c>
      <c r="Q3">
        <f>(VALUE(LEFT(SUBSTITUTE(O3,"T"," "),23)) - VALUE(LEFT(SUBSTITUTE(N3,"T"," "),23))) * 86400</f>
        <v>358.82600017357618</v>
      </c>
      <c r="R3">
        <f>I3/G3</f>
        <v>2.5793139025019344E-2</v>
      </c>
      <c r="S3">
        <f>H3/G3</f>
        <v>0.33531080732525148</v>
      </c>
    </row>
    <row r="4" spans="1:24" x14ac:dyDescent="0.2">
      <c r="A4" s="1">
        <v>7</v>
      </c>
      <c r="B4" s="1" t="s">
        <v>16</v>
      </c>
      <c r="C4" s="1">
        <v>2</v>
      </c>
      <c r="D4" s="1">
        <v>1</v>
      </c>
      <c r="E4" s="1">
        <v>1021</v>
      </c>
      <c r="F4" s="1" t="b">
        <v>1</v>
      </c>
      <c r="G4" s="1">
        <v>135.16399999999999</v>
      </c>
      <c r="H4" s="1">
        <v>21</v>
      </c>
      <c r="I4" s="1">
        <v>1</v>
      </c>
      <c r="J4" s="1">
        <v>0.06</v>
      </c>
      <c r="K4" s="1" t="s">
        <v>470</v>
      </c>
      <c r="L4" s="1">
        <v>0</v>
      </c>
      <c r="M4" s="1"/>
      <c r="N4" s="1" t="s">
        <v>471</v>
      </c>
      <c r="O4" s="1" t="s">
        <v>472</v>
      </c>
      <c r="P4" s="1" t="s">
        <v>20</v>
      </c>
      <c r="Q4">
        <f>(VALUE(LEFT(SUBSTITUTE(O4,"T"," "),23)) - VALUE(LEFT(SUBSTITUTE(N4,"T"," "),23))) * 86400</f>
        <v>600.00000006984919</v>
      </c>
      <c r="R4">
        <f>I4/G4</f>
        <v>7.3984196975526032E-3</v>
      </c>
      <c r="S4">
        <f>H4/G4</f>
        <v>0.15536681364860466</v>
      </c>
    </row>
    <row r="5" spans="1:24" hidden="1" x14ac:dyDescent="0.2">
      <c r="A5">
        <v>11</v>
      </c>
      <c r="B5" t="s">
        <v>21</v>
      </c>
      <c r="C5">
        <v>5</v>
      </c>
      <c r="D5">
        <v>1</v>
      </c>
      <c r="E5">
        <v>1000</v>
      </c>
      <c r="F5" t="b">
        <v>1</v>
      </c>
      <c r="G5">
        <v>75.572000000000003</v>
      </c>
      <c r="H5">
        <v>26</v>
      </c>
      <c r="I5">
        <v>3</v>
      </c>
      <c r="J5">
        <v>0.96</v>
      </c>
      <c r="K5" t="s">
        <v>50</v>
      </c>
      <c r="L5">
        <v>0</v>
      </c>
      <c r="N5" t="s">
        <v>51</v>
      </c>
      <c r="O5" t="s">
        <v>52</v>
      </c>
      <c r="P5" t="s">
        <v>20</v>
      </c>
      <c r="Q5">
        <f>(VALUE(LEFT(SUBSTITUTE(O5,"T"," "),23)) - VALUE(LEFT(SUBSTITUTE(N5,"T"," "),23))) * 86400</f>
        <v>299.43900019861758</v>
      </c>
      <c r="R5">
        <f>I5/G5</f>
        <v>3.9697242364897051E-2</v>
      </c>
      <c r="S5">
        <f>H5/G5</f>
        <v>0.34404276716244109</v>
      </c>
    </row>
    <row r="6" spans="1:24" hidden="1" x14ac:dyDescent="0.2">
      <c r="A6">
        <v>14</v>
      </c>
      <c r="B6" t="s">
        <v>21</v>
      </c>
      <c r="C6">
        <v>10</v>
      </c>
      <c r="D6">
        <v>1</v>
      </c>
      <c r="E6">
        <v>1000</v>
      </c>
      <c r="F6" t="b">
        <v>1</v>
      </c>
      <c r="G6">
        <v>51.612000000000002</v>
      </c>
      <c r="H6">
        <v>24</v>
      </c>
      <c r="I6">
        <v>2</v>
      </c>
      <c r="J6">
        <v>0.78</v>
      </c>
      <c r="K6" t="s">
        <v>59</v>
      </c>
      <c r="L6">
        <v>0</v>
      </c>
      <c r="N6" t="s">
        <v>60</v>
      </c>
      <c r="O6" t="s">
        <v>61</v>
      </c>
      <c r="P6" t="s">
        <v>20</v>
      </c>
      <c r="Q6">
        <f>(VALUE(LEFT(SUBSTITUTE(O6,"T"," "),23)) - VALUE(LEFT(SUBSTITUTE(N6,"T"," "),23))) * 86400</f>
        <v>251.74299997743219</v>
      </c>
      <c r="R6">
        <f>I6/G6</f>
        <v>3.8750678136867396E-2</v>
      </c>
      <c r="S6">
        <f>H6/G6</f>
        <v>0.46500813764240873</v>
      </c>
    </row>
    <row r="7" spans="1:24" hidden="1" x14ac:dyDescent="0.2">
      <c r="A7">
        <v>17</v>
      </c>
      <c r="B7" t="s">
        <v>21</v>
      </c>
      <c r="C7">
        <v>15</v>
      </c>
      <c r="D7">
        <v>1</v>
      </c>
      <c r="E7">
        <v>1000</v>
      </c>
      <c r="F7" t="b">
        <v>1</v>
      </c>
      <c r="G7">
        <v>82.272000000000006</v>
      </c>
      <c r="H7">
        <v>29</v>
      </c>
      <c r="I7">
        <v>7</v>
      </c>
      <c r="J7">
        <v>1.74</v>
      </c>
      <c r="K7" t="s">
        <v>68</v>
      </c>
      <c r="L7">
        <v>0</v>
      </c>
      <c r="N7" t="s">
        <v>69</v>
      </c>
      <c r="O7" t="s">
        <v>70</v>
      </c>
      <c r="P7" t="s">
        <v>20</v>
      </c>
      <c r="Q7">
        <f>(VALUE(LEFT(SUBSTITUTE(O7,"T"," "),23)) - VALUE(LEFT(SUBSTITUTE(N7,"T"," "),23))) * 86400</f>
        <v>347.47200007550418</v>
      </c>
      <c r="R7">
        <f>I7/G7</f>
        <v>8.5083625048619202E-2</v>
      </c>
      <c r="S7">
        <f>H7/G7</f>
        <v>0.35248930377285098</v>
      </c>
    </row>
    <row r="8" spans="1:24" hidden="1" x14ac:dyDescent="0.2">
      <c r="A8">
        <v>20</v>
      </c>
      <c r="B8" t="s">
        <v>21</v>
      </c>
      <c r="C8">
        <v>20</v>
      </c>
      <c r="D8">
        <v>1</v>
      </c>
      <c r="E8">
        <v>1000</v>
      </c>
      <c r="F8" t="b">
        <v>1</v>
      </c>
      <c r="G8">
        <v>60.572000000000003</v>
      </c>
      <c r="H8">
        <v>27</v>
      </c>
      <c r="I8">
        <v>8</v>
      </c>
      <c r="J8">
        <v>2.82</v>
      </c>
      <c r="K8" t="s">
        <v>77</v>
      </c>
      <c r="L8">
        <v>0</v>
      </c>
      <c r="N8" t="s">
        <v>78</v>
      </c>
      <c r="O8" t="s">
        <v>79</v>
      </c>
      <c r="P8" t="s">
        <v>20</v>
      </c>
      <c r="Q8">
        <f>(VALUE(LEFT(SUBSTITUTE(O8,"T"," "),23)) - VALUE(LEFT(SUBSTITUTE(N8,"T"," "),23))) * 86400</f>
        <v>278.10899997130036</v>
      </c>
      <c r="R8">
        <f>I8/G8</f>
        <v>0.13207422571485175</v>
      </c>
      <c r="S8">
        <f>H8/G8</f>
        <v>0.44575051178762465</v>
      </c>
    </row>
    <row r="9" spans="1:24" hidden="1" x14ac:dyDescent="0.2">
      <c r="A9">
        <v>23</v>
      </c>
      <c r="B9" t="s">
        <v>21</v>
      </c>
      <c r="C9">
        <v>50</v>
      </c>
      <c r="D9">
        <v>1</v>
      </c>
      <c r="E9">
        <v>1000</v>
      </c>
      <c r="F9" t="b">
        <v>1</v>
      </c>
      <c r="G9">
        <v>64.988</v>
      </c>
      <c r="H9">
        <v>25</v>
      </c>
      <c r="I9">
        <v>9</v>
      </c>
      <c r="J9">
        <v>1.74</v>
      </c>
      <c r="K9" t="s">
        <v>86</v>
      </c>
      <c r="L9">
        <v>0</v>
      </c>
      <c r="N9" t="s">
        <v>87</v>
      </c>
      <c r="O9" t="s">
        <v>88</v>
      </c>
      <c r="P9" t="s">
        <v>20</v>
      </c>
      <c r="Q9">
        <f>(VALUE(LEFT(SUBSTITUTE(O9,"T"," "),23)) - VALUE(LEFT(SUBSTITUTE(N9,"T"," "),23))) * 86400</f>
        <v>266.25100001692772</v>
      </c>
      <c r="R9">
        <f>I9/G9</f>
        <v>0.13848710531174988</v>
      </c>
      <c r="S9">
        <f>H9/G9</f>
        <v>0.38468640364374962</v>
      </c>
    </row>
    <row r="10" spans="1:24" hidden="1" x14ac:dyDescent="0.2">
      <c r="A10">
        <v>26</v>
      </c>
      <c r="B10" t="s">
        <v>21</v>
      </c>
      <c r="C10">
        <v>70</v>
      </c>
      <c r="D10">
        <v>1</v>
      </c>
      <c r="E10">
        <v>1000</v>
      </c>
      <c r="F10" t="b">
        <v>1</v>
      </c>
      <c r="G10">
        <v>60.932000000000002</v>
      </c>
      <c r="H10">
        <v>27</v>
      </c>
      <c r="I10">
        <v>1</v>
      </c>
      <c r="J10">
        <v>0.06</v>
      </c>
      <c r="K10" t="s">
        <v>95</v>
      </c>
      <c r="L10">
        <v>0</v>
      </c>
      <c r="N10" t="s">
        <v>96</v>
      </c>
      <c r="O10" t="s">
        <v>97</v>
      </c>
      <c r="P10" t="s">
        <v>20</v>
      </c>
      <c r="Q10">
        <f>(VALUE(LEFT(SUBSTITUTE(O10,"T"," "),23)) - VALUE(LEFT(SUBSTITUTE(N10,"T"," "),23))) * 86400</f>
        <v>248.39600042905658</v>
      </c>
      <c r="R10">
        <f>I10/G10</f>
        <v>1.6411737674785005E-2</v>
      </c>
      <c r="S10">
        <f>H10/G10</f>
        <v>0.44311691721919516</v>
      </c>
    </row>
    <row r="11" spans="1:24" hidden="1" x14ac:dyDescent="0.2">
      <c r="A11">
        <v>29</v>
      </c>
      <c r="B11" t="s">
        <v>21</v>
      </c>
      <c r="C11">
        <v>100</v>
      </c>
      <c r="D11">
        <v>1</v>
      </c>
      <c r="E11">
        <v>1000</v>
      </c>
      <c r="F11" t="b">
        <v>1</v>
      </c>
      <c r="G11">
        <v>57.68</v>
      </c>
      <c r="H11">
        <v>25</v>
      </c>
      <c r="I11">
        <v>6</v>
      </c>
      <c r="J11">
        <v>1.2</v>
      </c>
      <c r="K11" t="s">
        <v>104</v>
      </c>
      <c r="L11">
        <v>0</v>
      </c>
      <c r="N11" t="s">
        <v>105</v>
      </c>
      <c r="O11" t="s">
        <v>106</v>
      </c>
      <c r="P11" t="s">
        <v>20</v>
      </c>
      <c r="Q11">
        <f>(VALUE(LEFT(SUBSTITUTE(O11,"T"," "),23)) - VALUE(LEFT(SUBSTITUTE(N11,"T"," "),23))) * 86400</f>
        <v>290.53900006692857</v>
      </c>
      <c r="R11">
        <f>I11/G11</f>
        <v>0.10402219140083217</v>
      </c>
      <c r="S11">
        <f>H11/G11</f>
        <v>0.43342579750346744</v>
      </c>
    </row>
    <row r="12" spans="1:24" hidden="1" x14ac:dyDescent="0.2">
      <c r="A12">
        <v>57</v>
      </c>
      <c r="B12" t="s">
        <v>25</v>
      </c>
      <c r="C12">
        <v>-1</v>
      </c>
      <c r="D12">
        <v>3</v>
      </c>
      <c r="E12">
        <v>1014</v>
      </c>
      <c r="F12" t="b">
        <v>1</v>
      </c>
      <c r="G12">
        <v>27.268000000000001</v>
      </c>
      <c r="H12">
        <v>30</v>
      </c>
      <c r="I12">
        <v>6</v>
      </c>
      <c r="J12">
        <v>5.58</v>
      </c>
      <c r="K12" t="s">
        <v>1144</v>
      </c>
      <c r="L12">
        <v>0</v>
      </c>
      <c r="N12" t="s">
        <v>1145</v>
      </c>
      <c r="O12" t="s">
        <v>1146</v>
      </c>
      <c r="P12" t="s">
        <v>20</v>
      </c>
      <c r="Q12">
        <f>(VALUE(LEFT(SUBSTITUTE(O12,"T"," "),23)) - VALUE(LEFT(SUBSTITUTE(N12,"T"," "),23))) * 86400</f>
        <v>134.9839999107644</v>
      </c>
      <c r="R12">
        <f>I12/G12</f>
        <v>0.220038139944257</v>
      </c>
      <c r="S12">
        <f>H12/G12</f>
        <v>1.1001906997212849</v>
      </c>
    </row>
    <row r="13" spans="1:24" hidden="1" x14ac:dyDescent="0.2">
      <c r="A13">
        <v>6</v>
      </c>
      <c r="B13" t="s">
        <v>25</v>
      </c>
      <c r="C13">
        <v>0</v>
      </c>
      <c r="D13">
        <v>1</v>
      </c>
      <c r="E13">
        <v>1000</v>
      </c>
      <c r="F13" t="b">
        <v>1</v>
      </c>
      <c r="G13">
        <v>44.78</v>
      </c>
      <c r="H13">
        <v>31</v>
      </c>
      <c r="I13">
        <v>3</v>
      </c>
      <c r="J13">
        <v>1.8</v>
      </c>
      <c r="K13" t="s">
        <v>35</v>
      </c>
      <c r="L13">
        <v>0</v>
      </c>
      <c r="N13" t="s">
        <v>36</v>
      </c>
      <c r="O13" t="s">
        <v>37</v>
      </c>
      <c r="P13" t="s">
        <v>20</v>
      </c>
      <c r="Q13">
        <f>(VALUE(LEFT(SUBSTITUTE(O13,"T"," "),23)) - VALUE(LEFT(SUBSTITUTE(N13,"T"," "),23))) * 86400</f>
        <v>206.11300016753376</v>
      </c>
      <c r="R13">
        <f>I13/G13</f>
        <v>6.6994193836534169E-2</v>
      </c>
      <c r="S13">
        <f>H13/G13</f>
        <v>0.69227333631085308</v>
      </c>
    </row>
    <row r="14" spans="1:24" x14ac:dyDescent="0.2">
      <c r="A14">
        <v>34</v>
      </c>
      <c r="B14" t="s">
        <v>16</v>
      </c>
      <c r="C14">
        <v>2</v>
      </c>
      <c r="D14">
        <v>2</v>
      </c>
      <c r="E14">
        <v>1008</v>
      </c>
      <c r="F14" t="b">
        <v>1</v>
      </c>
      <c r="G14">
        <v>127.996</v>
      </c>
      <c r="H14">
        <v>22</v>
      </c>
      <c r="I14">
        <v>5</v>
      </c>
      <c r="J14">
        <v>1.74</v>
      </c>
      <c r="K14" t="s">
        <v>1863</v>
      </c>
      <c r="L14">
        <v>0</v>
      </c>
      <c r="N14" t="s">
        <v>1864</v>
      </c>
      <c r="O14" t="s">
        <v>1865</v>
      </c>
      <c r="P14" t="s">
        <v>20</v>
      </c>
      <c r="Q14">
        <f>(VALUE(LEFT(SUBSTITUTE(O14,"T"," "),23)) - VALUE(LEFT(SUBSTITUTE(N14,"T"," "),23))) * 86400</f>
        <v>260.72699998039752</v>
      </c>
      <c r="R14">
        <f>I14/G14</f>
        <v>3.9063720741273164E-2</v>
      </c>
      <c r="S14">
        <f>H14/G14</f>
        <v>0.17188037126160194</v>
      </c>
    </row>
    <row r="15" spans="1:24" hidden="1" x14ac:dyDescent="0.2">
      <c r="A15">
        <v>12</v>
      </c>
      <c r="B15" t="s">
        <v>25</v>
      </c>
      <c r="C15">
        <v>5</v>
      </c>
      <c r="D15">
        <v>1</v>
      </c>
      <c r="E15">
        <v>1000</v>
      </c>
      <c r="F15" t="b">
        <v>1</v>
      </c>
      <c r="G15">
        <v>59.375999999999998</v>
      </c>
      <c r="H15">
        <v>29</v>
      </c>
      <c r="I15">
        <v>4</v>
      </c>
      <c r="J15">
        <v>1.38</v>
      </c>
      <c r="K15" t="s">
        <v>53</v>
      </c>
      <c r="L15">
        <v>0</v>
      </c>
      <c r="N15" t="s">
        <v>54</v>
      </c>
      <c r="O15" t="s">
        <v>55</v>
      </c>
      <c r="P15" t="s">
        <v>20</v>
      </c>
      <c r="Q15">
        <f>(VALUE(LEFT(SUBSTITUTE(O15,"T"," "),23)) - VALUE(LEFT(SUBSTITUTE(N15,"T"," "),23))) * 86400</f>
        <v>242.80600044876337</v>
      </c>
      <c r="R15">
        <f>I15/G15</f>
        <v>6.7367286445701974E-2</v>
      </c>
      <c r="S15">
        <f>H15/G15</f>
        <v>0.48841282673133929</v>
      </c>
    </row>
    <row r="16" spans="1:24" hidden="1" x14ac:dyDescent="0.2">
      <c r="A16">
        <v>15</v>
      </c>
      <c r="B16" t="s">
        <v>25</v>
      </c>
      <c r="C16">
        <v>10</v>
      </c>
      <c r="D16">
        <v>1</v>
      </c>
      <c r="E16">
        <v>1000</v>
      </c>
      <c r="F16" t="b">
        <v>1</v>
      </c>
      <c r="G16">
        <v>60.28</v>
      </c>
      <c r="H16">
        <v>30</v>
      </c>
      <c r="I16">
        <v>2</v>
      </c>
      <c r="J16">
        <v>0.96</v>
      </c>
      <c r="K16" t="s">
        <v>62</v>
      </c>
      <c r="L16">
        <v>0</v>
      </c>
      <c r="N16" t="s">
        <v>63</v>
      </c>
      <c r="O16" t="s">
        <v>64</v>
      </c>
      <c r="P16" t="s">
        <v>20</v>
      </c>
      <c r="Q16">
        <f>(VALUE(LEFT(SUBSTITUTE(O16,"T"," "),23)) - VALUE(LEFT(SUBSTITUTE(N16,"T"," "),23))) * 86400</f>
        <v>174.14299969095737</v>
      </c>
      <c r="R16">
        <f>I16/G16</f>
        <v>3.3178500331785002E-2</v>
      </c>
      <c r="S16">
        <f>H16/G16</f>
        <v>0.49767750497677504</v>
      </c>
    </row>
    <row r="17" spans="1:19" hidden="1" x14ac:dyDescent="0.2">
      <c r="A17">
        <v>18</v>
      </c>
      <c r="B17" t="s">
        <v>25</v>
      </c>
      <c r="C17">
        <v>15</v>
      </c>
      <c r="D17">
        <v>1</v>
      </c>
      <c r="E17">
        <v>1000</v>
      </c>
      <c r="F17" t="b">
        <v>1</v>
      </c>
      <c r="G17">
        <v>46.42</v>
      </c>
      <c r="H17">
        <v>29</v>
      </c>
      <c r="I17">
        <v>4</v>
      </c>
      <c r="J17">
        <v>2.04</v>
      </c>
      <c r="K17" t="s">
        <v>71</v>
      </c>
      <c r="L17">
        <v>0</v>
      </c>
      <c r="N17" t="s">
        <v>72</v>
      </c>
      <c r="O17" t="s">
        <v>73</v>
      </c>
      <c r="P17" t="s">
        <v>20</v>
      </c>
      <c r="Q17">
        <f>(VALUE(LEFT(SUBSTITUTE(O17,"T"," "),23)) - VALUE(LEFT(SUBSTITUTE(N17,"T"," "),23))) * 86400</f>
        <v>137.16199994087219</v>
      </c>
      <c r="R17">
        <f>I17/G17</f>
        <v>8.6169754416199909E-2</v>
      </c>
      <c r="S17">
        <f>H17/G17</f>
        <v>0.62473071951744941</v>
      </c>
    </row>
    <row r="18" spans="1:19" hidden="1" x14ac:dyDescent="0.2">
      <c r="A18">
        <v>21</v>
      </c>
      <c r="B18" t="s">
        <v>25</v>
      </c>
      <c r="C18">
        <v>20</v>
      </c>
      <c r="D18">
        <v>1</v>
      </c>
      <c r="E18">
        <v>1000</v>
      </c>
      <c r="F18" t="b">
        <v>1</v>
      </c>
      <c r="G18">
        <v>47.131999999999998</v>
      </c>
      <c r="H18">
        <v>27</v>
      </c>
      <c r="I18">
        <v>2</v>
      </c>
      <c r="J18">
        <v>0.84</v>
      </c>
      <c r="K18" t="s">
        <v>80</v>
      </c>
      <c r="L18">
        <v>0</v>
      </c>
      <c r="N18" t="s">
        <v>81</v>
      </c>
      <c r="O18" t="s">
        <v>82</v>
      </c>
      <c r="P18" t="s">
        <v>20</v>
      </c>
      <c r="Q18">
        <f>(VALUE(LEFT(SUBSTITUTE(O18,"T"," "),23)) - VALUE(LEFT(SUBSTITUTE(N18,"T"," "),23))) * 86400</f>
        <v>209.88200004212558</v>
      </c>
      <c r="R18">
        <f>I18/G18</f>
        <v>4.2434015106509383E-2</v>
      </c>
      <c r="S18">
        <f>H18/G18</f>
        <v>0.57285920393787659</v>
      </c>
    </row>
    <row r="19" spans="1:19" hidden="1" x14ac:dyDescent="0.2">
      <c r="A19">
        <v>24</v>
      </c>
      <c r="B19" t="s">
        <v>25</v>
      </c>
      <c r="C19">
        <v>50</v>
      </c>
      <c r="D19">
        <v>1</v>
      </c>
      <c r="E19">
        <v>1000</v>
      </c>
      <c r="F19" t="b">
        <v>1</v>
      </c>
      <c r="G19">
        <v>46.915999999999997</v>
      </c>
      <c r="H19">
        <v>27</v>
      </c>
      <c r="I19">
        <v>3</v>
      </c>
      <c r="J19">
        <v>1.08</v>
      </c>
      <c r="K19" t="s">
        <v>89</v>
      </c>
      <c r="L19">
        <v>0</v>
      </c>
      <c r="N19" t="s">
        <v>90</v>
      </c>
      <c r="O19" t="s">
        <v>91</v>
      </c>
      <c r="P19" t="s">
        <v>20</v>
      </c>
      <c r="Q19">
        <f>(VALUE(LEFT(SUBSTITUTE(O19,"T"," "),23)) - VALUE(LEFT(SUBSTITUTE(N19,"T"," "),23))) * 86400</f>
        <v>205.84699942264706</v>
      </c>
      <c r="R19">
        <f>I19/G19</f>
        <v>6.3944070253218521E-2</v>
      </c>
      <c r="S19">
        <f>H19/G19</f>
        <v>0.57549663227896675</v>
      </c>
    </row>
    <row r="20" spans="1:19" hidden="1" x14ac:dyDescent="0.2">
      <c r="A20">
        <v>27</v>
      </c>
      <c r="B20" t="s">
        <v>25</v>
      </c>
      <c r="C20">
        <v>70</v>
      </c>
      <c r="D20">
        <v>1</v>
      </c>
      <c r="E20">
        <v>1000</v>
      </c>
      <c r="F20" t="b">
        <v>1</v>
      </c>
      <c r="G20">
        <v>48.444000000000003</v>
      </c>
      <c r="H20">
        <v>29</v>
      </c>
      <c r="I20">
        <v>11</v>
      </c>
      <c r="J20">
        <v>2.64</v>
      </c>
      <c r="K20" t="s">
        <v>98</v>
      </c>
      <c r="L20">
        <v>0</v>
      </c>
      <c r="N20" t="s">
        <v>99</v>
      </c>
      <c r="O20" t="s">
        <v>100</v>
      </c>
      <c r="P20" t="s">
        <v>20</v>
      </c>
      <c r="Q20">
        <f>(VALUE(LEFT(SUBSTITUTE(O20,"T"," "),23)) - VALUE(LEFT(SUBSTITUTE(N20,"T"," "),23))) * 86400</f>
        <v>237.62299949303269</v>
      </c>
      <c r="R20">
        <f>I20/G20</f>
        <v>0.22706630336058128</v>
      </c>
      <c r="S20">
        <f>H20/G20</f>
        <v>0.59862934522335065</v>
      </c>
    </row>
    <row r="21" spans="1:19" hidden="1" x14ac:dyDescent="0.2">
      <c r="A21">
        <v>30</v>
      </c>
      <c r="B21" t="s">
        <v>25</v>
      </c>
      <c r="C21">
        <v>100</v>
      </c>
      <c r="D21">
        <v>1</v>
      </c>
      <c r="E21">
        <v>1000</v>
      </c>
      <c r="F21" t="b">
        <v>1</v>
      </c>
      <c r="G21">
        <v>46.496000000000002</v>
      </c>
      <c r="H21">
        <v>31</v>
      </c>
      <c r="I21">
        <v>4</v>
      </c>
      <c r="J21">
        <v>2.04</v>
      </c>
      <c r="K21" t="s">
        <v>107</v>
      </c>
      <c r="L21">
        <v>0</v>
      </c>
      <c r="N21" t="s">
        <v>108</v>
      </c>
      <c r="O21" t="s">
        <v>109</v>
      </c>
      <c r="P21" t="s">
        <v>20</v>
      </c>
      <c r="Q21">
        <f>(VALUE(LEFT(SUBSTITUTE(O21,"T"," "),23)) - VALUE(LEFT(SUBSTITUTE(N21,"T"," "),23))) * 86400</f>
        <v>83.090000180527568</v>
      </c>
      <c r="R21">
        <f>I21/G21</f>
        <v>8.6028905712319331E-2</v>
      </c>
      <c r="S21">
        <f>H21/G21</f>
        <v>0.66672401927047487</v>
      </c>
    </row>
    <row r="22" spans="1:19" hidden="1" x14ac:dyDescent="0.2">
      <c r="A22">
        <v>41</v>
      </c>
      <c r="B22" t="s">
        <v>3414</v>
      </c>
      <c r="C22">
        <v>-1</v>
      </c>
      <c r="D22">
        <v>5</v>
      </c>
      <c r="E22">
        <v>1024</v>
      </c>
      <c r="F22" t="b">
        <v>1</v>
      </c>
      <c r="G22">
        <v>29.172000000000001</v>
      </c>
      <c r="H22">
        <v>31</v>
      </c>
      <c r="I22">
        <v>4</v>
      </c>
      <c r="J22">
        <v>6.24</v>
      </c>
      <c r="K22" t="s">
        <v>3802</v>
      </c>
      <c r="L22">
        <v>0</v>
      </c>
      <c r="N22" t="s">
        <v>3803</v>
      </c>
      <c r="O22" t="s">
        <v>3804</v>
      </c>
      <c r="P22" t="s">
        <v>20</v>
      </c>
      <c r="Q22">
        <f>(VALUE(LEFT(SUBSTITUTE(O22,"T"," "),23)) - VALUE(LEFT(SUBSTITUTE(N22,"T"," "),23))) * 86400</f>
        <v>141.46499976050109</v>
      </c>
      <c r="R22">
        <f>I22/G22</f>
        <v>0.13711778417660769</v>
      </c>
      <c r="S22">
        <f>H22/G22</f>
        <v>1.0626628273687098</v>
      </c>
    </row>
    <row r="23" spans="1:19" hidden="1" x14ac:dyDescent="0.2">
      <c r="A23">
        <v>4</v>
      </c>
      <c r="B23" t="s">
        <v>16</v>
      </c>
      <c r="C23">
        <v>0</v>
      </c>
      <c r="D23">
        <v>1</v>
      </c>
      <c r="E23">
        <v>1000</v>
      </c>
      <c r="F23" t="b">
        <v>1</v>
      </c>
      <c r="G23">
        <v>120.78400000000001</v>
      </c>
      <c r="H23">
        <v>25</v>
      </c>
      <c r="I23">
        <v>1</v>
      </c>
      <c r="J23">
        <v>0.9</v>
      </c>
      <c r="K23" t="s">
        <v>29</v>
      </c>
      <c r="L23">
        <v>0</v>
      </c>
      <c r="N23" t="s">
        <v>30</v>
      </c>
      <c r="O23" t="s">
        <v>31</v>
      </c>
      <c r="P23" t="s">
        <v>20</v>
      </c>
      <c r="Q23">
        <f>(VALUE(LEFT(SUBSTITUTE(O23,"T"," "),23)) - VALUE(LEFT(SUBSTITUTE(N23,"T"," "),23))) * 86400</f>
        <v>466.84199986048043</v>
      </c>
      <c r="R23">
        <f>I23/G23</f>
        <v>8.2792422837461906E-3</v>
      </c>
      <c r="S23">
        <f>H23/G23</f>
        <v>0.20698105709365477</v>
      </c>
    </row>
    <row r="24" spans="1:19" x14ac:dyDescent="0.2">
      <c r="A24">
        <v>7</v>
      </c>
      <c r="B24" t="s">
        <v>16</v>
      </c>
      <c r="C24">
        <v>2</v>
      </c>
      <c r="D24">
        <v>1</v>
      </c>
      <c r="E24">
        <v>1007</v>
      </c>
      <c r="F24" t="b">
        <v>1</v>
      </c>
      <c r="G24">
        <v>127.20399999999999</v>
      </c>
      <c r="H24">
        <v>22</v>
      </c>
      <c r="I24">
        <v>6</v>
      </c>
      <c r="J24">
        <v>2.52</v>
      </c>
      <c r="K24" t="s">
        <v>954</v>
      </c>
      <c r="L24">
        <v>0</v>
      </c>
      <c r="N24" t="s">
        <v>1804</v>
      </c>
      <c r="O24" t="s">
        <v>1805</v>
      </c>
      <c r="P24" t="s">
        <v>20</v>
      </c>
      <c r="Q24">
        <f>(VALUE(LEFT(SUBSTITUTE(O24,"T"," "),23)) - VALUE(LEFT(SUBSTITUTE(N24,"T"," "),23))) * 86400</f>
        <v>508.69000009261072</v>
      </c>
      <c r="R24">
        <f>I24/G24</f>
        <v>4.7168328039998743E-2</v>
      </c>
      <c r="S24">
        <f>H24/G24</f>
        <v>0.17295053614666206</v>
      </c>
    </row>
    <row r="25" spans="1:19" hidden="1" x14ac:dyDescent="0.2">
      <c r="A25">
        <v>10</v>
      </c>
      <c r="B25" t="s">
        <v>16</v>
      </c>
      <c r="C25">
        <v>5</v>
      </c>
      <c r="D25">
        <v>1</v>
      </c>
      <c r="E25">
        <v>1000</v>
      </c>
      <c r="F25" t="b">
        <v>1</v>
      </c>
      <c r="G25">
        <v>103.596</v>
      </c>
      <c r="H25">
        <v>25</v>
      </c>
      <c r="I25">
        <v>4</v>
      </c>
      <c r="J25">
        <v>0.36</v>
      </c>
      <c r="K25" t="s">
        <v>47</v>
      </c>
      <c r="L25">
        <v>0</v>
      </c>
      <c r="N25" t="s">
        <v>48</v>
      </c>
      <c r="O25" t="s">
        <v>49</v>
      </c>
      <c r="P25" t="s">
        <v>20</v>
      </c>
      <c r="Q25">
        <f>(VALUE(LEFT(SUBSTITUTE(O25,"T"," "),23)) - VALUE(LEFT(SUBSTITUTE(N25,"T"," "),23))) * 86400</f>
        <v>475.89400014840066</v>
      </c>
      <c r="R25">
        <f>I25/G25</f>
        <v>3.8611529402679638E-2</v>
      </c>
      <c r="S25">
        <f>H25/G25</f>
        <v>0.24132205876674775</v>
      </c>
    </row>
    <row r="26" spans="1:19" hidden="1" x14ac:dyDescent="0.2">
      <c r="A26">
        <v>13</v>
      </c>
      <c r="B26" t="s">
        <v>16</v>
      </c>
      <c r="C26">
        <v>10</v>
      </c>
      <c r="D26">
        <v>1</v>
      </c>
      <c r="E26">
        <v>1000</v>
      </c>
      <c r="F26" t="b">
        <v>1</v>
      </c>
      <c r="G26">
        <v>87.275999999999996</v>
      </c>
      <c r="H26">
        <v>26</v>
      </c>
      <c r="I26">
        <v>4</v>
      </c>
      <c r="J26">
        <v>2.04</v>
      </c>
      <c r="K26" t="s">
        <v>56</v>
      </c>
      <c r="L26">
        <v>0</v>
      </c>
      <c r="N26" t="s">
        <v>57</v>
      </c>
      <c r="O26" t="s">
        <v>58</v>
      </c>
      <c r="P26" t="s">
        <v>20</v>
      </c>
      <c r="Q26">
        <f>(VALUE(LEFT(SUBSTITUTE(O26,"T"," "),23)) - VALUE(LEFT(SUBSTITUTE(N26,"T"," "),23))) * 86400</f>
        <v>377.99700046889484</v>
      </c>
      <c r="R26">
        <f>I26/G26</f>
        <v>4.5831614647784041E-2</v>
      </c>
      <c r="S26">
        <f>H26/G26</f>
        <v>0.29790549521059628</v>
      </c>
    </row>
    <row r="27" spans="1:19" hidden="1" x14ac:dyDescent="0.2">
      <c r="A27">
        <v>16</v>
      </c>
      <c r="B27" t="s">
        <v>16</v>
      </c>
      <c r="C27">
        <v>15</v>
      </c>
      <c r="D27">
        <v>1</v>
      </c>
      <c r="E27">
        <v>1000</v>
      </c>
      <c r="F27" t="b">
        <v>1</v>
      </c>
      <c r="G27">
        <v>84.975999999999999</v>
      </c>
      <c r="H27">
        <v>25</v>
      </c>
      <c r="I27">
        <v>12</v>
      </c>
      <c r="J27">
        <v>2.2200000000000002</v>
      </c>
      <c r="K27" t="s">
        <v>65</v>
      </c>
      <c r="L27">
        <v>0</v>
      </c>
      <c r="N27" t="s">
        <v>66</v>
      </c>
      <c r="O27" t="s">
        <v>67</v>
      </c>
      <c r="P27" t="s">
        <v>20</v>
      </c>
      <c r="Q27">
        <f>(VALUE(LEFT(SUBSTITUTE(O27,"T"," "),23)) - VALUE(LEFT(SUBSTITUTE(N27,"T"," "),23))) * 86400</f>
        <v>317.12799975648522</v>
      </c>
      <c r="R27">
        <f>I27/G27</f>
        <v>0.14121634343814723</v>
      </c>
      <c r="S27">
        <f>H27/G27</f>
        <v>0.29420071549614008</v>
      </c>
    </row>
    <row r="28" spans="1:19" hidden="1" x14ac:dyDescent="0.2">
      <c r="A28">
        <v>19</v>
      </c>
      <c r="B28" t="s">
        <v>16</v>
      </c>
      <c r="C28">
        <v>20</v>
      </c>
      <c r="D28">
        <v>1</v>
      </c>
      <c r="E28">
        <v>1000</v>
      </c>
      <c r="F28" t="b">
        <v>1</v>
      </c>
      <c r="G28">
        <v>52.332000000000001</v>
      </c>
      <c r="H28">
        <v>28</v>
      </c>
      <c r="I28">
        <v>0</v>
      </c>
      <c r="J28">
        <v>0</v>
      </c>
      <c r="K28" t="s">
        <v>74</v>
      </c>
      <c r="L28">
        <v>0</v>
      </c>
      <c r="N28" t="s">
        <v>75</v>
      </c>
      <c r="O28" t="s">
        <v>76</v>
      </c>
      <c r="P28" t="s">
        <v>20</v>
      </c>
      <c r="Q28">
        <f>(VALUE(LEFT(SUBSTITUTE(O28,"T"," "),23)) - VALUE(LEFT(SUBSTITUTE(N28,"T"," "),23))) * 86400</f>
        <v>181.71800009440631</v>
      </c>
      <c r="R28">
        <f>I28/G28</f>
        <v>0</v>
      </c>
      <c r="S28">
        <f>H28/G28</f>
        <v>0.53504547886570353</v>
      </c>
    </row>
    <row r="29" spans="1:19" hidden="1" x14ac:dyDescent="0.2">
      <c r="A29">
        <v>22</v>
      </c>
      <c r="B29" t="s">
        <v>16</v>
      </c>
      <c r="C29">
        <v>50</v>
      </c>
      <c r="D29">
        <v>1</v>
      </c>
      <c r="E29">
        <v>1000</v>
      </c>
      <c r="F29" t="b">
        <v>1</v>
      </c>
      <c r="G29">
        <v>49.46</v>
      </c>
      <c r="H29">
        <v>29</v>
      </c>
      <c r="I29">
        <v>4</v>
      </c>
      <c r="J29">
        <v>0.72</v>
      </c>
      <c r="K29" t="s">
        <v>83</v>
      </c>
      <c r="L29">
        <v>0</v>
      </c>
      <c r="N29" t="s">
        <v>84</v>
      </c>
      <c r="O29" t="s">
        <v>85</v>
      </c>
      <c r="P29" t="s">
        <v>20</v>
      </c>
      <c r="Q29">
        <f>(VALUE(LEFT(SUBSTITUTE(O29,"T"," "),23)) - VALUE(LEFT(SUBSTITUTE(N29,"T"," "),23))) * 86400</f>
        <v>258.34700006525964</v>
      </c>
      <c r="R29">
        <f>I29/G29</f>
        <v>8.087343307723413E-2</v>
      </c>
      <c r="S29">
        <f>H29/G29</f>
        <v>0.5863323898099474</v>
      </c>
    </row>
    <row r="30" spans="1:19" hidden="1" x14ac:dyDescent="0.2">
      <c r="A30">
        <v>25</v>
      </c>
      <c r="B30" t="s">
        <v>16</v>
      </c>
      <c r="C30">
        <v>70</v>
      </c>
      <c r="D30">
        <v>1</v>
      </c>
      <c r="E30">
        <v>1000</v>
      </c>
      <c r="F30" t="b">
        <v>1</v>
      </c>
      <c r="G30">
        <v>48.404000000000003</v>
      </c>
      <c r="H30">
        <v>31</v>
      </c>
      <c r="I30">
        <v>6</v>
      </c>
      <c r="J30">
        <v>1.44</v>
      </c>
      <c r="K30" t="s">
        <v>92</v>
      </c>
      <c r="L30">
        <v>0</v>
      </c>
      <c r="N30" t="s">
        <v>93</v>
      </c>
      <c r="O30" t="s">
        <v>94</v>
      </c>
      <c r="P30" t="s">
        <v>20</v>
      </c>
      <c r="Q30">
        <f>(VALUE(LEFT(SUBSTITUTE(O30,"T"," "),23)) - VALUE(LEFT(SUBSTITUTE(N30,"T"," "),23))) * 86400</f>
        <v>218.81399997510016</v>
      </c>
      <c r="R30">
        <f>I30/G30</f>
        <v>0.12395669779357077</v>
      </c>
      <c r="S30">
        <f>H30/G30</f>
        <v>0.6404429386001157</v>
      </c>
    </row>
    <row r="31" spans="1:19" hidden="1" x14ac:dyDescent="0.2">
      <c r="A31">
        <v>28</v>
      </c>
      <c r="B31" t="s">
        <v>16</v>
      </c>
      <c r="C31">
        <v>100</v>
      </c>
      <c r="D31">
        <v>1</v>
      </c>
      <c r="E31">
        <v>1000</v>
      </c>
      <c r="F31" t="b">
        <v>1</v>
      </c>
      <c r="G31">
        <v>62.155999999999999</v>
      </c>
      <c r="H31">
        <v>29</v>
      </c>
      <c r="I31">
        <v>9</v>
      </c>
      <c r="J31">
        <v>2.16</v>
      </c>
      <c r="K31" t="s">
        <v>101</v>
      </c>
      <c r="L31">
        <v>0</v>
      </c>
      <c r="N31" t="s">
        <v>102</v>
      </c>
      <c r="O31" t="s">
        <v>103</v>
      </c>
      <c r="P31" t="s">
        <v>20</v>
      </c>
      <c r="Q31">
        <f>(VALUE(LEFT(SUBSTITUTE(O31,"T"," "),23)) - VALUE(LEFT(SUBSTITUTE(N31,"T"," "),23))) * 86400</f>
        <v>272.65499993227422</v>
      </c>
      <c r="R31">
        <f>I31/G31</f>
        <v>0.14479696248149818</v>
      </c>
      <c r="S31">
        <f>H31/G31</f>
        <v>0.46656799021816076</v>
      </c>
    </row>
    <row r="32" spans="1:19" hidden="1" x14ac:dyDescent="0.2">
      <c r="A32">
        <v>111</v>
      </c>
      <c r="B32" t="s">
        <v>25</v>
      </c>
      <c r="C32">
        <v>-1</v>
      </c>
      <c r="D32">
        <v>5</v>
      </c>
      <c r="E32">
        <v>1026</v>
      </c>
      <c r="F32" t="b">
        <v>1</v>
      </c>
      <c r="G32">
        <v>30.44</v>
      </c>
      <c r="H32">
        <v>31</v>
      </c>
      <c r="I32">
        <v>5</v>
      </c>
      <c r="J32">
        <v>5.88</v>
      </c>
      <c r="K32" t="s">
        <v>1727</v>
      </c>
      <c r="L32">
        <v>0</v>
      </c>
      <c r="N32" t="s">
        <v>1728</v>
      </c>
      <c r="O32" t="s">
        <v>1729</v>
      </c>
      <c r="P32" t="s">
        <v>20</v>
      </c>
      <c r="Q32">
        <f>(VALUE(LEFT(SUBSTITUTE(O32,"T"," "),23)) - VALUE(LEFT(SUBSTITUTE(N32,"T"," "),23))) * 86400</f>
        <v>133.04599996190518</v>
      </c>
      <c r="R32">
        <f>I32/G32</f>
        <v>0.16425755584756899</v>
      </c>
      <c r="S32">
        <f>H32/G32</f>
        <v>1.0183968462549278</v>
      </c>
    </row>
    <row r="33" spans="1:19" hidden="1" x14ac:dyDescent="0.2">
      <c r="A33" s="1">
        <v>5</v>
      </c>
      <c r="B33" s="1" t="s">
        <v>21</v>
      </c>
      <c r="C33" s="1">
        <v>0</v>
      </c>
      <c r="D33" s="1">
        <v>1</v>
      </c>
      <c r="E33" s="1">
        <v>1001</v>
      </c>
      <c r="F33" s="1" t="b">
        <v>1</v>
      </c>
      <c r="G33" s="1">
        <v>53.328000000000003</v>
      </c>
      <c r="H33" s="1">
        <v>29</v>
      </c>
      <c r="I33" s="1">
        <v>2</v>
      </c>
      <c r="J33" s="1">
        <v>1.44</v>
      </c>
      <c r="K33" s="1" t="s">
        <v>302</v>
      </c>
      <c r="L33" s="1">
        <v>0</v>
      </c>
      <c r="M33" s="1"/>
      <c r="N33" s="1" t="s">
        <v>303</v>
      </c>
      <c r="O33" s="1" t="s">
        <v>304</v>
      </c>
      <c r="P33" s="1" t="s">
        <v>20</v>
      </c>
      <c r="Q33">
        <f>(VALUE(LEFT(SUBSTITUTE(O33,"T"," "),23)) - VALUE(LEFT(SUBSTITUTE(N33,"T"," "),23))) * 86400</f>
        <v>281.54000001959503</v>
      </c>
      <c r="R33">
        <f>I33/G33</f>
        <v>3.7503750375037503E-2</v>
      </c>
      <c r="S33">
        <f>H33/G33</f>
        <v>0.5438043804380438</v>
      </c>
    </row>
    <row r="34" spans="1:19" x14ac:dyDescent="0.2">
      <c r="A34">
        <v>8</v>
      </c>
      <c r="B34" t="s">
        <v>21</v>
      </c>
      <c r="C34">
        <v>2</v>
      </c>
      <c r="D34">
        <v>1</v>
      </c>
      <c r="E34">
        <v>1002</v>
      </c>
      <c r="F34" t="b">
        <v>1</v>
      </c>
      <c r="G34">
        <v>147.852</v>
      </c>
      <c r="H34">
        <v>26</v>
      </c>
      <c r="I34">
        <v>4</v>
      </c>
      <c r="J34">
        <v>1.62</v>
      </c>
      <c r="K34" t="s">
        <v>557</v>
      </c>
      <c r="L34">
        <v>0</v>
      </c>
      <c r="N34" t="s">
        <v>558</v>
      </c>
      <c r="O34" t="s">
        <v>559</v>
      </c>
      <c r="P34" t="s">
        <v>20</v>
      </c>
      <c r="Q34">
        <f>(VALUE(LEFT(SUBSTITUTE(O34,"T"," "),23)) - VALUE(LEFT(SUBSTITUTE(N34,"T"," "),23))) * 86400</f>
        <v>614.21199990436435</v>
      </c>
      <c r="R34">
        <f>I34/G34</f>
        <v>2.7054081108135161E-2</v>
      </c>
      <c r="S34">
        <f>H34/G34</f>
        <v>0.17585152720287855</v>
      </c>
    </row>
    <row r="35" spans="1:19" hidden="1" x14ac:dyDescent="0.2">
      <c r="A35" s="1">
        <v>11</v>
      </c>
      <c r="B35" s="1" t="s">
        <v>21</v>
      </c>
      <c r="C35" s="1">
        <v>5</v>
      </c>
      <c r="D35" s="1">
        <v>1</v>
      </c>
      <c r="E35" s="1">
        <v>1001</v>
      </c>
      <c r="F35" s="1" t="b">
        <v>1</v>
      </c>
      <c r="G35" s="1">
        <v>69.727999999999994</v>
      </c>
      <c r="H35" s="1">
        <v>24</v>
      </c>
      <c r="I35" s="1">
        <v>1</v>
      </c>
      <c r="J35" s="1">
        <v>0.12</v>
      </c>
      <c r="K35" s="1" t="s">
        <v>320</v>
      </c>
      <c r="L35" s="1">
        <v>0</v>
      </c>
      <c r="M35" s="1"/>
      <c r="N35" s="1" t="s">
        <v>321</v>
      </c>
      <c r="O35" s="1" t="s">
        <v>322</v>
      </c>
      <c r="P35" s="1" t="s">
        <v>20</v>
      </c>
      <c r="Q35">
        <f>(VALUE(LEFT(SUBSTITUTE(O35,"T"," "),23)) - VALUE(LEFT(SUBSTITUTE(N35,"T"," "),23))) * 86400</f>
        <v>325.79400020185858</v>
      </c>
      <c r="R35">
        <f>I35/G35</f>
        <v>1.4341441027994494E-2</v>
      </c>
      <c r="S35">
        <f>H35/G35</f>
        <v>0.34419458467186786</v>
      </c>
    </row>
    <row r="36" spans="1:19" hidden="1" x14ac:dyDescent="0.2">
      <c r="A36" s="1">
        <v>14</v>
      </c>
      <c r="B36" s="1" t="s">
        <v>21</v>
      </c>
      <c r="C36" s="1">
        <v>10</v>
      </c>
      <c r="D36" s="1">
        <v>1</v>
      </c>
      <c r="E36" s="1">
        <v>1001</v>
      </c>
      <c r="F36" s="1" t="b">
        <v>1</v>
      </c>
      <c r="G36" s="1">
        <v>82.927999999999997</v>
      </c>
      <c r="H36" s="1">
        <v>29</v>
      </c>
      <c r="I36" s="1">
        <v>7</v>
      </c>
      <c r="J36" s="1">
        <v>2.58</v>
      </c>
      <c r="K36" s="1" t="s">
        <v>329</v>
      </c>
      <c r="L36" s="1">
        <v>0</v>
      </c>
      <c r="M36" s="1"/>
      <c r="N36" s="1" t="s">
        <v>330</v>
      </c>
      <c r="O36" s="1" t="s">
        <v>331</v>
      </c>
      <c r="P36" s="1" t="s">
        <v>20</v>
      </c>
      <c r="Q36">
        <f>(VALUE(LEFT(SUBSTITUTE(O36,"T"," "),23)) - VALUE(LEFT(SUBSTITUTE(N36,"T"," "),23))) * 86400</f>
        <v>321.9409998273477</v>
      </c>
      <c r="R36">
        <f>I36/G36</f>
        <v>8.4410573027204325E-2</v>
      </c>
      <c r="S36">
        <f>H36/G36</f>
        <v>0.3497009453984179</v>
      </c>
    </row>
    <row r="37" spans="1:19" hidden="1" x14ac:dyDescent="0.2">
      <c r="A37" s="1">
        <v>17</v>
      </c>
      <c r="B37" s="1" t="s">
        <v>21</v>
      </c>
      <c r="C37" s="1">
        <v>15</v>
      </c>
      <c r="D37" s="1">
        <v>1</v>
      </c>
      <c r="E37" s="1">
        <v>1001</v>
      </c>
      <c r="F37" s="1" t="b">
        <v>1</v>
      </c>
      <c r="G37" s="1">
        <v>53.095999999999997</v>
      </c>
      <c r="H37" s="1">
        <v>27</v>
      </c>
      <c r="I37" s="1">
        <v>0</v>
      </c>
      <c r="J37" s="1">
        <v>0</v>
      </c>
      <c r="K37" s="1" t="s">
        <v>338</v>
      </c>
      <c r="L37" s="1">
        <v>0</v>
      </c>
      <c r="M37" s="1"/>
      <c r="N37" s="1" t="s">
        <v>339</v>
      </c>
      <c r="O37" s="1" t="s">
        <v>340</v>
      </c>
      <c r="P37" s="1" t="s">
        <v>20</v>
      </c>
      <c r="Q37">
        <f>(VALUE(LEFT(SUBSTITUTE(O37,"T"," "),23)) - VALUE(LEFT(SUBSTITUTE(N37,"T"," "),23))) * 86400</f>
        <v>291.86699967831373</v>
      </c>
      <c r="R37">
        <f>I37/G37</f>
        <v>0</v>
      </c>
      <c r="S37">
        <f>H37/G37</f>
        <v>0.50851288232635228</v>
      </c>
    </row>
    <row r="38" spans="1:19" hidden="1" x14ac:dyDescent="0.2">
      <c r="A38" s="1">
        <v>20</v>
      </c>
      <c r="B38" s="1" t="s">
        <v>21</v>
      </c>
      <c r="C38" s="1">
        <v>20</v>
      </c>
      <c r="D38" s="1">
        <v>1</v>
      </c>
      <c r="E38" s="1">
        <v>1001</v>
      </c>
      <c r="F38" s="1" t="b">
        <v>1</v>
      </c>
      <c r="G38" s="1">
        <v>132.74799999999999</v>
      </c>
      <c r="H38" s="1">
        <v>24</v>
      </c>
      <c r="I38" s="1">
        <v>28</v>
      </c>
      <c r="J38" s="1">
        <v>7.26</v>
      </c>
      <c r="K38" s="1" t="s">
        <v>347</v>
      </c>
      <c r="L38" s="1">
        <v>0</v>
      </c>
      <c r="M38" s="1"/>
      <c r="N38" s="1" t="s">
        <v>348</v>
      </c>
      <c r="O38" s="1" t="s">
        <v>349</v>
      </c>
      <c r="P38" s="1" t="s">
        <v>20</v>
      </c>
      <c r="Q38">
        <f>(VALUE(LEFT(SUBSTITUTE(O38,"T"," "),23)) - VALUE(LEFT(SUBSTITUTE(N38,"T"," "),23))) * 86400</f>
        <v>618.80900021642447</v>
      </c>
      <c r="R38">
        <f>I38/G38</f>
        <v>0.21092596498628982</v>
      </c>
      <c r="S38">
        <f>H38/G38</f>
        <v>0.1807936842739627</v>
      </c>
    </row>
    <row r="39" spans="1:19" hidden="1" x14ac:dyDescent="0.2">
      <c r="A39" s="1">
        <v>23</v>
      </c>
      <c r="B39" s="1" t="s">
        <v>21</v>
      </c>
      <c r="C39" s="1">
        <v>50</v>
      </c>
      <c r="D39" s="1">
        <v>1</v>
      </c>
      <c r="E39" s="1">
        <v>1001</v>
      </c>
      <c r="F39" s="1" t="b">
        <v>1</v>
      </c>
      <c r="G39" s="1">
        <v>59.616</v>
      </c>
      <c r="H39" s="1">
        <v>27</v>
      </c>
      <c r="I39" s="1">
        <v>12</v>
      </c>
      <c r="J39" s="1">
        <v>2.76</v>
      </c>
      <c r="K39" s="1" t="s">
        <v>356</v>
      </c>
      <c r="L39" s="1">
        <v>0</v>
      </c>
      <c r="M39" s="1"/>
      <c r="N39" s="1" t="s">
        <v>357</v>
      </c>
      <c r="O39" s="1" t="s">
        <v>358</v>
      </c>
      <c r="P39" s="1" t="s">
        <v>20</v>
      </c>
      <c r="Q39">
        <f>(VALUE(LEFT(SUBSTITUTE(O39,"T"," "),23)) - VALUE(LEFT(SUBSTITUTE(N39,"T"," "),23))) * 86400</f>
        <v>248.29400000162423</v>
      </c>
      <c r="R39">
        <f>I39/G39</f>
        <v>0.20128824476650564</v>
      </c>
      <c r="S39">
        <f>H39/G39</f>
        <v>0.45289855072463769</v>
      </c>
    </row>
    <row r="40" spans="1:19" hidden="1" x14ac:dyDescent="0.2">
      <c r="A40" s="1">
        <v>26</v>
      </c>
      <c r="B40" s="1" t="s">
        <v>21</v>
      </c>
      <c r="C40" s="1">
        <v>70</v>
      </c>
      <c r="D40" s="1">
        <v>1</v>
      </c>
      <c r="E40" s="1">
        <v>1001</v>
      </c>
      <c r="F40" s="1" t="b">
        <v>1</v>
      </c>
      <c r="G40" s="1">
        <v>58.308</v>
      </c>
      <c r="H40" s="1">
        <v>25</v>
      </c>
      <c r="I40" s="1">
        <v>23</v>
      </c>
      <c r="J40" s="1">
        <v>5.34</v>
      </c>
      <c r="K40" s="1" t="s">
        <v>365</v>
      </c>
      <c r="L40" s="1">
        <v>0</v>
      </c>
      <c r="M40" s="1"/>
      <c r="N40" s="1" t="s">
        <v>366</v>
      </c>
      <c r="O40" s="1" t="s">
        <v>367</v>
      </c>
      <c r="P40" s="1" t="s">
        <v>20</v>
      </c>
      <c r="Q40">
        <f>(VALUE(LEFT(SUBSTITUTE(O40,"T"," "),23)) - VALUE(LEFT(SUBSTITUTE(N40,"T"," "),23))) * 86400</f>
        <v>316.61899967584759</v>
      </c>
      <c r="R40">
        <f>I40/G40</f>
        <v>0.39445702133497978</v>
      </c>
      <c r="S40">
        <f>H40/G40</f>
        <v>0.42875763188584759</v>
      </c>
    </row>
    <row r="41" spans="1:19" hidden="1" x14ac:dyDescent="0.2">
      <c r="A41">
        <v>42</v>
      </c>
      <c r="B41" t="s">
        <v>25</v>
      </c>
      <c r="C41">
        <v>-1</v>
      </c>
      <c r="D41">
        <v>5</v>
      </c>
      <c r="E41">
        <v>1004</v>
      </c>
      <c r="F41" t="b">
        <v>1</v>
      </c>
      <c r="G41">
        <v>38.415999999999997</v>
      </c>
      <c r="H41">
        <v>37</v>
      </c>
      <c r="I41">
        <v>9</v>
      </c>
      <c r="J41">
        <v>4.5</v>
      </c>
      <c r="K41" t="s">
        <v>3538</v>
      </c>
      <c r="L41">
        <v>0</v>
      </c>
      <c r="N41" t="s">
        <v>3539</v>
      </c>
      <c r="O41" t="s">
        <v>3540</v>
      </c>
      <c r="P41" t="s">
        <v>20</v>
      </c>
      <c r="Q41">
        <f>(VALUE(LEFT(SUBSTITUTE(O41,"T"," "),23)) - VALUE(LEFT(SUBSTITUTE(N41,"T"," "),23))) * 86400</f>
        <v>150.31100010965019</v>
      </c>
      <c r="R41">
        <f>I41/G41</f>
        <v>0.23427738442315704</v>
      </c>
      <c r="S41">
        <f>H41/G41</f>
        <v>0.96314035818409005</v>
      </c>
    </row>
    <row r="42" spans="1:19" hidden="1" x14ac:dyDescent="0.2">
      <c r="A42" s="1">
        <v>6</v>
      </c>
      <c r="B42" s="1" t="s">
        <v>25</v>
      </c>
      <c r="C42" s="1">
        <v>0</v>
      </c>
      <c r="D42" s="1">
        <v>1</v>
      </c>
      <c r="E42" s="1">
        <v>1001</v>
      </c>
      <c r="F42" s="1" t="b">
        <v>1</v>
      </c>
      <c r="G42" s="1">
        <v>46.747999999999998</v>
      </c>
      <c r="H42" s="1">
        <v>24</v>
      </c>
      <c r="I42" s="1">
        <v>2</v>
      </c>
      <c r="J42" s="1">
        <v>0.24</v>
      </c>
      <c r="K42" s="1" t="s">
        <v>305</v>
      </c>
      <c r="L42" s="1">
        <v>0</v>
      </c>
      <c r="M42" s="1"/>
      <c r="N42" s="1" t="s">
        <v>306</v>
      </c>
      <c r="O42" s="1" t="s">
        <v>307</v>
      </c>
      <c r="P42" s="1" t="s">
        <v>20</v>
      </c>
      <c r="Q42">
        <f>(VALUE(LEFT(SUBSTITUTE(O42,"T"," "),23)) - VALUE(LEFT(SUBSTITUTE(N42,"T"," "),23))) * 86400</f>
        <v>210.32299983780831</v>
      </c>
      <c r="R42">
        <f>I42/G42</f>
        <v>4.2782578933858138E-2</v>
      </c>
      <c r="S42">
        <f>H42/G42</f>
        <v>0.51339094720629763</v>
      </c>
    </row>
    <row r="43" spans="1:19" x14ac:dyDescent="0.2">
      <c r="A43">
        <v>35</v>
      </c>
      <c r="B43" t="s">
        <v>21</v>
      </c>
      <c r="C43">
        <v>2</v>
      </c>
      <c r="D43">
        <v>2</v>
      </c>
      <c r="E43">
        <v>1008</v>
      </c>
      <c r="F43" t="b">
        <v>1</v>
      </c>
      <c r="G43">
        <v>117.048</v>
      </c>
      <c r="H43">
        <v>24</v>
      </c>
      <c r="I43">
        <v>6</v>
      </c>
      <c r="J43">
        <v>1.26</v>
      </c>
      <c r="K43" t="s">
        <v>1866</v>
      </c>
      <c r="L43">
        <v>0</v>
      </c>
      <c r="N43" t="s">
        <v>1867</v>
      </c>
      <c r="O43" t="s">
        <v>1868</v>
      </c>
      <c r="P43" t="s">
        <v>20</v>
      </c>
      <c r="Q43">
        <f>(VALUE(LEFT(SUBSTITUTE(O43,"T"," "),23)) - VALUE(LEFT(SUBSTITUTE(N43,"T"," "),23))) * 86400</f>
        <v>260.01899989787489</v>
      </c>
      <c r="R43">
        <f>I43/G43</f>
        <v>5.1261021119540701E-2</v>
      </c>
      <c r="S43">
        <f>H43/G43</f>
        <v>0.2050440844781628</v>
      </c>
    </row>
    <row r="44" spans="1:19" hidden="1" x14ac:dyDescent="0.2">
      <c r="A44" s="1">
        <v>12</v>
      </c>
      <c r="B44" s="1" t="s">
        <v>25</v>
      </c>
      <c r="C44" s="1">
        <v>5</v>
      </c>
      <c r="D44" s="1">
        <v>1</v>
      </c>
      <c r="E44" s="1">
        <v>1001</v>
      </c>
      <c r="F44" s="1" t="b">
        <v>1</v>
      </c>
      <c r="G44" s="1">
        <v>44.527999999999999</v>
      </c>
      <c r="H44" s="1">
        <v>25</v>
      </c>
      <c r="I44" s="1">
        <v>2</v>
      </c>
      <c r="J44" s="1">
        <v>0.24</v>
      </c>
      <c r="K44" s="1" t="s">
        <v>323</v>
      </c>
      <c r="L44" s="1">
        <v>0</v>
      </c>
      <c r="M44" s="1"/>
      <c r="N44" s="1" t="s">
        <v>324</v>
      </c>
      <c r="O44" s="1" t="s">
        <v>325</v>
      </c>
      <c r="P44" s="1" t="s">
        <v>20</v>
      </c>
      <c r="Q44">
        <f>(VALUE(LEFT(SUBSTITUTE(O44,"T"," "),23)) - VALUE(LEFT(SUBSTITUTE(N44,"T"," "),23))) * 86400</f>
        <v>187.59099994786084</v>
      </c>
      <c r="R44">
        <f>I44/G44</f>
        <v>4.4915558749550846E-2</v>
      </c>
      <c r="S44">
        <f>H44/G44</f>
        <v>0.56144448436938554</v>
      </c>
    </row>
    <row r="45" spans="1:19" hidden="1" x14ac:dyDescent="0.2">
      <c r="A45" s="1">
        <v>15</v>
      </c>
      <c r="B45" s="1" t="s">
        <v>25</v>
      </c>
      <c r="C45" s="1">
        <v>10</v>
      </c>
      <c r="D45" s="1">
        <v>1</v>
      </c>
      <c r="E45" s="1">
        <v>1001</v>
      </c>
      <c r="F45" s="1" t="b">
        <v>1</v>
      </c>
      <c r="G45" s="1">
        <v>44.603999999999999</v>
      </c>
      <c r="H45" s="1">
        <v>26</v>
      </c>
      <c r="I45" s="1">
        <v>3</v>
      </c>
      <c r="J45" s="1">
        <v>0.54</v>
      </c>
      <c r="K45" s="1" t="s">
        <v>332</v>
      </c>
      <c r="L45" s="1">
        <v>0</v>
      </c>
      <c r="M45" s="1"/>
      <c r="N45" s="1" t="s">
        <v>333</v>
      </c>
      <c r="O45" s="1" t="s">
        <v>334</v>
      </c>
      <c r="P45" s="1" t="s">
        <v>20</v>
      </c>
      <c r="Q45">
        <f>(VALUE(LEFT(SUBSTITUTE(O45,"T"," "),23)) - VALUE(LEFT(SUBSTITUTE(N45,"T"," "),23))) * 86400</f>
        <v>207.68200003076345</v>
      </c>
      <c r="R45">
        <f>I45/G45</f>
        <v>6.7258541834813029E-2</v>
      </c>
      <c r="S45">
        <f>H45/G45</f>
        <v>0.58290736256837949</v>
      </c>
    </row>
    <row r="46" spans="1:19" hidden="1" x14ac:dyDescent="0.2">
      <c r="A46" s="1">
        <v>18</v>
      </c>
      <c r="B46" s="1" t="s">
        <v>25</v>
      </c>
      <c r="C46" s="1">
        <v>15</v>
      </c>
      <c r="D46" s="1">
        <v>1</v>
      </c>
      <c r="E46" s="1">
        <v>1001</v>
      </c>
      <c r="F46" s="1" t="b">
        <v>1</v>
      </c>
      <c r="G46" s="1">
        <v>39.368000000000002</v>
      </c>
      <c r="H46" s="1">
        <v>26</v>
      </c>
      <c r="I46" s="1">
        <v>2</v>
      </c>
      <c r="J46" s="1">
        <v>0.3</v>
      </c>
      <c r="K46" s="1" t="s">
        <v>341</v>
      </c>
      <c r="L46" s="1">
        <v>0</v>
      </c>
      <c r="M46" s="1"/>
      <c r="N46" s="1" t="s">
        <v>342</v>
      </c>
      <c r="O46" s="1" t="s">
        <v>343</v>
      </c>
      <c r="P46" s="1" t="s">
        <v>20</v>
      </c>
      <c r="Q46">
        <f>(VALUE(LEFT(SUBSTITUTE(O46,"T"," "),23)) - VALUE(LEFT(SUBSTITUTE(N46,"T"," "),23))) * 86400</f>
        <v>153.57399978674948</v>
      </c>
      <c r="R46">
        <f>I46/G46</f>
        <v>5.080268238162975E-2</v>
      </c>
      <c r="S46">
        <f>H46/G46</f>
        <v>0.66043487096118669</v>
      </c>
    </row>
    <row r="47" spans="1:19" hidden="1" x14ac:dyDescent="0.2">
      <c r="A47" s="1">
        <v>21</v>
      </c>
      <c r="B47" s="1" t="s">
        <v>25</v>
      </c>
      <c r="C47" s="1">
        <v>20</v>
      </c>
      <c r="D47" s="1">
        <v>1</v>
      </c>
      <c r="E47" s="1">
        <v>1001</v>
      </c>
      <c r="F47" s="1" t="b">
        <v>1</v>
      </c>
      <c r="G47" s="1">
        <v>52.603999999999999</v>
      </c>
      <c r="H47" s="1">
        <v>28</v>
      </c>
      <c r="I47" s="1">
        <v>4</v>
      </c>
      <c r="J47" s="1">
        <v>1.56</v>
      </c>
      <c r="K47" s="1" t="s">
        <v>350</v>
      </c>
      <c r="L47" s="1">
        <v>0</v>
      </c>
      <c r="M47" s="1"/>
      <c r="N47" s="1" t="s">
        <v>351</v>
      </c>
      <c r="O47" s="1" t="s">
        <v>352</v>
      </c>
      <c r="P47" s="1" t="s">
        <v>20</v>
      </c>
      <c r="Q47">
        <f>(VALUE(LEFT(SUBSTITUTE(O47,"T"," "),23)) - VALUE(LEFT(SUBSTITUTE(N47,"T"," "),23))) * 86400</f>
        <v>241.7059995001182</v>
      </c>
      <c r="R47">
        <f>I47/G47</f>
        <v>7.6039844878716442E-2</v>
      </c>
      <c r="S47">
        <f>H47/G47</f>
        <v>0.53227891415101514</v>
      </c>
    </row>
    <row r="48" spans="1:19" hidden="1" x14ac:dyDescent="0.2">
      <c r="A48" s="1">
        <v>24</v>
      </c>
      <c r="B48" s="1" t="s">
        <v>25</v>
      </c>
      <c r="C48" s="1">
        <v>50</v>
      </c>
      <c r="D48" s="1">
        <v>1</v>
      </c>
      <c r="E48" s="1">
        <v>1001</v>
      </c>
      <c r="F48" s="1" t="b">
        <v>1</v>
      </c>
      <c r="G48" s="1">
        <v>38.932000000000002</v>
      </c>
      <c r="H48" s="1">
        <v>26</v>
      </c>
      <c r="I48" s="1">
        <v>4</v>
      </c>
      <c r="J48" s="1">
        <v>1.02</v>
      </c>
      <c r="K48" s="1" t="s">
        <v>359</v>
      </c>
      <c r="L48" s="1">
        <v>0</v>
      </c>
      <c r="M48" s="1"/>
      <c r="N48" s="1" t="s">
        <v>360</v>
      </c>
      <c r="O48" s="1" t="s">
        <v>361</v>
      </c>
      <c r="P48" s="1" t="s">
        <v>20</v>
      </c>
      <c r="Q48">
        <f>(VALUE(LEFT(SUBSTITUTE(O48,"T"," "),23)) - VALUE(LEFT(SUBSTITUTE(N48,"T"," "),23))) * 86400</f>
        <v>138.17700021900237</v>
      </c>
      <c r="R48">
        <f>I48/G48</f>
        <v>0.10274324463166547</v>
      </c>
      <c r="S48">
        <f>H48/G48</f>
        <v>0.66783109010582553</v>
      </c>
    </row>
    <row r="49" spans="1:19" hidden="1" x14ac:dyDescent="0.2">
      <c r="A49" s="1">
        <v>27</v>
      </c>
      <c r="B49" s="1" t="s">
        <v>25</v>
      </c>
      <c r="C49" s="1">
        <v>70</v>
      </c>
      <c r="D49" s="1">
        <v>1</v>
      </c>
      <c r="E49" s="1">
        <v>1001</v>
      </c>
      <c r="F49" s="1" t="b">
        <v>1</v>
      </c>
      <c r="G49" s="1">
        <v>39.067999999999998</v>
      </c>
      <c r="H49" s="1">
        <v>26</v>
      </c>
      <c r="I49" s="1">
        <v>3</v>
      </c>
      <c r="J49" s="1">
        <v>0.78</v>
      </c>
      <c r="K49" s="1" t="s">
        <v>368</v>
      </c>
      <c r="L49" s="1">
        <v>0</v>
      </c>
      <c r="M49" s="1"/>
      <c r="N49" s="1" t="s">
        <v>369</v>
      </c>
      <c r="O49" s="1" t="s">
        <v>370</v>
      </c>
      <c r="P49" s="1" t="s">
        <v>20</v>
      </c>
      <c r="Q49">
        <f>(VALUE(LEFT(SUBSTITUTE(O49,"T"," "),23)) - VALUE(LEFT(SUBSTITUTE(N49,"T"," "),23))) * 86400</f>
        <v>96.147999912500381</v>
      </c>
      <c r="R49">
        <f>I49/G49</f>
        <v>7.6789188082318008E-2</v>
      </c>
      <c r="S49">
        <f>H49/G49</f>
        <v>0.66550629671342276</v>
      </c>
    </row>
    <row r="50" spans="1:19" hidden="1" x14ac:dyDescent="0.2">
      <c r="A50">
        <v>13</v>
      </c>
      <c r="B50" t="s">
        <v>3413</v>
      </c>
      <c r="C50">
        <v>-1</v>
      </c>
      <c r="D50">
        <v>7</v>
      </c>
      <c r="E50">
        <v>1026</v>
      </c>
      <c r="F50" t="b">
        <v>1</v>
      </c>
      <c r="G50">
        <v>30.172000000000001</v>
      </c>
      <c r="H50">
        <v>29</v>
      </c>
      <c r="I50">
        <v>5</v>
      </c>
      <c r="J50">
        <v>6.24</v>
      </c>
      <c r="K50" t="s">
        <v>3120</v>
      </c>
      <c r="L50">
        <v>0</v>
      </c>
      <c r="N50" t="s">
        <v>3121</v>
      </c>
      <c r="O50" t="s">
        <v>3122</v>
      </c>
      <c r="P50" t="s">
        <v>20</v>
      </c>
      <c r="Q50">
        <f>(VALUE(LEFT(SUBSTITUTE(O50,"T"," "),23)) - VALUE(LEFT(SUBSTITUTE(N50,"T"," "),23))) * 86400</f>
        <v>118.78200005739927</v>
      </c>
      <c r="R50">
        <f>I50/G50</f>
        <v>0.16571655839851518</v>
      </c>
      <c r="S50">
        <f>H50/G50</f>
        <v>0.96115603871138799</v>
      </c>
    </row>
    <row r="51" spans="1:19" hidden="1" x14ac:dyDescent="0.2">
      <c r="A51" s="1">
        <v>4</v>
      </c>
      <c r="B51" s="1" t="s">
        <v>16</v>
      </c>
      <c r="C51" s="1">
        <v>0</v>
      </c>
      <c r="D51" s="1">
        <v>1</v>
      </c>
      <c r="E51" s="1">
        <v>1001</v>
      </c>
      <c r="F51" s="1" t="b">
        <v>1</v>
      </c>
      <c r="G51" s="1">
        <v>95.971999999999994</v>
      </c>
      <c r="H51" s="1">
        <v>26</v>
      </c>
      <c r="I51" s="1">
        <v>1</v>
      </c>
      <c r="J51" s="1">
        <v>0.12</v>
      </c>
      <c r="K51" s="1" t="s">
        <v>299</v>
      </c>
      <c r="L51" s="1">
        <v>0</v>
      </c>
      <c r="M51" s="1"/>
      <c r="N51" s="1" t="s">
        <v>300</v>
      </c>
      <c r="O51" s="1" t="s">
        <v>301</v>
      </c>
      <c r="P51" s="1" t="s">
        <v>20</v>
      </c>
      <c r="Q51">
        <f>(VALUE(LEFT(SUBSTITUTE(O51,"T"," "),23)) - VALUE(LEFT(SUBSTITUTE(N51,"T"," "),23))) * 86400</f>
        <v>350.54099997505546</v>
      </c>
      <c r="R51">
        <f>I51/G51</f>
        <v>1.0419705747509691E-2</v>
      </c>
      <c r="S51">
        <f>H51/G51</f>
        <v>0.27091234943525194</v>
      </c>
    </row>
    <row r="52" spans="1:19" x14ac:dyDescent="0.2">
      <c r="A52">
        <v>6</v>
      </c>
      <c r="B52" t="s">
        <v>2476</v>
      </c>
      <c r="C52">
        <v>2</v>
      </c>
      <c r="D52">
        <v>1</v>
      </c>
      <c r="E52">
        <v>1000</v>
      </c>
      <c r="F52" t="b">
        <v>1</v>
      </c>
      <c r="G52">
        <v>65.56</v>
      </c>
      <c r="H52">
        <v>29</v>
      </c>
      <c r="I52">
        <v>2</v>
      </c>
      <c r="J52">
        <v>1.1399999999999999</v>
      </c>
      <c r="K52" t="s">
        <v>2547</v>
      </c>
      <c r="L52">
        <v>0</v>
      </c>
      <c r="N52" t="s">
        <v>2548</v>
      </c>
      <c r="O52" t="s">
        <v>2549</v>
      </c>
      <c r="P52" t="s">
        <v>20</v>
      </c>
      <c r="Q52">
        <f>(VALUE(LEFT(SUBSTITUTE(O52,"T"," "),23)) - VALUE(LEFT(SUBSTITUTE(N52,"T"," "),23))) * 86400</f>
        <v>355.51000025589019</v>
      </c>
      <c r="R52">
        <f>I52/G52</f>
        <v>3.0506406345332519E-2</v>
      </c>
      <c r="S52">
        <f>H52/G52</f>
        <v>0.44234289200732152</v>
      </c>
    </row>
    <row r="53" spans="1:19" hidden="1" x14ac:dyDescent="0.2">
      <c r="A53" s="1">
        <v>10</v>
      </c>
      <c r="B53" s="1" t="s">
        <v>16</v>
      </c>
      <c r="C53" s="1">
        <v>5</v>
      </c>
      <c r="D53" s="1">
        <v>1</v>
      </c>
      <c r="E53" s="1">
        <v>1001</v>
      </c>
      <c r="F53" s="1" t="b">
        <v>1</v>
      </c>
      <c r="G53" s="1">
        <v>85.575999999999993</v>
      </c>
      <c r="H53" s="1">
        <v>26</v>
      </c>
      <c r="I53" s="1">
        <v>4</v>
      </c>
      <c r="J53" s="1">
        <v>1.98</v>
      </c>
      <c r="K53" s="1" t="s">
        <v>317</v>
      </c>
      <c r="L53" s="1">
        <v>0</v>
      </c>
      <c r="M53" s="1"/>
      <c r="N53" s="1" t="s">
        <v>318</v>
      </c>
      <c r="O53" s="1" t="s">
        <v>319</v>
      </c>
      <c r="P53" s="1" t="s">
        <v>20</v>
      </c>
      <c r="Q53">
        <f>(VALUE(LEFT(SUBSTITUTE(O53,"T"," "),23)) - VALUE(LEFT(SUBSTITUTE(N53,"T"," "),23))) * 86400</f>
        <v>364.94300016202033</v>
      </c>
      <c r="R53">
        <f>I53/G53</f>
        <v>4.6742077217911571E-2</v>
      </c>
      <c r="S53">
        <f>H53/G53</f>
        <v>0.30382350191642521</v>
      </c>
    </row>
    <row r="54" spans="1:19" hidden="1" x14ac:dyDescent="0.2">
      <c r="A54" s="1">
        <v>13</v>
      </c>
      <c r="B54" s="1" t="s">
        <v>16</v>
      </c>
      <c r="C54" s="1">
        <v>10</v>
      </c>
      <c r="D54" s="1">
        <v>1</v>
      </c>
      <c r="E54" s="1">
        <v>1001</v>
      </c>
      <c r="F54" s="1" t="b">
        <v>1</v>
      </c>
      <c r="G54" s="1">
        <v>82.992000000000004</v>
      </c>
      <c r="H54" s="1">
        <v>25</v>
      </c>
      <c r="I54" s="1">
        <v>10</v>
      </c>
      <c r="J54" s="1">
        <v>2.76</v>
      </c>
      <c r="K54" s="1" t="s">
        <v>326</v>
      </c>
      <c r="L54" s="1">
        <v>0</v>
      </c>
      <c r="M54" s="1"/>
      <c r="N54" s="1" t="s">
        <v>327</v>
      </c>
      <c r="O54" s="1" t="s">
        <v>328</v>
      </c>
      <c r="P54" s="1" t="s">
        <v>20</v>
      </c>
      <c r="Q54">
        <f>(VALUE(LEFT(SUBSTITUTE(O54,"T"," "),23)) - VALUE(LEFT(SUBSTITUTE(N54,"T"," "),23))) * 86400</f>
        <v>377.87599994335324</v>
      </c>
      <c r="R54">
        <f>I54/G54</f>
        <v>0.12049354154617312</v>
      </c>
      <c r="S54">
        <f>H54/G54</f>
        <v>0.30123385386543278</v>
      </c>
    </row>
    <row r="55" spans="1:19" hidden="1" x14ac:dyDescent="0.2">
      <c r="A55" s="1">
        <v>16</v>
      </c>
      <c r="B55" s="1" t="s">
        <v>16</v>
      </c>
      <c r="C55" s="1">
        <v>15</v>
      </c>
      <c r="D55" s="1">
        <v>1</v>
      </c>
      <c r="E55" s="1">
        <v>1001</v>
      </c>
      <c r="F55" s="1" t="b">
        <v>1</v>
      </c>
      <c r="G55" s="1">
        <v>83.995999999999995</v>
      </c>
      <c r="H55" s="1">
        <v>27</v>
      </c>
      <c r="I55" s="1">
        <v>9</v>
      </c>
      <c r="J55" s="1">
        <v>2.7</v>
      </c>
      <c r="K55" s="1" t="s">
        <v>335</v>
      </c>
      <c r="L55" s="1">
        <v>0</v>
      </c>
      <c r="M55" s="1"/>
      <c r="N55" s="1" t="s">
        <v>336</v>
      </c>
      <c r="O55" s="1" t="s">
        <v>337</v>
      </c>
      <c r="P55" s="1" t="s">
        <v>20</v>
      </c>
      <c r="Q55">
        <f>(VALUE(LEFT(SUBSTITUTE(O55,"T"," "),23)) - VALUE(LEFT(SUBSTITUTE(N55,"T"," "),23))) * 86400</f>
        <v>344.7860001353547</v>
      </c>
      <c r="R55">
        <f>I55/G55</f>
        <v>0.10714795942663936</v>
      </c>
      <c r="S55">
        <f>H55/G55</f>
        <v>0.3214438782799181</v>
      </c>
    </row>
    <row r="56" spans="1:19" hidden="1" x14ac:dyDescent="0.2">
      <c r="A56" s="1">
        <v>19</v>
      </c>
      <c r="B56" s="1" t="s">
        <v>16</v>
      </c>
      <c r="C56" s="1">
        <v>20</v>
      </c>
      <c r="D56" s="1">
        <v>1</v>
      </c>
      <c r="E56" s="1">
        <v>1001</v>
      </c>
      <c r="F56" s="1" t="b">
        <v>1</v>
      </c>
      <c r="G56" s="1">
        <v>67.272000000000006</v>
      </c>
      <c r="H56" s="1">
        <v>29</v>
      </c>
      <c r="I56" s="1">
        <v>9</v>
      </c>
      <c r="J56" s="1">
        <v>2.34</v>
      </c>
      <c r="K56" s="1" t="s">
        <v>344</v>
      </c>
      <c r="L56" s="1">
        <v>0</v>
      </c>
      <c r="M56" s="1"/>
      <c r="N56" s="1" t="s">
        <v>345</v>
      </c>
      <c r="O56" s="1" t="s">
        <v>346</v>
      </c>
      <c r="P56" s="1" t="s">
        <v>20</v>
      </c>
      <c r="Q56">
        <f>(VALUE(LEFT(SUBSTITUTE(O56,"T"," "),23)) - VALUE(LEFT(SUBSTITUTE(N56,"T"," "),23))) * 86400</f>
        <v>296.13900049589574</v>
      </c>
      <c r="R56">
        <f>I56/G56</f>
        <v>0.13378523011059579</v>
      </c>
      <c r="S56">
        <f>H56/G56</f>
        <v>0.4310857414674753</v>
      </c>
    </row>
    <row r="57" spans="1:19" hidden="1" x14ac:dyDescent="0.2">
      <c r="A57" s="1">
        <v>22</v>
      </c>
      <c r="B57" s="1" t="s">
        <v>16</v>
      </c>
      <c r="C57" s="1">
        <v>50</v>
      </c>
      <c r="D57" s="1">
        <v>1</v>
      </c>
      <c r="E57" s="1">
        <v>1001</v>
      </c>
      <c r="F57" s="1" t="b">
        <v>1</v>
      </c>
      <c r="G57" s="1">
        <v>93.772000000000006</v>
      </c>
      <c r="H57" s="1">
        <v>27</v>
      </c>
      <c r="I57" s="1">
        <v>5</v>
      </c>
      <c r="J57" s="1">
        <v>1.8</v>
      </c>
      <c r="K57" s="1" t="s">
        <v>353</v>
      </c>
      <c r="L57" s="1">
        <v>0</v>
      </c>
      <c r="M57" s="1"/>
      <c r="N57" s="1" t="s">
        <v>354</v>
      </c>
      <c r="O57" s="1" t="s">
        <v>355</v>
      </c>
      <c r="P57" s="1" t="s">
        <v>20</v>
      </c>
      <c r="Q57">
        <f>(VALUE(LEFT(SUBSTITUTE(O57,"T"," "),23)) - VALUE(LEFT(SUBSTITUTE(N57,"T"," "),23))) * 86400</f>
        <v>393.67100014351308</v>
      </c>
      <c r="R57">
        <f>I57/G57</f>
        <v>5.3320820714072431E-2</v>
      </c>
      <c r="S57">
        <f>H57/G57</f>
        <v>0.2879324318559911</v>
      </c>
    </row>
    <row r="58" spans="1:19" hidden="1" x14ac:dyDescent="0.2">
      <c r="A58" s="1">
        <v>25</v>
      </c>
      <c r="B58" s="1" t="s">
        <v>16</v>
      </c>
      <c r="C58" s="1">
        <v>70</v>
      </c>
      <c r="D58" s="1">
        <v>1</v>
      </c>
      <c r="E58" s="1">
        <v>1001</v>
      </c>
      <c r="F58" s="1" t="b">
        <v>1</v>
      </c>
      <c r="G58" s="1">
        <v>88.7</v>
      </c>
      <c r="H58" s="1">
        <v>28</v>
      </c>
      <c r="I58" s="1">
        <v>8</v>
      </c>
      <c r="J58" s="1">
        <v>1.1399999999999999</v>
      </c>
      <c r="K58" s="1" t="s">
        <v>362</v>
      </c>
      <c r="L58" s="1">
        <v>0</v>
      </c>
      <c r="M58" s="1"/>
      <c r="N58" s="1" t="s">
        <v>363</v>
      </c>
      <c r="O58" s="1" t="s">
        <v>364</v>
      </c>
      <c r="P58" s="1" t="s">
        <v>20</v>
      </c>
      <c r="Q58">
        <f>(VALUE(LEFT(SUBSTITUTE(O58,"T"," "),23)) - VALUE(LEFT(SUBSTITUTE(N58,"T"," "),23))) * 86400</f>
        <v>317.42699984461069</v>
      </c>
      <c r="R58">
        <f>I58/G58</f>
        <v>9.0191657271702363E-2</v>
      </c>
      <c r="S58">
        <f>H58/G58</f>
        <v>0.3156708004509583</v>
      </c>
    </row>
    <row r="59" spans="1:19" hidden="1" x14ac:dyDescent="0.2">
      <c r="A59">
        <v>1</v>
      </c>
      <c r="B59" t="s">
        <v>3413</v>
      </c>
      <c r="C59">
        <v>-1</v>
      </c>
      <c r="D59">
        <v>1</v>
      </c>
      <c r="E59">
        <v>1010</v>
      </c>
      <c r="F59" t="b">
        <v>1</v>
      </c>
      <c r="G59">
        <v>31.236000000000001</v>
      </c>
      <c r="H59">
        <v>30</v>
      </c>
      <c r="I59">
        <v>3</v>
      </c>
      <c r="J59">
        <v>5.34</v>
      </c>
      <c r="K59" t="s">
        <v>3024</v>
      </c>
      <c r="L59">
        <v>0</v>
      </c>
      <c r="N59" t="s">
        <v>3025</v>
      </c>
      <c r="O59" t="s">
        <v>3026</v>
      </c>
      <c r="P59" t="s">
        <v>20</v>
      </c>
      <c r="Q59">
        <f>(VALUE(LEFT(SUBSTITUTE(O59,"T"," "),23)) - VALUE(LEFT(SUBSTITUTE(N59,"T"," "),23))) * 86400</f>
        <v>138.34600013215095</v>
      </c>
      <c r="R59">
        <f>I59/G59</f>
        <v>9.6043027276219745E-2</v>
      </c>
      <c r="S59">
        <f>H59/G59</f>
        <v>0.96043027276219739</v>
      </c>
    </row>
    <row r="60" spans="1:19" hidden="1" x14ac:dyDescent="0.2">
      <c r="A60">
        <v>5</v>
      </c>
      <c r="B60" t="s">
        <v>21</v>
      </c>
      <c r="C60">
        <v>0</v>
      </c>
      <c r="D60">
        <v>1</v>
      </c>
      <c r="E60">
        <v>1002</v>
      </c>
      <c r="F60" t="b">
        <v>1</v>
      </c>
      <c r="G60">
        <v>99.988</v>
      </c>
      <c r="H60">
        <v>25</v>
      </c>
      <c r="I60">
        <v>3</v>
      </c>
      <c r="J60">
        <v>0.78</v>
      </c>
      <c r="K60" t="s">
        <v>548</v>
      </c>
      <c r="L60">
        <v>0</v>
      </c>
      <c r="N60" t="s">
        <v>549</v>
      </c>
      <c r="O60" t="s">
        <v>550</v>
      </c>
      <c r="P60" t="s">
        <v>20</v>
      </c>
      <c r="Q60">
        <f>(VALUE(LEFT(SUBSTITUTE(O60,"T"," "),23)) - VALUE(LEFT(SUBSTITUTE(N60,"T"," "),23))) * 86400</f>
        <v>454.93800023104995</v>
      </c>
      <c r="R60">
        <f>I60/G60</f>
        <v>3.0003600432051847E-2</v>
      </c>
      <c r="S60">
        <f>H60/G60</f>
        <v>0.25003000360043204</v>
      </c>
    </row>
    <row r="61" spans="1:19" hidden="1" x14ac:dyDescent="0.2">
      <c r="A61">
        <v>9</v>
      </c>
      <c r="B61" t="s">
        <v>3413</v>
      </c>
      <c r="C61">
        <v>-1</v>
      </c>
      <c r="D61">
        <v>5</v>
      </c>
      <c r="E61">
        <v>1004</v>
      </c>
      <c r="F61" t="b">
        <v>1</v>
      </c>
      <c r="G61">
        <v>30.256</v>
      </c>
      <c r="H61">
        <v>29</v>
      </c>
      <c r="I61">
        <v>3</v>
      </c>
      <c r="J61">
        <v>3.42</v>
      </c>
      <c r="K61" t="s">
        <v>2989</v>
      </c>
      <c r="L61">
        <v>0</v>
      </c>
      <c r="N61" t="s">
        <v>2990</v>
      </c>
      <c r="O61" t="s">
        <v>2991</v>
      </c>
      <c r="P61" t="s">
        <v>20</v>
      </c>
      <c r="Q61">
        <f>(VALUE(LEFT(SUBSTITUTE(O61,"T"," "),23)) - VALUE(LEFT(SUBSTITUTE(N61,"T"," "),23))) * 86400</f>
        <v>123.89499975834042</v>
      </c>
      <c r="R61">
        <f>I61/G61</f>
        <v>9.9153886832363827E-2</v>
      </c>
      <c r="S61">
        <f>H61/G61</f>
        <v>0.95848757271285034</v>
      </c>
    </row>
    <row r="62" spans="1:19" hidden="1" x14ac:dyDescent="0.2">
      <c r="A62">
        <v>11</v>
      </c>
      <c r="B62" t="s">
        <v>21</v>
      </c>
      <c r="C62">
        <v>5</v>
      </c>
      <c r="D62">
        <v>1</v>
      </c>
      <c r="E62">
        <v>1002</v>
      </c>
      <c r="F62" t="b">
        <v>1</v>
      </c>
      <c r="G62">
        <v>98.231999999999999</v>
      </c>
      <c r="H62">
        <v>24</v>
      </c>
      <c r="I62">
        <v>2</v>
      </c>
      <c r="J62">
        <v>1.44</v>
      </c>
      <c r="K62" t="s">
        <v>566</v>
      </c>
      <c r="L62">
        <v>0</v>
      </c>
      <c r="N62" t="s">
        <v>567</v>
      </c>
      <c r="O62" t="s">
        <v>568</v>
      </c>
      <c r="P62" t="s">
        <v>20</v>
      </c>
      <c r="Q62">
        <f>(VALUE(LEFT(SUBSTITUTE(O62,"T"," "),23)) - VALUE(LEFT(SUBSTITUTE(N62,"T"," "),23))) * 86400</f>
        <v>344.25299973227084</v>
      </c>
      <c r="R62">
        <f>I62/G62</f>
        <v>2.0359964166463067E-2</v>
      </c>
      <c r="S62">
        <f>H62/G62</f>
        <v>0.2443195699975568</v>
      </c>
    </row>
    <row r="63" spans="1:19" hidden="1" x14ac:dyDescent="0.2">
      <c r="A63">
        <v>14</v>
      </c>
      <c r="B63" t="s">
        <v>21</v>
      </c>
      <c r="C63">
        <v>10</v>
      </c>
      <c r="D63">
        <v>1</v>
      </c>
      <c r="E63">
        <v>1002</v>
      </c>
      <c r="F63" t="b">
        <v>1</v>
      </c>
      <c r="G63">
        <v>58.223999999999997</v>
      </c>
      <c r="H63">
        <v>27</v>
      </c>
      <c r="I63">
        <v>7</v>
      </c>
      <c r="J63">
        <v>1.26</v>
      </c>
      <c r="K63" t="s">
        <v>575</v>
      </c>
      <c r="L63">
        <v>0</v>
      </c>
      <c r="N63" t="s">
        <v>576</v>
      </c>
      <c r="O63" t="s">
        <v>577</v>
      </c>
      <c r="P63" t="s">
        <v>20</v>
      </c>
      <c r="Q63">
        <f>(VALUE(LEFT(SUBSTITUTE(O63,"T"," "),23)) - VALUE(LEFT(SUBSTITUTE(N63,"T"," "),23))) * 86400</f>
        <v>241.97900018189102</v>
      </c>
      <c r="R63">
        <f>I63/G63</f>
        <v>0.12022533663094258</v>
      </c>
      <c r="S63">
        <f>H63/G63</f>
        <v>0.46372629843363566</v>
      </c>
    </row>
    <row r="64" spans="1:19" hidden="1" x14ac:dyDescent="0.2">
      <c r="A64">
        <v>17</v>
      </c>
      <c r="B64" t="s">
        <v>21</v>
      </c>
      <c r="C64">
        <v>15</v>
      </c>
      <c r="D64">
        <v>1</v>
      </c>
      <c r="E64">
        <v>1002</v>
      </c>
      <c r="F64" t="b">
        <v>1</v>
      </c>
      <c r="G64">
        <v>76.727999999999994</v>
      </c>
      <c r="H64">
        <v>26</v>
      </c>
      <c r="I64">
        <v>9</v>
      </c>
      <c r="J64">
        <v>1.8</v>
      </c>
      <c r="K64" t="s">
        <v>584</v>
      </c>
      <c r="L64">
        <v>0</v>
      </c>
      <c r="N64" t="s">
        <v>585</v>
      </c>
      <c r="O64" t="s">
        <v>586</v>
      </c>
      <c r="P64" t="s">
        <v>20</v>
      </c>
      <c r="Q64">
        <f>(VALUE(LEFT(SUBSTITUTE(O64,"T"," "),23)) - VALUE(LEFT(SUBSTITUTE(N64,"T"," "),23))) * 86400</f>
        <v>310.44300030916929</v>
      </c>
      <c r="R64">
        <f>I64/G64</f>
        <v>0.11729746637472631</v>
      </c>
      <c r="S64">
        <f>H64/G64</f>
        <v>0.33885934730476491</v>
      </c>
    </row>
    <row r="65" spans="1:19" hidden="1" x14ac:dyDescent="0.2">
      <c r="A65">
        <v>23</v>
      </c>
      <c r="B65" t="s">
        <v>21</v>
      </c>
      <c r="C65">
        <v>50</v>
      </c>
      <c r="D65">
        <v>1</v>
      </c>
      <c r="E65">
        <v>1002</v>
      </c>
      <c r="F65" t="b">
        <v>1</v>
      </c>
      <c r="G65">
        <v>60.112000000000002</v>
      </c>
      <c r="H65">
        <v>25</v>
      </c>
      <c r="I65">
        <v>12</v>
      </c>
      <c r="J65">
        <v>1.98</v>
      </c>
      <c r="K65" t="s">
        <v>599</v>
      </c>
      <c r="L65">
        <v>0</v>
      </c>
      <c r="N65" t="s">
        <v>600</v>
      </c>
      <c r="O65" t="s">
        <v>601</v>
      </c>
      <c r="P65" t="s">
        <v>20</v>
      </c>
      <c r="Q65">
        <f>(VALUE(LEFT(SUBSTITUTE(O65,"T"," "),23)) - VALUE(LEFT(SUBSTITUTE(N65,"T"," "),23))) * 86400</f>
        <v>326.45599998068064</v>
      </c>
      <c r="R65">
        <f>I65/G65</f>
        <v>0.19962736225712005</v>
      </c>
      <c r="S65">
        <f>H65/G65</f>
        <v>0.41589033803566672</v>
      </c>
    </row>
    <row r="66" spans="1:19" hidden="1" x14ac:dyDescent="0.2">
      <c r="A66">
        <v>26</v>
      </c>
      <c r="B66" t="s">
        <v>21</v>
      </c>
      <c r="C66">
        <v>70</v>
      </c>
      <c r="D66">
        <v>1</v>
      </c>
      <c r="E66">
        <v>1002</v>
      </c>
      <c r="F66" t="b">
        <v>1</v>
      </c>
      <c r="G66">
        <v>63.988</v>
      </c>
      <c r="H66">
        <v>26</v>
      </c>
      <c r="I66">
        <v>18</v>
      </c>
      <c r="J66">
        <v>3.06</v>
      </c>
      <c r="K66" t="s">
        <v>608</v>
      </c>
      <c r="L66">
        <v>0</v>
      </c>
      <c r="N66" t="s">
        <v>609</v>
      </c>
      <c r="O66" t="s">
        <v>610</v>
      </c>
      <c r="P66" t="s">
        <v>20</v>
      </c>
      <c r="Q66">
        <f>(VALUE(LEFT(SUBSTITUTE(O66,"T"," "),23)) - VALUE(LEFT(SUBSTITUTE(N66,"T"," "),23))) * 86400</f>
        <v>309.24299990292639</v>
      </c>
      <c r="R66">
        <f>I66/G66</f>
        <v>0.2813027442645496</v>
      </c>
      <c r="S66">
        <f>H66/G66</f>
        <v>0.40632618615990501</v>
      </c>
    </row>
    <row r="67" spans="1:19" hidden="1" x14ac:dyDescent="0.2">
      <c r="A67">
        <v>19</v>
      </c>
      <c r="B67" t="s">
        <v>3413</v>
      </c>
      <c r="C67">
        <v>-1</v>
      </c>
      <c r="D67">
        <v>10</v>
      </c>
      <c r="E67">
        <v>1019</v>
      </c>
      <c r="F67" t="b">
        <v>1</v>
      </c>
      <c r="G67">
        <v>33.94</v>
      </c>
      <c r="H67">
        <v>32</v>
      </c>
      <c r="I67">
        <v>5</v>
      </c>
      <c r="J67">
        <v>3.18</v>
      </c>
      <c r="K67" t="s">
        <v>3078</v>
      </c>
      <c r="L67">
        <v>0</v>
      </c>
      <c r="N67" t="s">
        <v>3079</v>
      </c>
      <c r="O67" t="s">
        <v>3080</v>
      </c>
      <c r="P67" t="s">
        <v>20</v>
      </c>
      <c r="Q67">
        <f>(VALUE(LEFT(SUBSTITUTE(O67,"T"," "),23)) - VALUE(LEFT(SUBSTITUTE(N67,"T"," "),23))) * 86400</f>
        <v>133.53399960324168</v>
      </c>
      <c r="R67">
        <f>I67/G67</f>
        <v>0.14731879787860933</v>
      </c>
      <c r="S67">
        <f>H67/G67</f>
        <v>0.94284030642309968</v>
      </c>
    </row>
    <row r="68" spans="1:19" hidden="1" x14ac:dyDescent="0.2">
      <c r="A68">
        <v>6</v>
      </c>
      <c r="B68" t="s">
        <v>25</v>
      </c>
      <c r="C68">
        <v>0</v>
      </c>
      <c r="D68">
        <v>1</v>
      </c>
      <c r="E68">
        <v>1002</v>
      </c>
      <c r="F68" t="b">
        <v>1</v>
      </c>
      <c r="G68">
        <v>58.704000000000001</v>
      </c>
      <c r="H68">
        <v>25</v>
      </c>
      <c r="I68">
        <v>0</v>
      </c>
      <c r="J68">
        <v>0</v>
      </c>
      <c r="K68" t="s">
        <v>551</v>
      </c>
      <c r="L68">
        <v>0</v>
      </c>
      <c r="N68" t="s">
        <v>552</v>
      </c>
      <c r="O68" t="s">
        <v>553</v>
      </c>
      <c r="P68" t="s">
        <v>20</v>
      </c>
      <c r="Q68">
        <f>(VALUE(LEFT(SUBSTITUTE(O68,"T"," "),23)) - VALUE(LEFT(SUBSTITUTE(N68,"T"," "),23))) * 86400</f>
        <v>255.12899989262223</v>
      </c>
      <c r="R68">
        <f>I68/G68</f>
        <v>0</v>
      </c>
      <c r="S68">
        <f>H68/G68</f>
        <v>0.42586535840828565</v>
      </c>
    </row>
    <row r="69" spans="1:19" x14ac:dyDescent="0.2">
      <c r="A69">
        <v>115</v>
      </c>
      <c r="B69" t="s">
        <v>16</v>
      </c>
      <c r="C69">
        <v>2</v>
      </c>
      <c r="D69">
        <v>5</v>
      </c>
      <c r="E69">
        <v>1006</v>
      </c>
      <c r="F69" t="b">
        <v>1</v>
      </c>
      <c r="G69">
        <v>109.952</v>
      </c>
      <c r="H69">
        <v>25</v>
      </c>
      <c r="I69">
        <v>3</v>
      </c>
      <c r="J69">
        <v>1.8</v>
      </c>
      <c r="K69" t="s">
        <v>875</v>
      </c>
      <c r="L69">
        <v>0</v>
      </c>
      <c r="N69" t="s">
        <v>876</v>
      </c>
      <c r="O69" t="s">
        <v>877</v>
      </c>
      <c r="P69" t="s">
        <v>20</v>
      </c>
      <c r="Q69">
        <f>(VALUE(LEFT(SUBSTITUTE(O69,"T"," "),23)) - VALUE(LEFT(SUBSTITUTE(N69,"T"," "),23))) * 86400</f>
        <v>446.2650004774332</v>
      </c>
      <c r="R69">
        <f>I69/G69</f>
        <v>2.7284633294528522E-2</v>
      </c>
      <c r="S69">
        <f>H69/G69</f>
        <v>0.22737194412107101</v>
      </c>
    </row>
    <row r="70" spans="1:19" hidden="1" x14ac:dyDescent="0.2">
      <c r="A70">
        <v>12</v>
      </c>
      <c r="B70" t="s">
        <v>25</v>
      </c>
      <c r="C70">
        <v>5</v>
      </c>
      <c r="D70">
        <v>1</v>
      </c>
      <c r="E70">
        <v>1002</v>
      </c>
      <c r="F70" t="b">
        <v>1</v>
      </c>
      <c r="G70">
        <v>46.24</v>
      </c>
      <c r="H70">
        <v>21</v>
      </c>
      <c r="I70">
        <v>1</v>
      </c>
      <c r="J70">
        <v>0.72</v>
      </c>
      <c r="K70" t="s">
        <v>569</v>
      </c>
      <c r="L70">
        <v>0</v>
      </c>
      <c r="N70" t="s">
        <v>570</v>
      </c>
      <c r="O70" t="s">
        <v>571</v>
      </c>
      <c r="P70" t="s">
        <v>20</v>
      </c>
      <c r="Q70">
        <f>(VALUE(LEFT(SUBSTITUTE(O70,"T"," "),23)) - VALUE(LEFT(SUBSTITUTE(N70,"T"," "),23))) * 86400</f>
        <v>175.4770003259182</v>
      </c>
      <c r="R70">
        <f>I70/G70</f>
        <v>2.162629757785467E-2</v>
      </c>
      <c r="S70">
        <f>H70/G70</f>
        <v>0.45415224913494806</v>
      </c>
    </row>
    <row r="71" spans="1:19" hidden="1" x14ac:dyDescent="0.2">
      <c r="A71">
        <v>15</v>
      </c>
      <c r="B71" t="s">
        <v>25</v>
      </c>
      <c r="C71">
        <v>10</v>
      </c>
      <c r="D71">
        <v>1</v>
      </c>
      <c r="E71">
        <v>1002</v>
      </c>
      <c r="F71" t="b">
        <v>1</v>
      </c>
      <c r="G71">
        <v>44.932000000000002</v>
      </c>
      <c r="H71">
        <v>28</v>
      </c>
      <c r="I71">
        <v>5</v>
      </c>
      <c r="J71">
        <v>1.38</v>
      </c>
      <c r="K71" t="s">
        <v>578</v>
      </c>
      <c r="L71">
        <v>0</v>
      </c>
      <c r="N71" t="s">
        <v>579</v>
      </c>
      <c r="O71" t="s">
        <v>580</v>
      </c>
      <c r="P71" t="s">
        <v>20</v>
      </c>
      <c r="Q71">
        <f>(VALUE(LEFT(SUBSTITUTE(O71,"T"," "),23)) - VALUE(LEFT(SUBSTITUTE(N71,"T"," "),23))) * 86400</f>
        <v>250.95999967306852</v>
      </c>
      <c r="R71">
        <f>I71/G71</f>
        <v>0.11127926644707557</v>
      </c>
      <c r="S71">
        <f>H71/G71</f>
        <v>0.62316389210362322</v>
      </c>
    </row>
    <row r="72" spans="1:19" hidden="1" x14ac:dyDescent="0.2">
      <c r="A72">
        <v>18</v>
      </c>
      <c r="B72" t="s">
        <v>25</v>
      </c>
      <c r="C72">
        <v>15</v>
      </c>
      <c r="D72">
        <v>1</v>
      </c>
      <c r="E72">
        <v>1002</v>
      </c>
      <c r="F72" t="b">
        <v>1</v>
      </c>
      <c r="G72">
        <v>50.792000000000002</v>
      </c>
      <c r="H72">
        <v>30</v>
      </c>
      <c r="I72">
        <v>3</v>
      </c>
      <c r="J72">
        <v>0.48</v>
      </c>
      <c r="K72" t="s">
        <v>587</v>
      </c>
      <c r="L72">
        <v>0</v>
      </c>
      <c r="N72" t="s">
        <v>588</v>
      </c>
      <c r="O72" t="s">
        <v>589</v>
      </c>
      <c r="P72" t="s">
        <v>20</v>
      </c>
      <c r="Q72">
        <f>(VALUE(LEFT(SUBSTITUTE(O72,"T"," "),23)) - VALUE(LEFT(SUBSTITUTE(N72,"T"," "),23))) * 86400</f>
        <v>180.35699988249689</v>
      </c>
      <c r="R72">
        <f>I72/G72</f>
        <v>5.9064419593636792E-2</v>
      </c>
      <c r="S72">
        <f>H72/G72</f>
        <v>0.59064419593636797</v>
      </c>
    </row>
    <row r="73" spans="1:19" hidden="1" x14ac:dyDescent="0.2">
      <c r="A73">
        <v>21</v>
      </c>
      <c r="B73" t="s">
        <v>25</v>
      </c>
      <c r="C73">
        <v>20</v>
      </c>
      <c r="D73">
        <v>1</v>
      </c>
      <c r="E73">
        <v>1002</v>
      </c>
      <c r="F73" t="b">
        <v>1</v>
      </c>
      <c r="G73">
        <v>41.951999999999998</v>
      </c>
      <c r="H73">
        <v>28</v>
      </c>
      <c r="I73">
        <v>1</v>
      </c>
      <c r="J73">
        <v>0.54</v>
      </c>
      <c r="K73" t="s">
        <v>593</v>
      </c>
      <c r="L73">
        <v>0</v>
      </c>
      <c r="N73" t="s">
        <v>594</v>
      </c>
      <c r="O73" t="s">
        <v>595</v>
      </c>
      <c r="P73" t="s">
        <v>20</v>
      </c>
      <c r="Q73">
        <f>(VALUE(LEFT(SUBSTITUTE(O73,"T"," "),23)) - VALUE(LEFT(SUBSTITUTE(N73,"T"," "),23))) * 86400</f>
        <v>172.05100050196052</v>
      </c>
      <c r="R73">
        <f>I73/G73</f>
        <v>2.3836765827612509E-2</v>
      </c>
      <c r="S73">
        <f>H73/G73</f>
        <v>0.66742944317315034</v>
      </c>
    </row>
    <row r="74" spans="1:19" hidden="1" x14ac:dyDescent="0.2">
      <c r="A74">
        <v>24</v>
      </c>
      <c r="B74" t="s">
        <v>25</v>
      </c>
      <c r="C74">
        <v>50</v>
      </c>
      <c r="D74">
        <v>1</v>
      </c>
      <c r="E74">
        <v>1002</v>
      </c>
      <c r="F74" t="b">
        <v>1</v>
      </c>
      <c r="G74">
        <v>58.003999999999998</v>
      </c>
      <c r="H74">
        <v>27</v>
      </c>
      <c r="I74">
        <v>3</v>
      </c>
      <c r="J74">
        <v>0.66</v>
      </c>
      <c r="K74" t="s">
        <v>602</v>
      </c>
      <c r="L74">
        <v>0</v>
      </c>
      <c r="N74" t="s">
        <v>603</v>
      </c>
      <c r="O74" t="s">
        <v>604</v>
      </c>
      <c r="P74" t="s">
        <v>20</v>
      </c>
      <c r="Q74">
        <f>(VALUE(LEFT(SUBSTITUTE(O74,"T"," "),23)) - VALUE(LEFT(SUBSTITUTE(N74,"T"," "),23))) * 86400</f>
        <v>288.67500016931444</v>
      </c>
      <c r="R74">
        <f>I74/G74</f>
        <v>5.1720570995103785E-2</v>
      </c>
      <c r="S74">
        <f>H74/G74</f>
        <v>0.46548513895593407</v>
      </c>
    </row>
    <row r="75" spans="1:19" hidden="1" x14ac:dyDescent="0.2">
      <c r="A75">
        <v>27</v>
      </c>
      <c r="B75" t="s">
        <v>25</v>
      </c>
      <c r="C75">
        <v>70</v>
      </c>
      <c r="D75">
        <v>1</v>
      </c>
      <c r="E75">
        <v>1002</v>
      </c>
      <c r="F75" t="b">
        <v>1</v>
      </c>
      <c r="G75">
        <v>31.98</v>
      </c>
      <c r="H75">
        <v>27</v>
      </c>
      <c r="I75">
        <v>7</v>
      </c>
      <c r="J75">
        <v>0.84</v>
      </c>
      <c r="K75" t="s">
        <v>611</v>
      </c>
      <c r="L75">
        <v>0</v>
      </c>
      <c r="N75" t="s">
        <v>612</v>
      </c>
      <c r="O75" t="s">
        <v>613</v>
      </c>
      <c r="P75" t="s">
        <v>20</v>
      </c>
      <c r="Q75">
        <f>(VALUE(LEFT(SUBSTITUTE(O75,"T"," "),23)) - VALUE(LEFT(SUBSTITUTE(N75,"T"," "),23))) * 86400</f>
        <v>195.86999975144863</v>
      </c>
      <c r="R75">
        <f>I75/G75</f>
        <v>0.21888680425265791</v>
      </c>
      <c r="S75">
        <f>H75/G75</f>
        <v>0.84427767354596617</v>
      </c>
    </row>
    <row r="76" spans="1:19" hidden="1" x14ac:dyDescent="0.2">
      <c r="A76">
        <v>3</v>
      </c>
      <c r="B76" t="s">
        <v>3413</v>
      </c>
      <c r="C76">
        <v>-1</v>
      </c>
      <c r="D76">
        <v>2</v>
      </c>
      <c r="E76">
        <v>1001</v>
      </c>
      <c r="F76" t="b">
        <v>1</v>
      </c>
      <c r="G76">
        <v>33.975999999999999</v>
      </c>
      <c r="H76">
        <v>32</v>
      </c>
      <c r="I76">
        <v>1</v>
      </c>
      <c r="J76">
        <v>2.46</v>
      </c>
      <c r="K76" t="s">
        <v>2971</v>
      </c>
      <c r="L76">
        <v>0</v>
      </c>
      <c r="N76" t="s">
        <v>2972</v>
      </c>
      <c r="O76" t="s">
        <v>2973</v>
      </c>
      <c r="P76" t="s">
        <v>20</v>
      </c>
      <c r="Q76">
        <f>(VALUE(LEFT(SUBSTITUTE(O76,"T"," "),23)) - VALUE(LEFT(SUBSTITUTE(N76,"T"," "),23))) * 86400</f>
        <v>148.73599985148758</v>
      </c>
      <c r="R76">
        <f>I76/G76</f>
        <v>2.9432540616906051E-2</v>
      </c>
      <c r="S76">
        <f>H76/G76</f>
        <v>0.94184129974099362</v>
      </c>
    </row>
    <row r="77" spans="1:19" hidden="1" x14ac:dyDescent="0.2">
      <c r="A77">
        <v>4</v>
      </c>
      <c r="B77" t="s">
        <v>16</v>
      </c>
      <c r="C77">
        <v>0</v>
      </c>
      <c r="D77">
        <v>1</v>
      </c>
      <c r="E77">
        <v>1002</v>
      </c>
      <c r="F77" t="b">
        <v>1</v>
      </c>
      <c r="G77">
        <v>69.676000000000002</v>
      </c>
      <c r="H77">
        <v>26</v>
      </c>
      <c r="I77">
        <v>4</v>
      </c>
      <c r="J77">
        <v>1.2</v>
      </c>
      <c r="K77" t="s">
        <v>545</v>
      </c>
      <c r="L77">
        <v>0</v>
      </c>
      <c r="N77" t="s">
        <v>546</v>
      </c>
      <c r="O77" t="s">
        <v>547</v>
      </c>
      <c r="P77" t="s">
        <v>20</v>
      </c>
      <c r="Q77">
        <f>(VALUE(LEFT(SUBSTITUTE(O77,"T"," "),23)) - VALUE(LEFT(SUBSTITUTE(N77,"T"," "),23))) * 86400</f>
        <v>319.79400005657226</v>
      </c>
      <c r="R77">
        <f>I77/G77</f>
        <v>5.74085768413801E-2</v>
      </c>
      <c r="S77">
        <f>H77/G77</f>
        <v>0.37315574946897068</v>
      </c>
    </row>
    <row r="78" spans="1:19" x14ac:dyDescent="0.2">
      <c r="A78">
        <v>61</v>
      </c>
      <c r="B78" t="s">
        <v>16</v>
      </c>
      <c r="C78">
        <v>2</v>
      </c>
      <c r="D78">
        <v>3</v>
      </c>
      <c r="E78">
        <v>1014</v>
      </c>
      <c r="F78" t="b">
        <v>1</v>
      </c>
      <c r="G78">
        <v>117.88</v>
      </c>
      <c r="H78">
        <v>27</v>
      </c>
      <c r="I78">
        <v>2</v>
      </c>
      <c r="J78">
        <v>0.18</v>
      </c>
      <c r="K78" t="s">
        <v>1156</v>
      </c>
      <c r="L78">
        <v>0</v>
      </c>
      <c r="N78" t="s">
        <v>1157</v>
      </c>
      <c r="O78" t="s">
        <v>1158</v>
      </c>
      <c r="P78" t="s">
        <v>20</v>
      </c>
      <c r="Q78">
        <f>(VALUE(LEFT(SUBSTITUTE(O78,"T"," "),23)) - VALUE(LEFT(SUBSTITUTE(N78,"T"," "),23))) * 86400</f>
        <v>407.92400005739182</v>
      </c>
      <c r="R78">
        <f>I78/G78</f>
        <v>1.6966406515100101E-2</v>
      </c>
      <c r="S78">
        <f>H78/G78</f>
        <v>0.22904648795385138</v>
      </c>
    </row>
    <row r="79" spans="1:19" hidden="1" x14ac:dyDescent="0.2">
      <c r="A79">
        <v>10</v>
      </c>
      <c r="B79" t="s">
        <v>16</v>
      </c>
      <c r="C79">
        <v>5</v>
      </c>
      <c r="D79">
        <v>1</v>
      </c>
      <c r="E79">
        <v>1002</v>
      </c>
      <c r="F79" t="b">
        <v>1</v>
      </c>
      <c r="G79">
        <v>111.54</v>
      </c>
      <c r="H79">
        <v>27</v>
      </c>
      <c r="I79">
        <v>2</v>
      </c>
      <c r="J79">
        <v>0.24</v>
      </c>
      <c r="K79" t="s">
        <v>563</v>
      </c>
      <c r="L79">
        <v>0</v>
      </c>
      <c r="N79" t="s">
        <v>564</v>
      </c>
      <c r="O79" t="s">
        <v>565</v>
      </c>
      <c r="P79" t="s">
        <v>20</v>
      </c>
      <c r="Q79">
        <f>(VALUE(LEFT(SUBSTITUTE(O79,"T"," "),23)) - VALUE(LEFT(SUBSTITUTE(N79,"T"," "),23))) * 86400</f>
        <v>389.09600044135004</v>
      </c>
      <c r="R79">
        <f>I79/G79</f>
        <v>1.793078716155639E-2</v>
      </c>
      <c r="S79">
        <f>H79/G79</f>
        <v>0.24206562668101128</v>
      </c>
    </row>
    <row r="80" spans="1:19" hidden="1" x14ac:dyDescent="0.2">
      <c r="A80">
        <v>13</v>
      </c>
      <c r="B80" t="s">
        <v>16</v>
      </c>
      <c r="C80">
        <v>10</v>
      </c>
      <c r="D80">
        <v>1</v>
      </c>
      <c r="E80">
        <v>1002</v>
      </c>
      <c r="F80" t="b">
        <v>1</v>
      </c>
      <c r="G80">
        <v>52.103999999999999</v>
      </c>
      <c r="H80">
        <v>28</v>
      </c>
      <c r="I80">
        <v>4</v>
      </c>
      <c r="J80">
        <v>0.42</v>
      </c>
      <c r="K80" t="s">
        <v>572</v>
      </c>
      <c r="L80">
        <v>0</v>
      </c>
      <c r="N80" t="s">
        <v>573</v>
      </c>
      <c r="O80" t="s">
        <v>574</v>
      </c>
      <c r="P80" t="s">
        <v>20</v>
      </c>
      <c r="Q80">
        <f>(VALUE(LEFT(SUBSTITUTE(O80,"T"," "),23)) - VALUE(LEFT(SUBSTITUTE(N80,"T"," "),23))) * 86400</f>
        <v>220.85300018079579</v>
      </c>
      <c r="R80">
        <f>I80/G80</f>
        <v>7.6769537847382163E-2</v>
      </c>
      <c r="S80">
        <f>H80/G80</f>
        <v>0.53738676493167514</v>
      </c>
    </row>
    <row r="81" spans="1:19" hidden="1" x14ac:dyDescent="0.2">
      <c r="A81">
        <v>16</v>
      </c>
      <c r="B81" t="s">
        <v>16</v>
      </c>
      <c r="C81">
        <v>15</v>
      </c>
      <c r="D81">
        <v>1</v>
      </c>
      <c r="E81">
        <v>1002</v>
      </c>
      <c r="F81" t="b">
        <v>1</v>
      </c>
      <c r="G81">
        <v>77.712000000000003</v>
      </c>
      <c r="H81">
        <v>28</v>
      </c>
      <c r="I81">
        <v>11</v>
      </c>
      <c r="J81">
        <v>3.12</v>
      </c>
      <c r="K81" t="s">
        <v>581</v>
      </c>
      <c r="L81">
        <v>0</v>
      </c>
      <c r="N81" t="s">
        <v>582</v>
      </c>
      <c r="O81" t="s">
        <v>583</v>
      </c>
      <c r="P81" t="s">
        <v>20</v>
      </c>
      <c r="Q81">
        <f>(VALUE(LEFT(SUBSTITUTE(O81,"T"," "),23)) - VALUE(LEFT(SUBSTITUTE(N81,"T"," "),23))) * 86400</f>
        <v>339.05900004319847</v>
      </c>
      <c r="R81">
        <f>I81/G81</f>
        <v>0.14154828083178916</v>
      </c>
      <c r="S81">
        <f>H81/G81</f>
        <v>0.36030471484455423</v>
      </c>
    </row>
    <row r="82" spans="1:19" hidden="1" x14ac:dyDescent="0.2">
      <c r="A82">
        <v>19</v>
      </c>
      <c r="B82" t="s">
        <v>16</v>
      </c>
      <c r="C82">
        <v>20</v>
      </c>
      <c r="D82">
        <v>1</v>
      </c>
      <c r="E82">
        <v>1002</v>
      </c>
      <c r="F82" t="b">
        <v>1</v>
      </c>
      <c r="G82">
        <v>70.707999999999998</v>
      </c>
      <c r="H82">
        <v>24</v>
      </c>
      <c r="I82">
        <v>8</v>
      </c>
      <c r="J82">
        <v>1.86</v>
      </c>
      <c r="K82" t="s">
        <v>590</v>
      </c>
      <c r="L82">
        <v>0</v>
      </c>
      <c r="N82" t="s">
        <v>591</v>
      </c>
      <c r="O82" t="s">
        <v>592</v>
      </c>
      <c r="P82" t="s">
        <v>20</v>
      </c>
      <c r="Q82">
        <f>(VALUE(LEFT(SUBSTITUTE(O82,"T"," "),23)) - VALUE(LEFT(SUBSTITUTE(N82,"T"," "),23))) * 86400</f>
        <v>334.49299999047071</v>
      </c>
      <c r="R82">
        <f>I82/G82</f>
        <v>0.11314137014199242</v>
      </c>
      <c r="S82">
        <f>H82/G82</f>
        <v>0.33942411042597725</v>
      </c>
    </row>
    <row r="83" spans="1:19" hidden="1" x14ac:dyDescent="0.2">
      <c r="A83">
        <v>22</v>
      </c>
      <c r="B83" t="s">
        <v>16</v>
      </c>
      <c r="C83">
        <v>50</v>
      </c>
      <c r="D83">
        <v>1</v>
      </c>
      <c r="E83">
        <v>1002</v>
      </c>
      <c r="F83" t="b">
        <v>1</v>
      </c>
      <c r="G83">
        <v>76.311999999999998</v>
      </c>
      <c r="H83">
        <v>26</v>
      </c>
      <c r="I83">
        <v>9</v>
      </c>
      <c r="J83">
        <v>1.92</v>
      </c>
      <c r="K83" t="s">
        <v>596</v>
      </c>
      <c r="L83">
        <v>0</v>
      </c>
      <c r="N83" t="s">
        <v>597</v>
      </c>
      <c r="O83" t="s">
        <v>598</v>
      </c>
      <c r="P83" t="s">
        <v>20</v>
      </c>
      <c r="Q83">
        <f>(VALUE(LEFT(SUBSTITUTE(O83,"T"," "),23)) - VALUE(LEFT(SUBSTITUTE(N83,"T"," "),23))) * 86400</f>
        <v>312.54200006369501</v>
      </c>
      <c r="R83">
        <f>I83/G83</f>
        <v>0.11793689065939826</v>
      </c>
      <c r="S83">
        <f>H83/G83</f>
        <v>0.3407065730160394</v>
      </c>
    </row>
    <row r="84" spans="1:19" hidden="1" x14ac:dyDescent="0.2">
      <c r="A84">
        <v>25</v>
      </c>
      <c r="B84" t="s">
        <v>16</v>
      </c>
      <c r="C84">
        <v>70</v>
      </c>
      <c r="D84">
        <v>1</v>
      </c>
      <c r="E84">
        <v>1002</v>
      </c>
      <c r="F84" t="b">
        <v>1</v>
      </c>
      <c r="G84">
        <v>70.516000000000005</v>
      </c>
      <c r="H84">
        <v>26</v>
      </c>
      <c r="I84">
        <v>16</v>
      </c>
      <c r="J84">
        <v>3.9</v>
      </c>
      <c r="K84" t="s">
        <v>605</v>
      </c>
      <c r="L84">
        <v>0</v>
      </c>
      <c r="N84" t="s">
        <v>606</v>
      </c>
      <c r="O84" t="s">
        <v>607</v>
      </c>
      <c r="P84" t="s">
        <v>20</v>
      </c>
      <c r="Q84">
        <f>(VALUE(LEFT(SUBSTITUTE(O84,"T"," "),23)) - VALUE(LEFT(SUBSTITUTE(N84,"T"," "),23))) * 86400</f>
        <v>297.64099961612374</v>
      </c>
      <c r="R84">
        <f>I84/G84</f>
        <v>0.22689885983322933</v>
      </c>
      <c r="S84">
        <f>H84/G84</f>
        <v>0.36871064722899766</v>
      </c>
    </row>
    <row r="85" spans="1:19" hidden="1" x14ac:dyDescent="0.2">
      <c r="A85">
        <v>57</v>
      </c>
      <c r="B85" t="s">
        <v>25</v>
      </c>
      <c r="C85">
        <v>-1</v>
      </c>
      <c r="D85">
        <v>3</v>
      </c>
      <c r="E85">
        <v>1029</v>
      </c>
      <c r="F85" t="b">
        <v>1</v>
      </c>
      <c r="G85">
        <v>31.46</v>
      </c>
      <c r="H85">
        <v>29</v>
      </c>
      <c r="I85">
        <v>5</v>
      </c>
      <c r="J85">
        <v>7.32</v>
      </c>
      <c r="K85" t="s">
        <v>2401</v>
      </c>
      <c r="L85">
        <v>0</v>
      </c>
      <c r="N85" t="s">
        <v>2402</v>
      </c>
      <c r="O85" t="s">
        <v>2403</v>
      </c>
      <c r="P85" t="s">
        <v>20</v>
      </c>
      <c r="Q85">
        <f>(VALUE(LEFT(SUBSTITUTE(O85,"T"," "),23)) - VALUE(LEFT(SUBSTITUTE(N85,"T"," "),23))) * 86400</f>
        <v>68.693999759852886</v>
      </c>
      <c r="R85">
        <f>I85/G85</f>
        <v>0.15893197711379528</v>
      </c>
      <c r="S85">
        <f>H85/G85</f>
        <v>0.92180546726001267</v>
      </c>
    </row>
    <row r="86" spans="1:19" hidden="1" x14ac:dyDescent="0.2">
      <c r="A86">
        <v>32</v>
      </c>
      <c r="B86" t="s">
        <v>21</v>
      </c>
      <c r="C86">
        <v>0</v>
      </c>
      <c r="D86">
        <v>2</v>
      </c>
      <c r="E86">
        <v>1003</v>
      </c>
      <c r="F86" t="b">
        <v>1</v>
      </c>
      <c r="G86">
        <v>120.044</v>
      </c>
      <c r="H86">
        <v>27</v>
      </c>
      <c r="I86">
        <v>3</v>
      </c>
      <c r="J86">
        <v>1.2</v>
      </c>
      <c r="K86" t="s">
        <v>626</v>
      </c>
      <c r="L86">
        <v>0</v>
      </c>
      <c r="N86" t="s">
        <v>627</v>
      </c>
      <c r="O86" t="s">
        <v>628</v>
      </c>
      <c r="P86" t="s">
        <v>20</v>
      </c>
      <c r="Q86">
        <f>(VALUE(LEFT(SUBSTITUTE(O86,"T"," "),23)) - VALUE(LEFT(SUBSTITUTE(N86,"T"," "),23))) * 86400</f>
        <v>558.30399999395013</v>
      </c>
      <c r="R86">
        <f>I86/G86</f>
        <v>2.499083669321249E-2</v>
      </c>
      <c r="S86">
        <f>H86/G86</f>
        <v>0.22491753023891239</v>
      </c>
    </row>
    <row r="87" spans="1:19" x14ac:dyDescent="0.2">
      <c r="A87">
        <v>62</v>
      </c>
      <c r="B87" t="s">
        <v>21</v>
      </c>
      <c r="C87">
        <v>2</v>
      </c>
      <c r="D87">
        <v>3</v>
      </c>
      <c r="E87">
        <v>1024</v>
      </c>
      <c r="F87" t="b">
        <v>1</v>
      </c>
      <c r="G87">
        <v>99.62</v>
      </c>
      <c r="H87">
        <v>23</v>
      </c>
      <c r="I87">
        <v>2</v>
      </c>
      <c r="J87">
        <v>1.02</v>
      </c>
      <c r="K87" t="s">
        <v>1580</v>
      </c>
      <c r="L87">
        <v>0</v>
      </c>
      <c r="N87" t="s">
        <v>1581</v>
      </c>
      <c r="O87" t="s">
        <v>1582</v>
      </c>
      <c r="P87" t="s">
        <v>20</v>
      </c>
      <c r="Q87">
        <f>(VALUE(LEFT(SUBSTITUTE(O87,"T"," "),23)) - VALUE(LEFT(SUBSTITUTE(N87,"T"," "),23))) * 86400</f>
        <v>471.60800008568913</v>
      </c>
      <c r="R87">
        <f>I87/G87</f>
        <v>2.0076289901626177E-2</v>
      </c>
      <c r="S87">
        <f>H87/G87</f>
        <v>0.23087733386870105</v>
      </c>
    </row>
    <row r="88" spans="1:19" hidden="1" x14ac:dyDescent="0.2">
      <c r="A88">
        <v>38</v>
      </c>
      <c r="B88" t="s">
        <v>21</v>
      </c>
      <c r="C88">
        <v>5</v>
      </c>
      <c r="D88">
        <v>2</v>
      </c>
      <c r="E88">
        <v>1003</v>
      </c>
      <c r="F88" t="b">
        <v>1</v>
      </c>
      <c r="G88">
        <v>69.311999999999998</v>
      </c>
      <c r="H88">
        <v>28</v>
      </c>
      <c r="I88">
        <v>1</v>
      </c>
      <c r="J88">
        <v>0.06</v>
      </c>
      <c r="K88" t="s">
        <v>644</v>
      </c>
      <c r="L88">
        <v>0</v>
      </c>
      <c r="N88" t="s">
        <v>645</v>
      </c>
      <c r="O88" t="s">
        <v>646</v>
      </c>
      <c r="P88" t="s">
        <v>20</v>
      </c>
      <c r="Q88">
        <f>(VALUE(LEFT(SUBSTITUTE(O88,"T"," "),23)) - VALUE(LEFT(SUBSTITUTE(N88,"T"," "),23))) * 86400</f>
        <v>265.31699972692877</v>
      </c>
      <c r="R88">
        <f>I88/G88</f>
        <v>1.4427516158818099E-2</v>
      </c>
      <c r="S88">
        <f>H88/G88</f>
        <v>0.40397045244690677</v>
      </c>
    </row>
    <row r="89" spans="1:19" hidden="1" x14ac:dyDescent="0.2">
      <c r="A89">
        <v>41</v>
      </c>
      <c r="B89" t="s">
        <v>21</v>
      </c>
      <c r="C89">
        <v>10</v>
      </c>
      <c r="D89">
        <v>2</v>
      </c>
      <c r="E89">
        <v>1003</v>
      </c>
      <c r="F89" t="b">
        <v>1</v>
      </c>
      <c r="G89">
        <v>74.144000000000005</v>
      </c>
      <c r="H89">
        <v>27</v>
      </c>
      <c r="I89">
        <v>1</v>
      </c>
      <c r="J89">
        <v>0.84</v>
      </c>
      <c r="K89" t="s">
        <v>653</v>
      </c>
      <c r="L89">
        <v>0</v>
      </c>
      <c r="N89" t="s">
        <v>654</v>
      </c>
      <c r="O89" t="s">
        <v>655</v>
      </c>
      <c r="P89" t="s">
        <v>20</v>
      </c>
      <c r="Q89">
        <f>(VALUE(LEFT(SUBSTITUTE(O89,"T"," "),23)) - VALUE(LEFT(SUBSTITUTE(N89,"T"," "),23))) * 86400</f>
        <v>281.73800047952682</v>
      </c>
      <c r="R89">
        <f>I89/G89</f>
        <v>1.3487268018990072E-2</v>
      </c>
      <c r="S89">
        <f>H89/G89</f>
        <v>0.36415623651273193</v>
      </c>
    </row>
    <row r="90" spans="1:19" hidden="1" x14ac:dyDescent="0.2">
      <c r="A90">
        <v>44</v>
      </c>
      <c r="B90" t="s">
        <v>21</v>
      </c>
      <c r="C90">
        <v>15</v>
      </c>
      <c r="D90">
        <v>2</v>
      </c>
      <c r="E90">
        <v>1003</v>
      </c>
      <c r="F90" t="b">
        <v>1</v>
      </c>
      <c r="G90">
        <v>69</v>
      </c>
      <c r="H90">
        <v>26</v>
      </c>
      <c r="I90">
        <v>2</v>
      </c>
      <c r="J90">
        <v>0.18</v>
      </c>
      <c r="K90" t="s">
        <v>662</v>
      </c>
      <c r="L90">
        <v>0</v>
      </c>
      <c r="N90" t="s">
        <v>663</v>
      </c>
      <c r="O90" t="s">
        <v>664</v>
      </c>
      <c r="P90" t="s">
        <v>20</v>
      </c>
      <c r="Q90">
        <f>(VALUE(LEFT(SUBSTITUTE(O90,"T"," "),23)) - VALUE(LEFT(SUBSTITUTE(N90,"T"," "),23))) * 86400</f>
        <v>298.69999985676259</v>
      </c>
      <c r="R90">
        <f>I90/G90</f>
        <v>2.8985507246376812E-2</v>
      </c>
      <c r="S90">
        <f>H90/G90</f>
        <v>0.37681159420289856</v>
      </c>
    </row>
    <row r="91" spans="1:19" hidden="1" x14ac:dyDescent="0.2">
      <c r="A91">
        <v>47</v>
      </c>
      <c r="B91" t="s">
        <v>21</v>
      </c>
      <c r="C91">
        <v>20</v>
      </c>
      <c r="D91">
        <v>2</v>
      </c>
      <c r="E91">
        <v>1003</v>
      </c>
      <c r="F91" t="b">
        <v>1</v>
      </c>
      <c r="G91">
        <v>53.756</v>
      </c>
      <c r="H91">
        <v>30</v>
      </c>
      <c r="I91">
        <v>0</v>
      </c>
      <c r="J91">
        <v>0</v>
      </c>
      <c r="K91" t="s">
        <v>671</v>
      </c>
      <c r="L91">
        <v>0</v>
      </c>
      <c r="N91" t="s">
        <v>672</v>
      </c>
      <c r="O91" t="s">
        <v>673</v>
      </c>
      <c r="P91" t="s">
        <v>20</v>
      </c>
      <c r="Q91">
        <f>(VALUE(LEFT(SUBSTITUTE(O91,"T"," "),23)) - VALUE(LEFT(SUBSTITUTE(N91,"T"," "),23))) * 86400</f>
        <v>239.55899972934276</v>
      </c>
      <c r="R91">
        <f>I91/G91</f>
        <v>0</v>
      </c>
      <c r="S91">
        <f>H91/G91</f>
        <v>0.55807723788972396</v>
      </c>
    </row>
    <row r="92" spans="1:19" hidden="1" x14ac:dyDescent="0.2">
      <c r="A92">
        <v>50</v>
      </c>
      <c r="B92" t="s">
        <v>21</v>
      </c>
      <c r="C92">
        <v>50</v>
      </c>
      <c r="D92">
        <v>2</v>
      </c>
      <c r="E92">
        <v>1003</v>
      </c>
      <c r="F92" t="b">
        <v>1</v>
      </c>
      <c r="G92">
        <v>116.092</v>
      </c>
      <c r="H92">
        <v>27</v>
      </c>
      <c r="I92">
        <v>10</v>
      </c>
      <c r="J92">
        <v>3.18</v>
      </c>
      <c r="K92" t="s">
        <v>680</v>
      </c>
      <c r="L92">
        <v>0</v>
      </c>
      <c r="N92" t="s">
        <v>681</v>
      </c>
      <c r="O92" t="s">
        <v>682</v>
      </c>
      <c r="P92" t="s">
        <v>20</v>
      </c>
      <c r="Q92">
        <f>(VALUE(LEFT(SUBSTITUTE(O92,"T"," "),23)) - VALUE(LEFT(SUBSTITUTE(N92,"T"," "),23))) * 86400</f>
        <v>423.46499967388809</v>
      </c>
      <c r="R92">
        <f>I92/G92</f>
        <v>8.6138579747097127E-2</v>
      </c>
      <c r="S92">
        <f>H92/G92</f>
        <v>0.23257416531716224</v>
      </c>
    </row>
    <row r="93" spans="1:19" hidden="1" x14ac:dyDescent="0.2">
      <c r="A93">
        <v>53</v>
      </c>
      <c r="B93" t="s">
        <v>21</v>
      </c>
      <c r="C93">
        <v>70</v>
      </c>
      <c r="D93">
        <v>2</v>
      </c>
      <c r="E93">
        <v>1003</v>
      </c>
      <c r="F93" t="b">
        <v>1</v>
      </c>
      <c r="G93">
        <v>72.195999999999998</v>
      </c>
      <c r="H93">
        <v>26</v>
      </c>
      <c r="I93">
        <v>2</v>
      </c>
      <c r="J93">
        <v>1.08</v>
      </c>
      <c r="K93" t="s">
        <v>689</v>
      </c>
      <c r="L93">
        <v>0</v>
      </c>
      <c r="N93" t="s">
        <v>690</v>
      </c>
      <c r="O93" t="s">
        <v>691</v>
      </c>
      <c r="P93" t="s">
        <v>20</v>
      </c>
      <c r="Q93">
        <f>(VALUE(LEFT(SUBSTITUTE(O93,"T"," "),23)) - VALUE(LEFT(SUBSTITUTE(N93,"T"," "),23))) * 86400</f>
        <v>324.40800012554973</v>
      </c>
      <c r="R93">
        <f>I93/G93</f>
        <v>2.7702365782037788E-2</v>
      </c>
      <c r="S93">
        <f>H93/G93</f>
        <v>0.36013075516649123</v>
      </c>
    </row>
    <row r="94" spans="1:19" hidden="1" x14ac:dyDescent="0.2">
      <c r="A94">
        <v>17</v>
      </c>
      <c r="B94" t="s">
        <v>3413</v>
      </c>
      <c r="C94">
        <v>-1</v>
      </c>
      <c r="D94">
        <v>9</v>
      </c>
      <c r="E94">
        <v>1008</v>
      </c>
      <c r="F94" t="b">
        <v>1</v>
      </c>
      <c r="G94">
        <v>31.591999999999999</v>
      </c>
      <c r="H94">
        <v>29</v>
      </c>
      <c r="I94">
        <v>3</v>
      </c>
      <c r="J94">
        <v>1.86</v>
      </c>
      <c r="K94" t="s">
        <v>3012</v>
      </c>
      <c r="L94">
        <v>0</v>
      </c>
      <c r="N94" t="s">
        <v>3013</v>
      </c>
      <c r="O94" t="s">
        <v>3014</v>
      </c>
      <c r="P94" t="s">
        <v>20</v>
      </c>
      <c r="Q94">
        <f>(VALUE(LEFT(SUBSTITUTE(O94,"T"," "),23)) - VALUE(LEFT(SUBSTITUTE(N94,"T"," "),23))) * 86400</f>
        <v>110.35800003446639</v>
      </c>
      <c r="R94">
        <f>I94/G94</f>
        <v>9.4960749556849841E-2</v>
      </c>
      <c r="S94">
        <f>H94/G94</f>
        <v>0.91795391238288182</v>
      </c>
    </row>
    <row r="95" spans="1:19" hidden="1" x14ac:dyDescent="0.2">
      <c r="A95">
        <v>33</v>
      </c>
      <c r="B95" t="s">
        <v>25</v>
      </c>
      <c r="C95">
        <v>0</v>
      </c>
      <c r="D95">
        <v>2</v>
      </c>
      <c r="E95">
        <v>1003</v>
      </c>
      <c r="F95" t="b">
        <v>1</v>
      </c>
      <c r="G95">
        <v>40.828000000000003</v>
      </c>
      <c r="H95">
        <v>29</v>
      </c>
      <c r="I95">
        <v>2</v>
      </c>
      <c r="J95">
        <v>1.86</v>
      </c>
      <c r="K95" t="s">
        <v>629</v>
      </c>
      <c r="L95">
        <v>0</v>
      </c>
      <c r="N95" t="s">
        <v>630</v>
      </c>
      <c r="O95" t="s">
        <v>631</v>
      </c>
      <c r="P95" t="s">
        <v>20</v>
      </c>
      <c r="Q95">
        <f>(VALUE(LEFT(SUBSTITUTE(O95,"T"," "),23)) - VALUE(LEFT(SUBSTITUTE(N95,"T"," "),23))) * 86400</f>
        <v>233.12900040764362</v>
      </c>
      <c r="R95">
        <f>I95/G95</f>
        <v>4.8985990006858035E-2</v>
      </c>
      <c r="S95">
        <f>H95/G95</f>
        <v>0.71029685509944152</v>
      </c>
    </row>
    <row r="96" spans="1:19" x14ac:dyDescent="0.2">
      <c r="A96">
        <v>34</v>
      </c>
      <c r="B96" t="s">
        <v>16</v>
      </c>
      <c r="C96">
        <v>2</v>
      </c>
      <c r="D96">
        <v>2</v>
      </c>
      <c r="E96">
        <v>1023</v>
      </c>
      <c r="F96" t="b">
        <v>1</v>
      </c>
      <c r="G96">
        <v>101.908</v>
      </c>
      <c r="H96">
        <v>24</v>
      </c>
      <c r="I96">
        <v>3</v>
      </c>
      <c r="J96">
        <v>1.1399999999999999</v>
      </c>
      <c r="K96" t="s">
        <v>1496</v>
      </c>
      <c r="L96">
        <v>0</v>
      </c>
      <c r="N96" t="s">
        <v>1497</v>
      </c>
      <c r="O96" t="s">
        <v>1498</v>
      </c>
      <c r="P96" t="s">
        <v>20</v>
      </c>
      <c r="Q96">
        <f>(VALUE(LEFT(SUBSTITUTE(O96,"T"," "),23)) - VALUE(LEFT(SUBSTITUTE(N96,"T"," "),23))) * 86400</f>
        <v>488.46400023903698</v>
      </c>
      <c r="R96">
        <f>I96/G96</f>
        <v>2.9438316913294342E-2</v>
      </c>
      <c r="S96">
        <f>H96/G96</f>
        <v>0.23550653530635474</v>
      </c>
    </row>
    <row r="97" spans="1:19" hidden="1" x14ac:dyDescent="0.2">
      <c r="A97">
        <v>39</v>
      </c>
      <c r="B97" t="s">
        <v>25</v>
      </c>
      <c r="C97">
        <v>5</v>
      </c>
      <c r="D97">
        <v>2</v>
      </c>
      <c r="E97">
        <v>1003</v>
      </c>
      <c r="F97" t="b">
        <v>1</v>
      </c>
      <c r="G97">
        <v>57.616</v>
      </c>
      <c r="H97">
        <v>31</v>
      </c>
      <c r="I97">
        <v>2</v>
      </c>
      <c r="J97">
        <v>2.16</v>
      </c>
      <c r="K97" t="s">
        <v>647</v>
      </c>
      <c r="L97">
        <v>0</v>
      </c>
      <c r="N97" t="s">
        <v>648</v>
      </c>
      <c r="O97" t="s">
        <v>649</v>
      </c>
      <c r="P97" t="s">
        <v>20</v>
      </c>
      <c r="Q97">
        <f>(VALUE(LEFT(SUBSTITUTE(O97,"T"," "),23)) - VALUE(LEFT(SUBSTITUTE(N97,"T"," "),23))) * 86400</f>
        <v>234.73400012589991</v>
      </c>
      <c r="R97">
        <f>I97/G97</f>
        <v>3.4712579838933631E-2</v>
      </c>
      <c r="S97">
        <f>H97/G97</f>
        <v>0.53804498750347129</v>
      </c>
    </row>
    <row r="98" spans="1:19" hidden="1" x14ac:dyDescent="0.2">
      <c r="A98">
        <v>42</v>
      </c>
      <c r="B98" t="s">
        <v>25</v>
      </c>
      <c r="C98">
        <v>10</v>
      </c>
      <c r="D98">
        <v>2</v>
      </c>
      <c r="E98">
        <v>1003</v>
      </c>
      <c r="F98" t="b">
        <v>1</v>
      </c>
      <c r="G98">
        <v>57</v>
      </c>
      <c r="H98">
        <v>31</v>
      </c>
      <c r="I98">
        <v>3</v>
      </c>
      <c r="J98">
        <v>0.78</v>
      </c>
      <c r="K98" t="s">
        <v>656</v>
      </c>
      <c r="L98">
        <v>0</v>
      </c>
      <c r="N98" t="s">
        <v>657</v>
      </c>
      <c r="O98" t="s">
        <v>658</v>
      </c>
      <c r="P98" t="s">
        <v>20</v>
      </c>
      <c r="Q98">
        <f>(VALUE(LEFT(SUBSTITUTE(O98,"T"," "),23)) - VALUE(LEFT(SUBSTITUTE(N98,"T"," "),23))) * 86400</f>
        <v>211.61299988161772</v>
      </c>
      <c r="R98">
        <f>I98/G98</f>
        <v>5.2631578947368418E-2</v>
      </c>
      <c r="S98">
        <f>H98/G98</f>
        <v>0.54385964912280704</v>
      </c>
    </row>
    <row r="99" spans="1:19" hidden="1" x14ac:dyDescent="0.2">
      <c r="A99">
        <v>45</v>
      </c>
      <c r="B99" t="s">
        <v>25</v>
      </c>
      <c r="C99">
        <v>15</v>
      </c>
      <c r="D99">
        <v>2</v>
      </c>
      <c r="E99">
        <v>1003</v>
      </c>
      <c r="F99" t="b">
        <v>1</v>
      </c>
      <c r="G99">
        <v>47.26</v>
      </c>
      <c r="H99">
        <v>32</v>
      </c>
      <c r="I99">
        <v>2</v>
      </c>
      <c r="J99">
        <v>0.42</v>
      </c>
      <c r="K99" t="s">
        <v>665</v>
      </c>
      <c r="L99">
        <v>0</v>
      </c>
      <c r="N99" t="s">
        <v>666</v>
      </c>
      <c r="O99" t="s">
        <v>667</v>
      </c>
      <c r="P99" t="s">
        <v>20</v>
      </c>
      <c r="Q99">
        <f>(VALUE(LEFT(SUBSTITUTE(O99,"T"," "),23)) - VALUE(LEFT(SUBSTITUTE(N99,"T"," "),23))) * 86400</f>
        <v>170.82299971953034</v>
      </c>
      <c r="R99">
        <f>I99/G99</f>
        <v>4.2319085907744393E-2</v>
      </c>
      <c r="S99">
        <f>H99/G99</f>
        <v>0.67710537452391029</v>
      </c>
    </row>
    <row r="100" spans="1:19" hidden="1" x14ac:dyDescent="0.2">
      <c r="A100">
        <v>48</v>
      </c>
      <c r="B100" t="s">
        <v>25</v>
      </c>
      <c r="C100">
        <v>20</v>
      </c>
      <c r="D100">
        <v>2</v>
      </c>
      <c r="E100">
        <v>1003</v>
      </c>
      <c r="F100" t="b">
        <v>1</v>
      </c>
      <c r="G100">
        <v>43.56</v>
      </c>
      <c r="H100">
        <v>28</v>
      </c>
      <c r="I100">
        <v>2</v>
      </c>
      <c r="J100">
        <v>1.8</v>
      </c>
      <c r="K100" t="s">
        <v>674</v>
      </c>
      <c r="L100">
        <v>0</v>
      </c>
      <c r="N100" t="s">
        <v>675</v>
      </c>
      <c r="O100" t="s">
        <v>676</v>
      </c>
      <c r="P100" t="s">
        <v>20</v>
      </c>
      <c r="Q100">
        <f>(VALUE(LEFT(SUBSTITUTE(O100,"T"," "),23)) - VALUE(LEFT(SUBSTITUTE(N100,"T"," "),23))) * 86400</f>
        <v>200.38099985104054</v>
      </c>
      <c r="R100">
        <f>I100/G100</f>
        <v>4.5913682277318638E-2</v>
      </c>
      <c r="S100">
        <f>H100/G100</f>
        <v>0.64279155188246095</v>
      </c>
    </row>
    <row r="101" spans="1:19" hidden="1" x14ac:dyDescent="0.2">
      <c r="A101">
        <v>51</v>
      </c>
      <c r="B101" t="s">
        <v>25</v>
      </c>
      <c r="C101">
        <v>50</v>
      </c>
      <c r="D101">
        <v>2</v>
      </c>
      <c r="E101">
        <v>1003</v>
      </c>
      <c r="F101" t="b">
        <v>1</v>
      </c>
      <c r="G101">
        <v>49.531999999999996</v>
      </c>
      <c r="H101">
        <v>30</v>
      </c>
      <c r="I101">
        <v>3</v>
      </c>
      <c r="J101">
        <v>0.48</v>
      </c>
      <c r="K101" t="s">
        <v>683</v>
      </c>
      <c r="L101">
        <v>0</v>
      </c>
      <c r="N101" t="s">
        <v>684</v>
      </c>
      <c r="O101" t="s">
        <v>685</v>
      </c>
      <c r="P101" t="s">
        <v>20</v>
      </c>
      <c r="Q101">
        <f>(VALUE(LEFT(SUBSTITUTE(O101,"T"," "),23)) - VALUE(LEFT(SUBSTITUTE(N101,"T"," "),23))) * 86400</f>
        <v>215.18799997866154</v>
      </c>
      <c r="R101">
        <f>I101/G101</f>
        <v>6.0566906242429143E-2</v>
      </c>
      <c r="S101">
        <f>H101/G101</f>
        <v>0.60566906242429142</v>
      </c>
    </row>
    <row r="102" spans="1:19" hidden="1" x14ac:dyDescent="0.2">
      <c r="A102">
        <v>54</v>
      </c>
      <c r="B102" t="s">
        <v>25</v>
      </c>
      <c r="C102">
        <v>70</v>
      </c>
      <c r="D102">
        <v>2</v>
      </c>
      <c r="E102">
        <v>1003</v>
      </c>
      <c r="F102" t="b">
        <v>1</v>
      </c>
      <c r="G102">
        <v>37.427999999999997</v>
      </c>
      <c r="H102">
        <v>32</v>
      </c>
      <c r="I102">
        <v>2</v>
      </c>
      <c r="J102">
        <v>0.24</v>
      </c>
      <c r="K102" t="s">
        <v>692</v>
      </c>
      <c r="L102">
        <v>0</v>
      </c>
      <c r="N102" t="s">
        <v>693</v>
      </c>
      <c r="O102" t="s">
        <v>694</v>
      </c>
      <c r="P102" t="s">
        <v>20</v>
      </c>
      <c r="Q102">
        <f>(VALUE(LEFT(SUBSTITUTE(O102,"T"," "),23)) - VALUE(LEFT(SUBSTITUTE(N102,"T"," "),23))) * 86400</f>
        <v>147.9690003907308</v>
      </c>
      <c r="R102">
        <f>I102/G102</f>
        <v>5.3435930319546868E-2</v>
      </c>
      <c r="S102">
        <f>H102/G102</f>
        <v>0.85497488511274988</v>
      </c>
    </row>
    <row r="103" spans="1:19" hidden="1" x14ac:dyDescent="0.2">
      <c r="A103">
        <v>32</v>
      </c>
      <c r="B103" t="s">
        <v>25</v>
      </c>
      <c r="C103">
        <v>-1</v>
      </c>
      <c r="D103">
        <v>4</v>
      </c>
      <c r="E103">
        <v>1023</v>
      </c>
      <c r="F103" t="b">
        <v>1</v>
      </c>
      <c r="G103">
        <v>33.78</v>
      </c>
      <c r="H103">
        <v>31</v>
      </c>
      <c r="I103">
        <v>5</v>
      </c>
      <c r="J103">
        <v>6.24</v>
      </c>
      <c r="K103" t="s">
        <v>3775</v>
      </c>
      <c r="L103">
        <v>0</v>
      </c>
      <c r="N103" t="s">
        <v>3776</v>
      </c>
      <c r="O103" t="s">
        <v>3777</v>
      </c>
      <c r="P103" t="s">
        <v>20</v>
      </c>
      <c r="Q103">
        <f>(VALUE(LEFT(SUBSTITUTE(O103,"T"," "),23)) - VALUE(LEFT(SUBSTITUTE(N103,"T"," "),23))) * 86400</f>
        <v>131.0790000949055</v>
      </c>
      <c r="R103">
        <f>I103/G103</f>
        <v>0.14801657785671996</v>
      </c>
      <c r="S103">
        <f>H103/G103</f>
        <v>0.91770278271166372</v>
      </c>
    </row>
    <row r="104" spans="1:19" hidden="1" x14ac:dyDescent="0.2">
      <c r="A104">
        <v>31</v>
      </c>
      <c r="B104" t="s">
        <v>16</v>
      </c>
      <c r="C104">
        <v>0</v>
      </c>
      <c r="D104">
        <v>2</v>
      </c>
      <c r="E104">
        <v>1003</v>
      </c>
      <c r="F104" t="b">
        <v>1</v>
      </c>
      <c r="G104">
        <v>108.804</v>
      </c>
      <c r="H104">
        <v>28</v>
      </c>
      <c r="I104">
        <v>4</v>
      </c>
      <c r="J104">
        <v>1.86</v>
      </c>
      <c r="K104" t="s">
        <v>623</v>
      </c>
      <c r="L104">
        <v>0</v>
      </c>
      <c r="N104" t="s">
        <v>624</v>
      </c>
      <c r="O104" t="s">
        <v>625</v>
      </c>
      <c r="P104" t="s">
        <v>20</v>
      </c>
      <c r="Q104">
        <f>(VALUE(LEFT(SUBSTITUTE(O104,"T"," "),23)) - VALUE(LEFT(SUBSTITUTE(N104,"T"," "),23))) * 86400</f>
        <v>432.43100037798285</v>
      </c>
      <c r="R104">
        <f>I104/G104</f>
        <v>3.676335428844528E-2</v>
      </c>
      <c r="S104">
        <f>H104/G104</f>
        <v>0.25734348001911694</v>
      </c>
    </row>
    <row r="105" spans="1:19" x14ac:dyDescent="0.2">
      <c r="A105">
        <v>34</v>
      </c>
      <c r="B105" t="s">
        <v>16</v>
      </c>
      <c r="C105">
        <v>2</v>
      </c>
      <c r="D105">
        <v>2</v>
      </c>
      <c r="E105">
        <v>1003</v>
      </c>
      <c r="F105" t="b">
        <v>1</v>
      </c>
      <c r="G105">
        <v>110.164</v>
      </c>
      <c r="H105">
        <v>26</v>
      </c>
      <c r="I105">
        <v>2</v>
      </c>
      <c r="J105">
        <v>0.3</v>
      </c>
      <c r="K105" t="s">
        <v>632</v>
      </c>
      <c r="L105">
        <v>0</v>
      </c>
      <c r="N105" t="s">
        <v>633</v>
      </c>
      <c r="O105" t="s">
        <v>634</v>
      </c>
      <c r="P105" t="s">
        <v>20</v>
      </c>
      <c r="Q105">
        <f>(VALUE(LEFT(SUBSTITUTE(O105,"T"," "),23)) - VALUE(LEFT(SUBSTITUTE(N105,"T"," "),23))) * 86400</f>
        <v>378.5739995772019</v>
      </c>
      <c r="R105">
        <f>I105/G105</f>
        <v>1.815475109836244E-2</v>
      </c>
      <c r="S105">
        <f>H105/G105</f>
        <v>0.23601176427871173</v>
      </c>
    </row>
    <row r="106" spans="1:19" hidden="1" x14ac:dyDescent="0.2">
      <c r="A106">
        <v>37</v>
      </c>
      <c r="B106" t="s">
        <v>16</v>
      </c>
      <c r="C106">
        <v>5</v>
      </c>
      <c r="D106">
        <v>2</v>
      </c>
      <c r="E106">
        <v>1003</v>
      </c>
      <c r="F106" t="b">
        <v>1</v>
      </c>
      <c r="G106">
        <v>68.308000000000007</v>
      </c>
      <c r="H106">
        <v>26</v>
      </c>
      <c r="I106">
        <v>4</v>
      </c>
      <c r="J106">
        <v>1.02</v>
      </c>
      <c r="K106" t="s">
        <v>641</v>
      </c>
      <c r="L106">
        <v>0</v>
      </c>
      <c r="N106" t="s">
        <v>642</v>
      </c>
      <c r="O106" t="s">
        <v>643</v>
      </c>
      <c r="P106" t="s">
        <v>20</v>
      </c>
      <c r="Q106">
        <f>(VALUE(LEFT(SUBSTITUTE(O106,"T"," "),23)) - VALUE(LEFT(SUBSTITUTE(N106,"T"," "),23))) * 86400</f>
        <v>320.77800007537007</v>
      </c>
      <c r="R106">
        <f>I106/G106</f>
        <v>5.855829478245593E-2</v>
      </c>
      <c r="S106">
        <f>H106/G106</f>
        <v>0.38062891608596355</v>
      </c>
    </row>
    <row r="107" spans="1:19" hidden="1" x14ac:dyDescent="0.2">
      <c r="A107">
        <v>40</v>
      </c>
      <c r="B107" t="s">
        <v>16</v>
      </c>
      <c r="C107">
        <v>10</v>
      </c>
      <c r="D107">
        <v>2</v>
      </c>
      <c r="E107">
        <v>1003</v>
      </c>
      <c r="F107" t="b">
        <v>1</v>
      </c>
      <c r="G107">
        <v>58.795999999999999</v>
      </c>
      <c r="H107">
        <v>28</v>
      </c>
      <c r="I107">
        <v>1</v>
      </c>
      <c r="J107">
        <v>0.6</v>
      </c>
      <c r="K107" t="s">
        <v>650</v>
      </c>
      <c r="L107">
        <v>0</v>
      </c>
      <c r="N107" t="s">
        <v>651</v>
      </c>
      <c r="O107" t="s">
        <v>652</v>
      </c>
      <c r="P107" t="s">
        <v>20</v>
      </c>
      <c r="Q107">
        <f>(VALUE(LEFT(SUBSTITUTE(O107,"T"," "),23)) - VALUE(LEFT(SUBSTITUTE(N107,"T"," "),23))) * 86400</f>
        <v>355.40399977471679</v>
      </c>
      <c r="R107">
        <f>I107/G107</f>
        <v>1.7007959725151373E-2</v>
      </c>
      <c r="S107">
        <f>H107/G107</f>
        <v>0.47622287230423838</v>
      </c>
    </row>
    <row r="108" spans="1:19" hidden="1" x14ac:dyDescent="0.2">
      <c r="A108">
        <v>43</v>
      </c>
      <c r="B108" t="s">
        <v>16</v>
      </c>
      <c r="C108">
        <v>15</v>
      </c>
      <c r="D108">
        <v>2</v>
      </c>
      <c r="E108">
        <v>1003</v>
      </c>
      <c r="F108" t="b">
        <v>1</v>
      </c>
      <c r="G108">
        <v>59.055999999999997</v>
      </c>
      <c r="H108">
        <v>28</v>
      </c>
      <c r="I108">
        <v>2</v>
      </c>
      <c r="J108">
        <v>1.08</v>
      </c>
      <c r="K108" t="s">
        <v>659</v>
      </c>
      <c r="L108">
        <v>0</v>
      </c>
      <c r="N108" t="s">
        <v>660</v>
      </c>
      <c r="O108" t="s">
        <v>661</v>
      </c>
      <c r="P108" t="s">
        <v>20</v>
      </c>
      <c r="Q108">
        <f>(VALUE(LEFT(SUBSTITUTE(O108,"T"," "),23)) - VALUE(LEFT(SUBSTITUTE(N108,"T"," "),23))) * 86400</f>
        <v>259.64599975850433</v>
      </c>
      <c r="R108">
        <f>I108/G108</f>
        <v>3.386616093199675E-2</v>
      </c>
      <c r="S108">
        <f>H108/G108</f>
        <v>0.47412625304795453</v>
      </c>
    </row>
    <row r="109" spans="1:19" hidden="1" x14ac:dyDescent="0.2">
      <c r="A109">
        <v>46</v>
      </c>
      <c r="B109" t="s">
        <v>16</v>
      </c>
      <c r="C109">
        <v>20</v>
      </c>
      <c r="D109">
        <v>2</v>
      </c>
      <c r="E109">
        <v>1003</v>
      </c>
      <c r="F109" t="b">
        <v>1</v>
      </c>
      <c r="G109">
        <v>66.847999999999999</v>
      </c>
      <c r="H109">
        <v>29</v>
      </c>
      <c r="I109">
        <v>5</v>
      </c>
      <c r="J109">
        <v>0.9</v>
      </c>
      <c r="K109" t="s">
        <v>668</v>
      </c>
      <c r="L109">
        <v>0</v>
      </c>
      <c r="N109" t="s">
        <v>669</v>
      </c>
      <c r="O109" t="s">
        <v>670</v>
      </c>
      <c r="P109" t="s">
        <v>20</v>
      </c>
      <c r="Q109">
        <f>(VALUE(LEFT(SUBSTITUTE(O109,"T"," "),23)) - VALUE(LEFT(SUBSTITUTE(N109,"T"," "),23))) * 86400</f>
        <v>242.60199959389865</v>
      </c>
      <c r="R109">
        <f>I109/G109</f>
        <v>7.4796553374820496E-2</v>
      </c>
      <c r="S109">
        <f>H109/G109</f>
        <v>0.43382000957395883</v>
      </c>
    </row>
    <row r="110" spans="1:19" hidden="1" x14ac:dyDescent="0.2">
      <c r="A110">
        <v>49</v>
      </c>
      <c r="B110" t="s">
        <v>16</v>
      </c>
      <c r="C110">
        <v>50</v>
      </c>
      <c r="D110">
        <v>2</v>
      </c>
      <c r="E110">
        <v>1003</v>
      </c>
      <c r="F110" t="b">
        <v>1</v>
      </c>
      <c r="G110">
        <v>60.548000000000002</v>
      </c>
      <c r="H110">
        <v>29</v>
      </c>
      <c r="I110">
        <v>6</v>
      </c>
      <c r="J110">
        <v>0.72</v>
      </c>
      <c r="K110" t="s">
        <v>677</v>
      </c>
      <c r="L110">
        <v>0</v>
      </c>
      <c r="N110" t="s">
        <v>678</v>
      </c>
      <c r="O110" t="s">
        <v>679</v>
      </c>
      <c r="P110" t="s">
        <v>20</v>
      </c>
      <c r="Q110">
        <f>(VALUE(LEFT(SUBSTITUTE(O110,"T"," "),23)) - VALUE(LEFT(SUBSTITUTE(N110,"T"," "),23))) * 86400</f>
        <v>314.72100026439875</v>
      </c>
      <c r="R110">
        <f>I110/G110</f>
        <v>9.9094932945762035E-2</v>
      </c>
      <c r="S110">
        <f>H110/G110</f>
        <v>0.47895884257118315</v>
      </c>
    </row>
    <row r="111" spans="1:19" hidden="1" x14ac:dyDescent="0.2">
      <c r="A111">
        <v>52</v>
      </c>
      <c r="B111" t="s">
        <v>16</v>
      </c>
      <c r="C111">
        <v>70</v>
      </c>
      <c r="D111">
        <v>2</v>
      </c>
      <c r="E111">
        <v>1003</v>
      </c>
      <c r="F111" t="b">
        <v>1</v>
      </c>
      <c r="G111">
        <v>57.84</v>
      </c>
      <c r="H111">
        <v>29</v>
      </c>
      <c r="I111">
        <v>6</v>
      </c>
      <c r="J111">
        <v>0.78</v>
      </c>
      <c r="K111" t="s">
        <v>686</v>
      </c>
      <c r="L111">
        <v>0</v>
      </c>
      <c r="N111" t="s">
        <v>687</v>
      </c>
      <c r="O111" t="s">
        <v>688</v>
      </c>
      <c r="P111" t="s">
        <v>20</v>
      </c>
      <c r="Q111">
        <f>(VALUE(LEFT(SUBSTITUTE(O111,"T"," "),23)) - VALUE(LEFT(SUBSTITUTE(N111,"T"," "),23))) * 86400</f>
        <v>261.18800004478544</v>
      </c>
      <c r="R111">
        <f>I111/G111</f>
        <v>0.10373443983402489</v>
      </c>
      <c r="S111">
        <f>H111/G111</f>
        <v>0.50138312586445366</v>
      </c>
    </row>
    <row r="112" spans="1:19" hidden="1" x14ac:dyDescent="0.2">
      <c r="A112">
        <v>9</v>
      </c>
      <c r="B112" t="s">
        <v>3413</v>
      </c>
      <c r="C112">
        <v>-1</v>
      </c>
      <c r="D112">
        <v>5</v>
      </c>
      <c r="E112">
        <v>1024</v>
      </c>
      <c r="F112" t="b">
        <v>1</v>
      </c>
      <c r="G112">
        <v>33.548000000000002</v>
      </c>
      <c r="H112">
        <v>30</v>
      </c>
      <c r="I112">
        <v>5</v>
      </c>
      <c r="J112">
        <v>3.84</v>
      </c>
      <c r="K112" t="s">
        <v>3108</v>
      </c>
      <c r="L112">
        <v>0</v>
      </c>
      <c r="N112" t="s">
        <v>3109</v>
      </c>
      <c r="O112" t="s">
        <v>3110</v>
      </c>
      <c r="P112" t="s">
        <v>20</v>
      </c>
      <c r="Q112">
        <f>(VALUE(LEFT(SUBSTITUTE(O112,"T"," "),23)) - VALUE(LEFT(SUBSTITUTE(N112,"T"," "),23))) * 86400</f>
        <v>149.44500010460615</v>
      </c>
      <c r="R112">
        <f>I112/G112</f>
        <v>0.14904018123286036</v>
      </c>
      <c r="S112">
        <f>H112/G112</f>
        <v>0.89424108739716224</v>
      </c>
    </row>
    <row r="113" spans="1:19" hidden="1" x14ac:dyDescent="0.2">
      <c r="A113">
        <v>59</v>
      </c>
      <c r="B113" t="s">
        <v>21</v>
      </c>
      <c r="C113">
        <v>0</v>
      </c>
      <c r="D113">
        <v>3</v>
      </c>
      <c r="E113">
        <v>1004</v>
      </c>
      <c r="F113" t="b">
        <v>1</v>
      </c>
      <c r="G113">
        <v>83.656000000000006</v>
      </c>
      <c r="H113">
        <v>27</v>
      </c>
      <c r="I113">
        <v>2</v>
      </c>
      <c r="J113">
        <v>0.36</v>
      </c>
      <c r="K113" t="s">
        <v>707</v>
      </c>
      <c r="L113">
        <v>0</v>
      </c>
      <c r="N113" t="s">
        <v>708</v>
      </c>
      <c r="O113" t="s">
        <v>709</v>
      </c>
      <c r="P113" t="s">
        <v>20</v>
      </c>
      <c r="Q113">
        <f>(VALUE(LEFT(SUBSTITUTE(O113,"T"," "),23)) - VALUE(LEFT(SUBSTITUTE(N113,"T"," "),23))) * 86400</f>
        <v>292.18899991828948</v>
      </c>
      <c r="R113">
        <f>I113/G113</f>
        <v>2.3907430429377447E-2</v>
      </c>
      <c r="S113">
        <f>H113/G113</f>
        <v>0.32275031079659555</v>
      </c>
    </row>
    <row r="114" spans="1:19" x14ac:dyDescent="0.2">
      <c r="A114">
        <v>8</v>
      </c>
      <c r="B114" t="s">
        <v>21</v>
      </c>
      <c r="C114">
        <v>2</v>
      </c>
      <c r="D114">
        <v>1</v>
      </c>
      <c r="E114">
        <v>1017</v>
      </c>
      <c r="F114" t="b">
        <v>1</v>
      </c>
      <c r="G114">
        <v>108.864</v>
      </c>
      <c r="H114">
        <v>26</v>
      </c>
      <c r="I114">
        <v>2</v>
      </c>
      <c r="J114">
        <v>1.44</v>
      </c>
      <c r="K114" t="s">
        <v>1388</v>
      </c>
      <c r="L114">
        <v>0</v>
      </c>
      <c r="N114" t="s">
        <v>2021</v>
      </c>
      <c r="O114" t="s">
        <v>2022</v>
      </c>
      <c r="P114" t="s">
        <v>20</v>
      </c>
      <c r="Q114">
        <f>(VALUE(LEFT(SUBSTITUTE(O114,"T"," "),23)) - VALUE(LEFT(SUBSTITUTE(N114,"T"," "),23))) * 86400</f>
        <v>522.66899978276342</v>
      </c>
      <c r="R114">
        <f>I114/G114</f>
        <v>1.8371546149323927E-2</v>
      </c>
      <c r="S114">
        <f>H114/G114</f>
        <v>0.23883009994121104</v>
      </c>
    </row>
    <row r="115" spans="1:19" hidden="1" x14ac:dyDescent="0.2">
      <c r="A115">
        <v>65</v>
      </c>
      <c r="B115" t="s">
        <v>21</v>
      </c>
      <c r="C115">
        <v>5</v>
      </c>
      <c r="D115">
        <v>3</v>
      </c>
      <c r="E115">
        <v>1004</v>
      </c>
      <c r="F115" t="b">
        <v>1</v>
      </c>
      <c r="G115">
        <v>80.944000000000003</v>
      </c>
      <c r="H115">
        <v>27</v>
      </c>
      <c r="I115">
        <v>2</v>
      </c>
      <c r="J115">
        <v>0.48</v>
      </c>
      <c r="K115" t="s">
        <v>725</v>
      </c>
      <c r="L115">
        <v>0</v>
      </c>
      <c r="N115" t="s">
        <v>726</v>
      </c>
      <c r="O115" t="s">
        <v>727</v>
      </c>
      <c r="P115" t="s">
        <v>20</v>
      </c>
      <c r="Q115">
        <f>(VALUE(LEFT(SUBSTITUTE(O115,"T"," "),23)) - VALUE(LEFT(SUBSTITUTE(N115,"T"," "),23))) * 86400</f>
        <v>350.720000336878</v>
      </c>
      <c r="R115">
        <f>I115/G115</f>
        <v>2.4708440403241747E-2</v>
      </c>
      <c r="S115">
        <f>H115/G115</f>
        <v>0.33356394544376355</v>
      </c>
    </row>
    <row r="116" spans="1:19" hidden="1" x14ac:dyDescent="0.2">
      <c r="A116">
        <v>68</v>
      </c>
      <c r="B116" t="s">
        <v>21</v>
      </c>
      <c r="C116">
        <v>10</v>
      </c>
      <c r="D116">
        <v>3</v>
      </c>
      <c r="E116">
        <v>1004</v>
      </c>
      <c r="F116" t="b">
        <v>1</v>
      </c>
      <c r="G116">
        <v>77.388000000000005</v>
      </c>
      <c r="H116">
        <v>26</v>
      </c>
      <c r="I116">
        <v>2</v>
      </c>
      <c r="J116">
        <v>0.42</v>
      </c>
      <c r="K116" t="s">
        <v>734</v>
      </c>
      <c r="L116">
        <v>0</v>
      </c>
      <c r="N116" t="s">
        <v>735</v>
      </c>
      <c r="O116" t="s">
        <v>736</v>
      </c>
      <c r="P116" t="s">
        <v>20</v>
      </c>
      <c r="Q116">
        <f>(VALUE(LEFT(SUBSTITUTE(O116,"T"," "),23)) - VALUE(LEFT(SUBSTITUTE(N116,"T"," "),23))) * 86400</f>
        <v>304.97199988458306</v>
      </c>
      <c r="R116">
        <f>I116/G116</f>
        <v>2.5843800072362637E-2</v>
      </c>
      <c r="S116">
        <f>H116/G116</f>
        <v>0.33596940094071431</v>
      </c>
    </row>
    <row r="117" spans="1:19" hidden="1" x14ac:dyDescent="0.2">
      <c r="A117">
        <v>71</v>
      </c>
      <c r="B117" t="s">
        <v>21</v>
      </c>
      <c r="C117">
        <v>15</v>
      </c>
      <c r="D117">
        <v>3</v>
      </c>
      <c r="E117">
        <v>1004</v>
      </c>
      <c r="F117" t="b">
        <v>1</v>
      </c>
      <c r="G117">
        <v>65.063999999999993</v>
      </c>
      <c r="H117">
        <v>22</v>
      </c>
      <c r="I117">
        <v>6</v>
      </c>
      <c r="J117">
        <v>2.64</v>
      </c>
      <c r="K117" t="s">
        <v>743</v>
      </c>
      <c r="L117">
        <v>0</v>
      </c>
      <c r="N117" t="s">
        <v>744</v>
      </c>
      <c r="O117" t="s">
        <v>745</v>
      </c>
      <c r="P117" t="s">
        <v>20</v>
      </c>
      <c r="Q117">
        <f>(VALUE(LEFT(SUBSTITUTE(O117,"T"," "),23)) - VALUE(LEFT(SUBSTITUTE(N117,"T"," "),23))) * 86400</f>
        <v>261.84800011105835</v>
      </c>
      <c r="R117">
        <f>I117/G117</f>
        <v>9.2216894135005542E-2</v>
      </c>
      <c r="S117">
        <f>H117/G117</f>
        <v>0.33812861182835363</v>
      </c>
    </row>
    <row r="118" spans="1:19" hidden="1" x14ac:dyDescent="0.2">
      <c r="A118">
        <v>74</v>
      </c>
      <c r="B118" t="s">
        <v>21</v>
      </c>
      <c r="C118">
        <v>20</v>
      </c>
      <c r="D118">
        <v>3</v>
      </c>
      <c r="E118">
        <v>1004</v>
      </c>
      <c r="F118" t="b">
        <v>1</v>
      </c>
      <c r="G118">
        <v>66.915999999999997</v>
      </c>
      <c r="H118">
        <v>26</v>
      </c>
      <c r="I118">
        <v>5</v>
      </c>
      <c r="J118">
        <v>1.5</v>
      </c>
      <c r="K118" t="s">
        <v>752</v>
      </c>
      <c r="L118">
        <v>0</v>
      </c>
      <c r="N118" t="s">
        <v>753</v>
      </c>
      <c r="O118" t="s">
        <v>754</v>
      </c>
      <c r="P118" t="s">
        <v>20</v>
      </c>
      <c r="Q118">
        <f>(VALUE(LEFT(SUBSTITUTE(O118,"T"," "),23)) - VALUE(LEFT(SUBSTITUTE(N118,"T"," "),23))) * 86400</f>
        <v>277.6790001662448</v>
      </c>
      <c r="R118">
        <f>I118/G118</f>
        <v>7.4720545161097496E-2</v>
      </c>
      <c r="S118">
        <f>H118/G118</f>
        <v>0.38854683483770697</v>
      </c>
    </row>
    <row r="119" spans="1:19" hidden="1" x14ac:dyDescent="0.2">
      <c r="A119">
        <v>77</v>
      </c>
      <c r="B119" t="s">
        <v>21</v>
      </c>
      <c r="C119">
        <v>50</v>
      </c>
      <c r="D119">
        <v>3</v>
      </c>
      <c r="E119">
        <v>1004</v>
      </c>
      <c r="F119" t="b">
        <v>1</v>
      </c>
      <c r="G119">
        <v>56.612000000000002</v>
      </c>
      <c r="H119">
        <v>26</v>
      </c>
      <c r="I119">
        <v>4</v>
      </c>
      <c r="J119">
        <v>1.2</v>
      </c>
      <c r="K119" t="s">
        <v>761</v>
      </c>
      <c r="L119">
        <v>0</v>
      </c>
      <c r="N119" t="s">
        <v>762</v>
      </c>
      <c r="O119" t="s">
        <v>763</v>
      </c>
      <c r="P119" t="s">
        <v>20</v>
      </c>
      <c r="Q119">
        <f>(VALUE(LEFT(SUBSTITUTE(O119,"T"," "),23)) - VALUE(LEFT(SUBSTITUTE(N119,"T"," "),23))) * 86400</f>
        <v>279.66399996075779</v>
      </c>
      <c r="R119">
        <f>I119/G119</f>
        <v>7.0656397936833176E-2</v>
      </c>
      <c r="S119">
        <f>H119/G119</f>
        <v>0.45926658658941566</v>
      </c>
    </row>
    <row r="120" spans="1:19" hidden="1" x14ac:dyDescent="0.2">
      <c r="A120">
        <v>80</v>
      </c>
      <c r="B120" t="s">
        <v>21</v>
      </c>
      <c r="C120">
        <v>70</v>
      </c>
      <c r="D120">
        <v>3</v>
      </c>
      <c r="E120">
        <v>1004</v>
      </c>
      <c r="F120" t="b">
        <v>1</v>
      </c>
      <c r="G120">
        <v>92.164000000000001</v>
      </c>
      <c r="H120">
        <v>24</v>
      </c>
      <c r="I120">
        <v>10</v>
      </c>
      <c r="J120">
        <v>1.86</v>
      </c>
      <c r="K120" t="s">
        <v>770</v>
      </c>
      <c r="L120">
        <v>0</v>
      </c>
      <c r="N120" t="s">
        <v>771</v>
      </c>
      <c r="O120" t="s">
        <v>772</v>
      </c>
      <c r="P120" t="s">
        <v>20</v>
      </c>
      <c r="Q120">
        <f>(VALUE(LEFT(SUBSTITUTE(O120,"T"," "),23)) - VALUE(LEFT(SUBSTITUTE(N120,"T"," "),23))) * 86400</f>
        <v>429.47599980980158</v>
      </c>
      <c r="R120">
        <f>I120/G120</f>
        <v>0.10850223514604401</v>
      </c>
      <c r="S120">
        <f>H120/G120</f>
        <v>0.2604053643505056</v>
      </c>
    </row>
    <row r="121" spans="1:19" hidden="1" x14ac:dyDescent="0.2">
      <c r="A121">
        <v>12</v>
      </c>
      <c r="B121" t="s">
        <v>25</v>
      </c>
      <c r="C121">
        <v>-1</v>
      </c>
      <c r="D121">
        <v>2</v>
      </c>
      <c r="E121">
        <v>1001</v>
      </c>
      <c r="F121" t="b">
        <v>1</v>
      </c>
      <c r="G121">
        <v>39.24</v>
      </c>
      <c r="H121">
        <v>35</v>
      </c>
      <c r="I121">
        <v>3</v>
      </c>
      <c r="J121">
        <v>3.3</v>
      </c>
      <c r="K121" t="s">
        <v>3448</v>
      </c>
      <c r="L121">
        <v>0</v>
      </c>
      <c r="N121" t="s">
        <v>3449</v>
      </c>
      <c r="O121" t="s">
        <v>3450</v>
      </c>
      <c r="P121" t="s">
        <v>20</v>
      </c>
      <c r="Q121">
        <f>(VALUE(LEFT(SUBSTITUTE(O121,"T"," "),23)) - VALUE(LEFT(SUBSTITUTE(N121,"T"," "),23))) * 86400</f>
        <v>122.60999993886799</v>
      </c>
      <c r="R121">
        <f>I121/G121</f>
        <v>7.64525993883792E-2</v>
      </c>
      <c r="S121">
        <f>H121/G121</f>
        <v>0.89194699286442403</v>
      </c>
    </row>
    <row r="122" spans="1:19" hidden="1" x14ac:dyDescent="0.2">
      <c r="A122">
        <v>60</v>
      </c>
      <c r="B122" t="s">
        <v>25</v>
      </c>
      <c r="C122">
        <v>0</v>
      </c>
      <c r="D122">
        <v>3</v>
      </c>
      <c r="E122">
        <v>1004</v>
      </c>
      <c r="F122" t="b">
        <v>1</v>
      </c>
      <c r="G122">
        <v>43.015999999999998</v>
      </c>
      <c r="H122">
        <v>29</v>
      </c>
      <c r="I122">
        <v>2</v>
      </c>
      <c r="J122">
        <v>1.02</v>
      </c>
      <c r="K122" t="s">
        <v>710</v>
      </c>
      <c r="L122">
        <v>0</v>
      </c>
      <c r="N122" t="s">
        <v>711</v>
      </c>
      <c r="O122" t="s">
        <v>712</v>
      </c>
      <c r="P122" t="s">
        <v>20</v>
      </c>
      <c r="Q122">
        <f>(VALUE(LEFT(SUBSTITUTE(O122,"T"," "),23)) - VALUE(LEFT(SUBSTITUTE(N122,"T"," "),23))) * 86400</f>
        <v>245.58499990962446</v>
      </c>
      <c r="R122">
        <f>I122/G122</f>
        <v>4.6494327692021574E-2</v>
      </c>
      <c r="S122">
        <f>H122/G122</f>
        <v>0.67416775153431285</v>
      </c>
    </row>
    <row r="123" spans="1:19" x14ac:dyDescent="0.2">
      <c r="A123" s="1">
        <v>8</v>
      </c>
      <c r="B123" s="1" t="s">
        <v>21</v>
      </c>
      <c r="C123" s="1">
        <v>2</v>
      </c>
      <c r="D123" s="1">
        <v>1</v>
      </c>
      <c r="E123" s="1">
        <v>1021</v>
      </c>
      <c r="F123" s="1" t="b">
        <v>1</v>
      </c>
      <c r="G123" s="1">
        <v>100.232</v>
      </c>
      <c r="H123" s="1">
        <v>24</v>
      </c>
      <c r="I123" s="1">
        <v>6</v>
      </c>
      <c r="J123" s="1">
        <v>1.68</v>
      </c>
      <c r="K123" s="1" t="s">
        <v>473</v>
      </c>
      <c r="L123" s="1">
        <v>0</v>
      </c>
      <c r="M123" s="1"/>
      <c r="N123" s="1" t="s">
        <v>474</v>
      </c>
      <c r="O123" s="1" t="s">
        <v>475</v>
      </c>
      <c r="P123" s="1" t="s">
        <v>20</v>
      </c>
      <c r="Q123">
        <f>(VALUE(LEFT(SUBSTITUTE(O123,"T"," "),23)) - VALUE(LEFT(SUBSTITUTE(N123,"T"," "),23))) * 86400</f>
        <v>490.48400034662336</v>
      </c>
      <c r="R123">
        <f>I123/G123</f>
        <v>5.9861122196504114E-2</v>
      </c>
      <c r="S123">
        <f>H123/G123</f>
        <v>0.23944448878601646</v>
      </c>
    </row>
    <row r="124" spans="1:19" hidden="1" x14ac:dyDescent="0.2">
      <c r="A124">
        <v>66</v>
      </c>
      <c r="B124" t="s">
        <v>25</v>
      </c>
      <c r="C124">
        <v>5</v>
      </c>
      <c r="D124">
        <v>3</v>
      </c>
      <c r="E124">
        <v>1004</v>
      </c>
      <c r="F124" t="b">
        <v>1</v>
      </c>
      <c r="G124">
        <v>43.74</v>
      </c>
      <c r="H124">
        <v>30</v>
      </c>
      <c r="I124">
        <v>4</v>
      </c>
      <c r="J124">
        <v>0.78</v>
      </c>
      <c r="K124" t="s">
        <v>728</v>
      </c>
      <c r="L124">
        <v>0</v>
      </c>
      <c r="N124" t="s">
        <v>729</v>
      </c>
      <c r="O124" t="s">
        <v>730</v>
      </c>
      <c r="P124" t="s">
        <v>20</v>
      </c>
      <c r="Q124">
        <f>(VALUE(LEFT(SUBSTITUTE(O124,"T"," "),23)) - VALUE(LEFT(SUBSTITUTE(N124,"T"," "),23))) * 86400</f>
        <v>279.14600023068488</v>
      </c>
      <c r="R124">
        <f>I124/G124</f>
        <v>9.1449474165523542E-2</v>
      </c>
      <c r="S124">
        <f>H124/G124</f>
        <v>0.68587105624142664</v>
      </c>
    </row>
    <row r="125" spans="1:19" hidden="1" x14ac:dyDescent="0.2">
      <c r="A125">
        <v>69</v>
      </c>
      <c r="B125" t="s">
        <v>25</v>
      </c>
      <c r="C125">
        <v>10</v>
      </c>
      <c r="D125">
        <v>3</v>
      </c>
      <c r="E125">
        <v>1004</v>
      </c>
      <c r="F125" t="b">
        <v>1</v>
      </c>
      <c r="G125">
        <v>48.031999999999996</v>
      </c>
      <c r="H125">
        <v>31</v>
      </c>
      <c r="I125">
        <v>4</v>
      </c>
      <c r="J125">
        <v>1.5</v>
      </c>
      <c r="K125" t="s">
        <v>737</v>
      </c>
      <c r="L125">
        <v>0</v>
      </c>
      <c r="N125" t="s">
        <v>738</v>
      </c>
      <c r="O125" t="s">
        <v>739</v>
      </c>
      <c r="P125" t="s">
        <v>20</v>
      </c>
      <c r="Q125">
        <f>(VALUE(LEFT(SUBSTITUTE(O125,"T"," "),23)) - VALUE(LEFT(SUBSTITUTE(N125,"T"," "),23))) * 86400</f>
        <v>195.82800013013184</v>
      </c>
      <c r="R125">
        <f>I125/G125</f>
        <v>8.3277814790139917E-2</v>
      </c>
      <c r="S125">
        <f>H125/G125</f>
        <v>0.64540306462358432</v>
      </c>
    </row>
    <row r="126" spans="1:19" hidden="1" x14ac:dyDescent="0.2">
      <c r="A126">
        <v>72</v>
      </c>
      <c r="B126" t="s">
        <v>25</v>
      </c>
      <c r="C126">
        <v>15</v>
      </c>
      <c r="D126">
        <v>3</v>
      </c>
      <c r="E126">
        <v>1004</v>
      </c>
      <c r="F126" t="b">
        <v>1</v>
      </c>
      <c r="G126">
        <v>45.252000000000002</v>
      </c>
      <c r="H126">
        <v>34</v>
      </c>
      <c r="I126">
        <v>2</v>
      </c>
      <c r="J126">
        <v>0.84</v>
      </c>
      <c r="K126" t="s">
        <v>746</v>
      </c>
      <c r="L126">
        <v>0</v>
      </c>
      <c r="N126" t="s">
        <v>747</v>
      </c>
      <c r="O126" t="s">
        <v>748</v>
      </c>
      <c r="P126" t="s">
        <v>20</v>
      </c>
      <c r="Q126">
        <f>(VALUE(LEFT(SUBSTITUTE(O126,"T"," "),23)) - VALUE(LEFT(SUBSTITUTE(N126,"T"," "),23))) * 86400</f>
        <v>251.65900010615587</v>
      </c>
      <c r="R126">
        <f>I126/G126</f>
        <v>4.4196941571643243E-2</v>
      </c>
      <c r="S126">
        <f>H126/G126</f>
        <v>0.75134800671793511</v>
      </c>
    </row>
    <row r="127" spans="1:19" hidden="1" x14ac:dyDescent="0.2">
      <c r="A127">
        <v>75</v>
      </c>
      <c r="B127" t="s">
        <v>25</v>
      </c>
      <c r="C127">
        <v>20</v>
      </c>
      <c r="D127">
        <v>3</v>
      </c>
      <c r="E127">
        <v>1004</v>
      </c>
      <c r="F127" t="b">
        <v>1</v>
      </c>
      <c r="G127">
        <v>41.131999999999998</v>
      </c>
      <c r="H127">
        <v>30</v>
      </c>
      <c r="I127">
        <v>2</v>
      </c>
      <c r="J127">
        <v>0.42</v>
      </c>
      <c r="K127" t="s">
        <v>755</v>
      </c>
      <c r="L127">
        <v>0</v>
      </c>
      <c r="N127" t="s">
        <v>756</v>
      </c>
      <c r="O127" t="s">
        <v>757</v>
      </c>
      <c r="P127" t="s">
        <v>20</v>
      </c>
      <c r="Q127">
        <f>(VALUE(LEFT(SUBSTITUTE(O127,"T"," "),23)) - VALUE(LEFT(SUBSTITUTE(N127,"T"," "),23))) * 86400</f>
        <v>184.92600044701248</v>
      </c>
      <c r="R127">
        <f>I127/G127</f>
        <v>4.8623942429252165E-2</v>
      </c>
      <c r="S127">
        <f>H127/G127</f>
        <v>0.72935913643878247</v>
      </c>
    </row>
    <row r="128" spans="1:19" hidden="1" x14ac:dyDescent="0.2">
      <c r="A128">
        <v>78</v>
      </c>
      <c r="B128" t="s">
        <v>25</v>
      </c>
      <c r="C128">
        <v>50</v>
      </c>
      <c r="D128">
        <v>3</v>
      </c>
      <c r="E128">
        <v>1004</v>
      </c>
      <c r="F128" t="b">
        <v>1</v>
      </c>
      <c r="G128">
        <v>42.287999999999997</v>
      </c>
      <c r="H128">
        <v>30</v>
      </c>
      <c r="I128">
        <v>5</v>
      </c>
      <c r="J128">
        <v>1.5</v>
      </c>
      <c r="K128" t="s">
        <v>764</v>
      </c>
      <c r="L128">
        <v>0</v>
      </c>
      <c r="N128" t="s">
        <v>765</v>
      </c>
      <c r="O128" t="s">
        <v>766</v>
      </c>
      <c r="P128" t="s">
        <v>20</v>
      </c>
      <c r="Q128">
        <f>(VALUE(LEFT(SUBSTITUTE(O128,"T"," "),23)) - VALUE(LEFT(SUBSTITUTE(N128,"T"," "),23))) * 86400</f>
        <v>192.53899978939444</v>
      </c>
      <c r="R128">
        <f>I128/G128</f>
        <v>0.11823685206205072</v>
      </c>
      <c r="S128">
        <f>H128/G128</f>
        <v>0.70942111237230421</v>
      </c>
    </row>
    <row r="129" spans="1:19" hidden="1" x14ac:dyDescent="0.2">
      <c r="A129">
        <v>81</v>
      </c>
      <c r="B129" t="s">
        <v>25</v>
      </c>
      <c r="C129">
        <v>70</v>
      </c>
      <c r="D129">
        <v>3</v>
      </c>
      <c r="E129">
        <v>1004</v>
      </c>
      <c r="F129" t="b">
        <v>1</v>
      </c>
      <c r="G129">
        <v>32.555999999999997</v>
      </c>
      <c r="H129">
        <v>31</v>
      </c>
      <c r="I129">
        <v>5</v>
      </c>
      <c r="J129">
        <v>0.42</v>
      </c>
      <c r="K129" t="s">
        <v>773</v>
      </c>
      <c r="L129">
        <v>0</v>
      </c>
      <c r="N129" t="s">
        <v>774</v>
      </c>
      <c r="O129" t="s">
        <v>775</v>
      </c>
      <c r="P129" t="s">
        <v>20</v>
      </c>
      <c r="Q129">
        <f>(VALUE(LEFT(SUBSTITUTE(O129,"T"," "),23)) - VALUE(LEFT(SUBSTITUTE(N129,"T"," "),23))) * 86400</f>
        <v>150.29400035273284</v>
      </c>
      <c r="R129">
        <f>I129/G129</f>
        <v>0.1535815210713847</v>
      </c>
      <c r="S129">
        <f>H129/G129</f>
        <v>0.95220543064258512</v>
      </c>
    </row>
    <row r="130" spans="1:19" hidden="1" x14ac:dyDescent="0.2">
      <c r="A130">
        <v>3</v>
      </c>
      <c r="B130" t="s">
        <v>3413</v>
      </c>
      <c r="C130">
        <v>-1</v>
      </c>
      <c r="D130">
        <v>2</v>
      </c>
      <c r="E130">
        <v>1021</v>
      </c>
      <c r="F130" t="b">
        <v>1</v>
      </c>
      <c r="G130">
        <v>30.34</v>
      </c>
      <c r="H130">
        <v>27</v>
      </c>
      <c r="I130">
        <v>2</v>
      </c>
      <c r="J130">
        <v>2.2200000000000002</v>
      </c>
      <c r="K130" t="s">
        <v>3090</v>
      </c>
      <c r="L130">
        <v>0</v>
      </c>
      <c r="N130" t="s">
        <v>3091</v>
      </c>
      <c r="O130" t="s">
        <v>3092</v>
      </c>
      <c r="P130" t="s">
        <v>20</v>
      </c>
      <c r="Q130">
        <f>(VALUE(LEFT(SUBSTITUTE(O130,"T"," "),23)) - VALUE(LEFT(SUBSTITUTE(N130,"T"," "),23))) * 86400</f>
        <v>139.79199975728989</v>
      </c>
      <c r="R130">
        <f>I130/G130</f>
        <v>6.5919578114700061E-2</v>
      </c>
      <c r="S130">
        <f>H130/G130</f>
        <v>0.88991430454845089</v>
      </c>
    </row>
    <row r="131" spans="1:19" hidden="1" x14ac:dyDescent="0.2">
      <c r="A131">
        <v>58</v>
      </c>
      <c r="B131" t="s">
        <v>16</v>
      </c>
      <c r="C131">
        <v>0</v>
      </c>
      <c r="D131">
        <v>3</v>
      </c>
      <c r="E131">
        <v>1004</v>
      </c>
      <c r="F131" t="b">
        <v>1</v>
      </c>
      <c r="G131">
        <v>66.072000000000003</v>
      </c>
      <c r="H131">
        <v>29</v>
      </c>
      <c r="I131">
        <v>1</v>
      </c>
      <c r="J131">
        <v>0.06</v>
      </c>
      <c r="K131" t="s">
        <v>704</v>
      </c>
      <c r="L131">
        <v>0</v>
      </c>
      <c r="N131" t="s">
        <v>705</v>
      </c>
      <c r="O131" t="s">
        <v>706</v>
      </c>
      <c r="P131" t="s">
        <v>20</v>
      </c>
      <c r="Q131">
        <f>(VALUE(LEFT(SUBSTITUTE(O131,"T"," "),23)) - VALUE(LEFT(SUBSTITUTE(N131,"T"," "),23))) * 86400</f>
        <v>290.24199969135225</v>
      </c>
      <c r="R131">
        <f>I131/G131</f>
        <v>1.5135004237801186E-2</v>
      </c>
      <c r="S131">
        <f>H131/G131</f>
        <v>0.43891512289623441</v>
      </c>
    </row>
    <row r="132" spans="1:19" x14ac:dyDescent="0.2">
      <c r="A132">
        <v>61</v>
      </c>
      <c r="B132" t="s">
        <v>16</v>
      </c>
      <c r="C132">
        <v>2</v>
      </c>
      <c r="D132">
        <v>3</v>
      </c>
      <c r="E132">
        <v>1019</v>
      </c>
      <c r="F132" t="b">
        <v>1</v>
      </c>
      <c r="G132">
        <v>97.02</v>
      </c>
      <c r="H132">
        <v>24</v>
      </c>
      <c r="I132">
        <v>1</v>
      </c>
      <c r="J132">
        <v>0.06</v>
      </c>
      <c r="K132" t="s">
        <v>2171</v>
      </c>
      <c r="L132">
        <v>0</v>
      </c>
      <c r="N132" t="s">
        <v>2172</v>
      </c>
      <c r="O132" t="s">
        <v>2173</v>
      </c>
      <c r="P132" t="s">
        <v>20</v>
      </c>
      <c r="Q132">
        <f>(VALUE(LEFT(SUBSTITUTE(O132,"T"," "),23)) - VALUE(LEFT(SUBSTITUTE(N132,"T"," "),23))) * 86400</f>
        <v>230.4399999557063</v>
      </c>
      <c r="R132">
        <f>I132/G132</f>
        <v>1.0307153164296022E-2</v>
      </c>
      <c r="S132">
        <f>H132/G132</f>
        <v>0.24737167594310452</v>
      </c>
    </row>
    <row r="133" spans="1:19" hidden="1" x14ac:dyDescent="0.2">
      <c r="A133">
        <v>64</v>
      </c>
      <c r="B133" t="s">
        <v>16</v>
      </c>
      <c r="C133">
        <v>5</v>
      </c>
      <c r="D133">
        <v>3</v>
      </c>
      <c r="E133">
        <v>1004</v>
      </c>
      <c r="F133" t="b">
        <v>1</v>
      </c>
      <c r="G133">
        <v>57.96</v>
      </c>
      <c r="H133">
        <v>24</v>
      </c>
      <c r="I133">
        <v>1</v>
      </c>
      <c r="J133">
        <v>0.48</v>
      </c>
      <c r="K133" t="s">
        <v>722</v>
      </c>
      <c r="L133">
        <v>0</v>
      </c>
      <c r="N133" t="s">
        <v>723</v>
      </c>
      <c r="O133" t="s">
        <v>724</v>
      </c>
      <c r="P133" t="s">
        <v>20</v>
      </c>
      <c r="Q133">
        <f>(VALUE(LEFT(SUBSTITUTE(O133,"T"," "),23)) - VALUE(LEFT(SUBSTITUTE(N133,"T"," "),23))) * 86400</f>
        <v>335.84899997804314</v>
      </c>
      <c r="R133">
        <f>I133/G133</f>
        <v>1.725327812284334E-2</v>
      </c>
      <c r="S133">
        <f>H133/G133</f>
        <v>0.41407867494824013</v>
      </c>
    </row>
    <row r="134" spans="1:19" hidden="1" x14ac:dyDescent="0.2">
      <c r="A134">
        <v>67</v>
      </c>
      <c r="B134" t="s">
        <v>16</v>
      </c>
      <c r="C134">
        <v>10</v>
      </c>
      <c r="D134">
        <v>3</v>
      </c>
      <c r="E134">
        <v>1004</v>
      </c>
      <c r="F134" t="b">
        <v>1</v>
      </c>
      <c r="G134">
        <v>61.351999999999997</v>
      </c>
      <c r="H134">
        <v>22</v>
      </c>
      <c r="I134">
        <v>8</v>
      </c>
      <c r="J134">
        <v>0.66</v>
      </c>
      <c r="K134" t="s">
        <v>731</v>
      </c>
      <c r="L134">
        <v>0</v>
      </c>
      <c r="N134" t="s">
        <v>732</v>
      </c>
      <c r="O134" t="s">
        <v>733</v>
      </c>
      <c r="P134" t="s">
        <v>20</v>
      </c>
      <c r="Q134">
        <f>(VALUE(LEFT(SUBSTITUTE(O134,"T"," "),23)) - VALUE(LEFT(SUBSTITUTE(N134,"T"," "),23))) * 86400</f>
        <v>293.13999996520579</v>
      </c>
      <c r="R134">
        <f>I134/G134</f>
        <v>0.13039509714434738</v>
      </c>
      <c r="S134">
        <f>H134/G134</f>
        <v>0.35858651714695527</v>
      </c>
    </row>
    <row r="135" spans="1:19" hidden="1" x14ac:dyDescent="0.2">
      <c r="A135">
        <v>70</v>
      </c>
      <c r="B135" t="s">
        <v>16</v>
      </c>
      <c r="C135">
        <v>15</v>
      </c>
      <c r="D135">
        <v>3</v>
      </c>
      <c r="E135">
        <v>1004</v>
      </c>
      <c r="F135" t="b">
        <v>1</v>
      </c>
      <c r="G135">
        <v>64.724000000000004</v>
      </c>
      <c r="H135">
        <v>23</v>
      </c>
      <c r="I135">
        <v>5</v>
      </c>
      <c r="J135">
        <v>1.8</v>
      </c>
      <c r="K135" t="s">
        <v>740</v>
      </c>
      <c r="L135">
        <v>0</v>
      </c>
      <c r="N135" t="s">
        <v>741</v>
      </c>
      <c r="O135" t="s">
        <v>742</v>
      </c>
      <c r="P135" t="s">
        <v>20</v>
      </c>
      <c r="Q135">
        <f>(VALUE(LEFT(SUBSTITUTE(O135,"T"," "),23)) - VALUE(LEFT(SUBSTITUTE(N135,"T"," "),23))) * 86400</f>
        <v>218.11800005380064</v>
      </c>
      <c r="R135">
        <f>I135/G135</f>
        <v>7.7251096965576901E-2</v>
      </c>
      <c r="S135">
        <f>H135/G135</f>
        <v>0.35535504604165374</v>
      </c>
    </row>
    <row r="136" spans="1:19" hidden="1" x14ac:dyDescent="0.2">
      <c r="A136">
        <v>73</v>
      </c>
      <c r="B136" t="s">
        <v>16</v>
      </c>
      <c r="C136">
        <v>20</v>
      </c>
      <c r="D136">
        <v>3</v>
      </c>
      <c r="E136">
        <v>1004</v>
      </c>
      <c r="F136" t="b">
        <v>1</v>
      </c>
      <c r="G136">
        <v>83.4</v>
      </c>
      <c r="H136">
        <v>26</v>
      </c>
      <c r="I136">
        <v>4</v>
      </c>
      <c r="J136">
        <v>0.36</v>
      </c>
      <c r="K136" t="s">
        <v>749</v>
      </c>
      <c r="L136">
        <v>0</v>
      </c>
      <c r="N136" t="s">
        <v>750</v>
      </c>
      <c r="O136" t="s">
        <v>751</v>
      </c>
      <c r="P136" t="s">
        <v>20</v>
      </c>
      <c r="Q136">
        <f>(VALUE(LEFT(SUBSTITUTE(O136,"T"," "),23)) - VALUE(LEFT(SUBSTITUTE(N136,"T"," "),23))) * 86400</f>
        <v>355.90899980161339</v>
      </c>
      <c r="R136">
        <f>I136/G136</f>
        <v>4.7961630695443645E-2</v>
      </c>
      <c r="S136">
        <f>H136/G136</f>
        <v>0.3117505995203837</v>
      </c>
    </row>
    <row r="137" spans="1:19" hidden="1" x14ac:dyDescent="0.2">
      <c r="A137">
        <v>76</v>
      </c>
      <c r="B137" t="s">
        <v>16</v>
      </c>
      <c r="C137">
        <v>50</v>
      </c>
      <c r="D137">
        <v>3</v>
      </c>
      <c r="E137">
        <v>1004</v>
      </c>
      <c r="F137" t="b">
        <v>1</v>
      </c>
      <c r="G137">
        <v>102.32</v>
      </c>
      <c r="H137">
        <v>27</v>
      </c>
      <c r="I137">
        <v>14</v>
      </c>
      <c r="J137">
        <v>4.32</v>
      </c>
      <c r="K137" t="s">
        <v>758</v>
      </c>
      <c r="L137">
        <v>0</v>
      </c>
      <c r="N137" t="s">
        <v>759</v>
      </c>
      <c r="O137" t="s">
        <v>760</v>
      </c>
      <c r="P137" t="s">
        <v>20</v>
      </c>
      <c r="Q137">
        <f>(VALUE(LEFT(SUBSTITUTE(O137,"T"," "),23)) - VALUE(LEFT(SUBSTITUTE(N137,"T"," "),23))) * 86400</f>
        <v>431.59000023733824</v>
      </c>
      <c r="R137">
        <f>I137/G137</f>
        <v>0.13682564503518374</v>
      </c>
      <c r="S137">
        <f>H137/G137</f>
        <v>0.2638780297107115</v>
      </c>
    </row>
    <row r="138" spans="1:19" hidden="1" x14ac:dyDescent="0.2">
      <c r="A138">
        <v>79</v>
      </c>
      <c r="B138" t="s">
        <v>16</v>
      </c>
      <c r="C138">
        <v>70</v>
      </c>
      <c r="D138">
        <v>3</v>
      </c>
      <c r="E138">
        <v>1004</v>
      </c>
      <c r="F138" t="b">
        <v>1</v>
      </c>
      <c r="G138">
        <v>63.728000000000002</v>
      </c>
      <c r="H138">
        <v>26</v>
      </c>
      <c r="I138">
        <v>6</v>
      </c>
      <c r="J138">
        <v>1.38</v>
      </c>
      <c r="K138" t="s">
        <v>767</v>
      </c>
      <c r="L138">
        <v>0</v>
      </c>
      <c r="N138" t="s">
        <v>768</v>
      </c>
      <c r="O138" t="s">
        <v>769</v>
      </c>
      <c r="P138" t="s">
        <v>20</v>
      </c>
      <c r="Q138">
        <f>(VALUE(LEFT(SUBSTITUTE(O138,"T"," "),23)) - VALUE(LEFT(SUBSTITUTE(N138,"T"," "),23))) * 86400</f>
        <v>286.4240002585575</v>
      </c>
      <c r="R138">
        <f>I138/G138</f>
        <v>9.4150138086869187E-2</v>
      </c>
      <c r="S138">
        <f>H138/G138</f>
        <v>0.40798393170976649</v>
      </c>
    </row>
    <row r="139" spans="1:19" hidden="1" x14ac:dyDescent="0.2">
      <c r="A139">
        <v>11</v>
      </c>
      <c r="B139" t="s">
        <v>3413</v>
      </c>
      <c r="C139">
        <v>-1</v>
      </c>
      <c r="D139">
        <v>6</v>
      </c>
      <c r="E139">
        <v>1005</v>
      </c>
      <c r="F139" t="b">
        <v>1</v>
      </c>
      <c r="G139">
        <v>37.264000000000003</v>
      </c>
      <c r="H139">
        <v>33</v>
      </c>
      <c r="I139">
        <v>4</v>
      </c>
      <c r="J139">
        <v>2.34</v>
      </c>
      <c r="K139" t="s">
        <v>2995</v>
      </c>
      <c r="L139">
        <v>0</v>
      </c>
      <c r="N139" t="s">
        <v>2996</v>
      </c>
      <c r="O139" t="s">
        <v>2997</v>
      </c>
      <c r="P139" t="s">
        <v>20</v>
      </c>
      <c r="Q139">
        <f>(VALUE(LEFT(SUBSTITUTE(O139,"T"," "),23)) - VALUE(LEFT(SUBSTITUTE(N139,"T"," "),23))) * 86400</f>
        <v>161.3959995796904</v>
      </c>
      <c r="R139">
        <f>I139/G139</f>
        <v>0.107342206955775</v>
      </c>
      <c r="S139">
        <f>H139/G139</f>
        <v>0.88557320738514378</v>
      </c>
    </row>
    <row r="140" spans="1:19" hidden="1" x14ac:dyDescent="0.2">
      <c r="A140">
        <v>86</v>
      </c>
      <c r="B140" t="s">
        <v>21</v>
      </c>
      <c r="C140">
        <v>0</v>
      </c>
      <c r="D140">
        <v>4</v>
      </c>
      <c r="E140">
        <v>1005</v>
      </c>
      <c r="F140" t="b">
        <v>1</v>
      </c>
      <c r="G140">
        <v>68.744</v>
      </c>
      <c r="H140">
        <v>25</v>
      </c>
      <c r="I140">
        <v>1</v>
      </c>
      <c r="J140">
        <v>0.24</v>
      </c>
      <c r="K140" t="s">
        <v>788</v>
      </c>
      <c r="L140">
        <v>0</v>
      </c>
      <c r="N140" t="s">
        <v>789</v>
      </c>
      <c r="O140" t="s">
        <v>790</v>
      </c>
      <c r="P140" t="s">
        <v>20</v>
      </c>
      <c r="Q140">
        <f>(VALUE(LEFT(SUBSTITUTE(O140,"T"," "),23)) - VALUE(LEFT(SUBSTITUTE(N140,"T"," "),23))) * 86400</f>
        <v>325.01100052613765</v>
      </c>
      <c r="R140">
        <f>I140/G140</f>
        <v>1.4546724077737693E-2</v>
      </c>
      <c r="S140">
        <f>H140/G140</f>
        <v>0.36366810194344235</v>
      </c>
    </row>
    <row r="141" spans="1:19" hidden="1" x14ac:dyDescent="0.2">
      <c r="A141">
        <v>4</v>
      </c>
      <c r="B141" t="s">
        <v>2476</v>
      </c>
      <c r="C141">
        <v>0</v>
      </c>
      <c r="D141">
        <v>1</v>
      </c>
      <c r="E141">
        <v>1000</v>
      </c>
      <c r="F141" t="b">
        <v>1</v>
      </c>
      <c r="G141">
        <v>86.016000000000005</v>
      </c>
      <c r="H141">
        <v>26</v>
      </c>
      <c r="I141">
        <v>4</v>
      </c>
      <c r="J141">
        <v>1.26</v>
      </c>
      <c r="K141" t="s">
        <v>2541</v>
      </c>
      <c r="L141">
        <v>0</v>
      </c>
      <c r="N141" t="s">
        <v>2542</v>
      </c>
      <c r="O141" t="s">
        <v>2543</v>
      </c>
      <c r="P141" t="s">
        <v>20</v>
      </c>
      <c r="Q141">
        <f>(VALUE(LEFT(SUBSTITUTE(O141,"T"," "),23)) - VALUE(LEFT(SUBSTITUTE(N141,"T"," "),23))) * 86400</f>
        <v>406.37700017541647</v>
      </c>
      <c r="R141">
        <f>I141/G141</f>
        <v>4.6502976190476185E-2</v>
      </c>
      <c r="S141">
        <f>H141/G141</f>
        <v>0.30226934523809523</v>
      </c>
    </row>
    <row r="142" spans="1:19" hidden="1" x14ac:dyDescent="0.2">
      <c r="A142">
        <v>92</v>
      </c>
      <c r="B142" t="s">
        <v>21</v>
      </c>
      <c r="C142">
        <v>5</v>
      </c>
      <c r="D142">
        <v>4</v>
      </c>
      <c r="E142">
        <v>1005</v>
      </c>
      <c r="F142" t="b">
        <v>1</v>
      </c>
      <c r="G142">
        <v>94.28</v>
      </c>
      <c r="H142">
        <v>27</v>
      </c>
      <c r="I142">
        <v>2</v>
      </c>
      <c r="J142">
        <v>0.18</v>
      </c>
      <c r="K142" t="s">
        <v>806</v>
      </c>
      <c r="L142">
        <v>0</v>
      </c>
      <c r="N142" t="s">
        <v>807</v>
      </c>
      <c r="O142" t="s">
        <v>808</v>
      </c>
      <c r="P142" t="s">
        <v>20</v>
      </c>
      <c r="Q142">
        <f>(VALUE(LEFT(SUBSTITUTE(O142,"T"," "),23)) - VALUE(LEFT(SUBSTITUTE(N142,"T"," "),23))) * 86400</f>
        <v>400.67299960646778</v>
      </c>
      <c r="R142">
        <f>I142/G142</f>
        <v>2.1213406873143825E-2</v>
      </c>
      <c r="S142">
        <f>H142/G142</f>
        <v>0.28638099278744167</v>
      </c>
    </row>
    <row r="143" spans="1:19" hidden="1" x14ac:dyDescent="0.2">
      <c r="A143">
        <v>95</v>
      </c>
      <c r="B143" t="s">
        <v>21</v>
      </c>
      <c r="C143">
        <v>10</v>
      </c>
      <c r="D143">
        <v>4</v>
      </c>
      <c r="E143">
        <v>1005</v>
      </c>
      <c r="F143" t="b">
        <v>1</v>
      </c>
      <c r="G143">
        <v>97.524000000000001</v>
      </c>
      <c r="H143">
        <v>27</v>
      </c>
      <c r="I143">
        <v>10</v>
      </c>
      <c r="J143">
        <v>6.06</v>
      </c>
      <c r="K143" t="s">
        <v>815</v>
      </c>
      <c r="L143">
        <v>0</v>
      </c>
      <c r="N143" t="s">
        <v>816</v>
      </c>
      <c r="O143" t="s">
        <v>817</v>
      </c>
      <c r="P143" t="s">
        <v>20</v>
      </c>
      <c r="Q143">
        <f>(VALUE(LEFT(SUBSTITUTE(O143,"T"," "),23)) - VALUE(LEFT(SUBSTITUTE(N143,"T"," "),23))) * 86400</f>
        <v>519.05399977695197</v>
      </c>
      <c r="R143">
        <f>I143/G143</f>
        <v>0.10253886222878471</v>
      </c>
      <c r="S143">
        <f>H143/G143</f>
        <v>0.27685492801771872</v>
      </c>
    </row>
    <row r="144" spans="1:19" hidden="1" x14ac:dyDescent="0.2">
      <c r="A144">
        <v>98</v>
      </c>
      <c r="B144" t="s">
        <v>21</v>
      </c>
      <c r="C144">
        <v>15</v>
      </c>
      <c r="D144">
        <v>4</v>
      </c>
      <c r="E144">
        <v>1005</v>
      </c>
      <c r="F144" t="b">
        <v>1</v>
      </c>
      <c r="G144">
        <v>64.260000000000005</v>
      </c>
      <c r="H144">
        <v>25</v>
      </c>
      <c r="I144">
        <v>7</v>
      </c>
      <c r="J144">
        <v>2.7</v>
      </c>
      <c r="K144" t="s">
        <v>824</v>
      </c>
      <c r="L144">
        <v>0</v>
      </c>
      <c r="N144" t="s">
        <v>825</v>
      </c>
      <c r="O144" t="s">
        <v>826</v>
      </c>
      <c r="P144" t="s">
        <v>20</v>
      </c>
      <c r="Q144">
        <f>(VALUE(LEFT(SUBSTITUTE(O144,"T"," "),23)) - VALUE(LEFT(SUBSTITUTE(N144,"T"," "),23))) * 86400</f>
        <v>322.34999982174486</v>
      </c>
      <c r="R144">
        <f>I144/G144</f>
        <v>0.10893246187363834</v>
      </c>
      <c r="S144">
        <f>H144/G144</f>
        <v>0.38904450669156548</v>
      </c>
    </row>
    <row r="145" spans="1:19" hidden="1" x14ac:dyDescent="0.2">
      <c r="A145">
        <v>101</v>
      </c>
      <c r="B145" t="s">
        <v>21</v>
      </c>
      <c r="C145">
        <v>20</v>
      </c>
      <c r="D145">
        <v>4</v>
      </c>
      <c r="E145">
        <v>1005</v>
      </c>
      <c r="F145" t="b">
        <v>1</v>
      </c>
      <c r="G145">
        <v>91.591999999999999</v>
      </c>
      <c r="H145">
        <v>23</v>
      </c>
      <c r="I145">
        <v>10</v>
      </c>
      <c r="J145">
        <v>1.8</v>
      </c>
      <c r="K145" t="s">
        <v>833</v>
      </c>
      <c r="L145">
        <v>0</v>
      </c>
      <c r="N145" t="s">
        <v>834</v>
      </c>
      <c r="O145" t="s">
        <v>835</v>
      </c>
      <c r="P145" t="s">
        <v>20</v>
      </c>
      <c r="Q145">
        <f>(VALUE(LEFT(SUBSTITUTE(O145,"T"," "),23)) - VALUE(LEFT(SUBSTITUTE(N145,"T"," "),23))) * 86400</f>
        <v>406.15900007542223</v>
      </c>
      <c r="R145">
        <f>I145/G145</f>
        <v>0.10917984103415146</v>
      </c>
      <c r="S145">
        <f>H145/G145</f>
        <v>0.25111363437854833</v>
      </c>
    </row>
    <row r="146" spans="1:19" hidden="1" x14ac:dyDescent="0.2">
      <c r="A146">
        <v>104</v>
      </c>
      <c r="B146" t="s">
        <v>21</v>
      </c>
      <c r="C146">
        <v>50</v>
      </c>
      <c r="D146">
        <v>4</v>
      </c>
      <c r="E146">
        <v>1005</v>
      </c>
      <c r="F146" t="b">
        <v>1</v>
      </c>
      <c r="G146">
        <v>65.256</v>
      </c>
      <c r="H146">
        <v>27</v>
      </c>
      <c r="I146">
        <v>5</v>
      </c>
      <c r="J146">
        <v>1.44</v>
      </c>
      <c r="K146" t="s">
        <v>842</v>
      </c>
      <c r="L146">
        <v>0</v>
      </c>
      <c r="N146" t="s">
        <v>843</v>
      </c>
      <c r="O146" t="s">
        <v>844</v>
      </c>
      <c r="P146" t="s">
        <v>20</v>
      </c>
      <c r="Q146">
        <f>(VALUE(LEFT(SUBSTITUTE(O146,"T"," "),23)) - VALUE(LEFT(SUBSTITUTE(N146,"T"," "),23))) * 86400</f>
        <v>367.81999999657273</v>
      </c>
      <c r="R146">
        <f>I146/G146</f>
        <v>7.6621306853009691E-2</v>
      </c>
      <c r="S146">
        <f>H146/G146</f>
        <v>0.41375505700625231</v>
      </c>
    </row>
    <row r="147" spans="1:19" hidden="1" x14ac:dyDescent="0.2">
      <c r="A147">
        <v>107</v>
      </c>
      <c r="B147" t="s">
        <v>21</v>
      </c>
      <c r="C147">
        <v>70</v>
      </c>
      <c r="D147">
        <v>4</v>
      </c>
      <c r="E147">
        <v>1005</v>
      </c>
      <c r="F147" t="b">
        <v>1</v>
      </c>
      <c r="G147">
        <v>72.656000000000006</v>
      </c>
      <c r="H147">
        <v>27</v>
      </c>
      <c r="I147">
        <v>8</v>
      </c>
      <c r="J147">
        <v>1.86</v>
      </c>
      <c r="K147" t="s">
        <v>851</v>
      </c>
      <c r="L147">
        <v>0</v>
      </c>
      <c r="N147" t="s">
        <v>852</v>
      </c>
      <c r="O147" t="s">
        <v>853</v>
      </c>
      <c r="P147" t="s">
        <v>20</v>
      </c>
      <c r="Q147">
        <f>(VALUE(LEFT(SUBSTITUTE(O147,"T"," "),23)) - VALUE(LEFT(SUBSTITUTE(N147,"T"," "),23))) * 86400</f>
        <v>404.72399981226772</v>
      </c>
      <c r="R147">
        <f>I147/G147</f>
        <v>0.11010790574763267</v>
      </c>
      <c r="S147">
        <f>H147/G147</f>
        <v>0.37161418189826029</v>
      </c>
    </row>
    <row r="148" spans="1:19" hidden="1" x14ac:dyDescent="0.2">
      <c r="A148">
        <v>17</v>
      </c>
      <c r="B148" t="s">
        <v>3413</v>
      </c>
      <c r="C148">
        <v>-1</v>
      </c>
      <c r="D148">
        <v>9</v>
      </c>
      <c r="E148">
        <v>1028</v>
      </c>
      <c r="F148" t="b">
        <v>1</v>
      </c>
      <c r="G148">
        <v>38.503999999999998</v>
      </c>
      <c r="H148">
        <v>34</v>
      </c>
      <c r="I148">
        <v>3</v>
      </c>
      <c r="J148">
        <v>3.9</v>
      </c>
      <c r="K148" t="s">
        <v>3132</v>
      </c>
      <c r="L148">
        <v>0</v>
      </c>
      <c r="N148" t="s">
        <v>3133</v>
      </c>
      <c r="O148" t="s">
        <v>3134</v>
      </c>
      <c r="P148" t="s">
        <v>20</v>
      </c>
      <c r="Q148">
        <f>(VALUE(LEFT(SUBSTITUTE(O148,"T"," "),23)) - VALUE(LEFT(SUBSTITUTE(N148,"T"," "),23))) * 86400</f>
        <v>178.4999999217689</v>
      </c>
      <c r="R148">
        <f>I148/G148</f>
        <v>7.7913982962809061E-2</v>
      </c>
      <c r="S148">
        <f>H148/G148</f>
        <v>0.88302514024516943</v>
      </c>
    </row>
    <row r="149" spans="1:19" hidden="1" x14ac:dyDescent="0.2">
      <c r="A149">
        <v>87</v>
      </c>
      <c r="B149" t="s">
        <v>25</v>
      </c>
      <c r="C149">
        <v>0</v>
      </c>
      <c r="D149">
        <v>4</v>
      </c>
      <c r="E149">
        <v>1005</v>
      </c>
      <c r="F149" t="b">
        <v>1</v>
      </c>
      <c r="G149">
        <v>49.015999999999998</v>
      </c>
      <c r="H149">
        <v>25</v>
      </c>
      <c r="I149">
        <v>1</v>
      </c>
      <c r="J149">
        <v>0.12</v>
      </c>
      <c r="K149" t="s">
        <v>791</v>
      </c>
      <c r="L149">
        <v>0</v>
      </c>
      <c r="N149" t="s">
        <v>792</v>
      </c>
      <c r="O149" t="s">
        <v>793</v>
      </c>
      <c r="P149" t="s">
        <v>20</v>
      </c>
      <c r="Q149">
        <f>(VALUE(LEFT(SUBSTITUTE(O149,"T"," "),23)) - VALUE(LEFT(SUBSTITUTE(N149,"T"," "),23))) * 86400</f>
        <v>179.95999942068011</v>
      </c>
      <c r="R149">
        <f>I149/G149</f>
        <v>2.0401501550514119E-2</v>
      </c>
      <c r="S149">
        <f>H149/G149</f>
        <v>0.51003753876285296</v>
      </c>
    </row>
    <row r="150" spans="1:19" x14ac:dyDescent="0.2">
      <c r="A150">
        <v>88</v>
      </c>
      <c r="B150" t="s">
        <v>16</v>
      </c>
      <c r="C150">
        <v>2</v>
      </c>
      <c r="D150">
        <v>4</v>
      </c>
      <c r="E150">
        <v>1025</v>
      </c>
      <c r="F150" t="b">
        <v>1</v>
      </c>
      <c r="G150">
        <v>95.56</v>
      </c>
      <c r="H150">
        <v>24</v>
      </c>
      <c r="I150">
        <v>3</v>
      </c>
      <c r="J150">
        <v>1.44</v>
      </c>
      <c r="K150" t="s">
        <v>1658</v>
      </c>
      <c r="L150">
        <v>0</v>
      </c>
      <c r="N150" t="s">
        <v>1659</v>
      </c>
      <c r="O150" t="s">
        <v>1660</v>
      </c>
      <c r="P150" t="s">
        <v>20</v>
      </c>
      <c r="Q150">
        <f>(VALUE(LEFT(SUBSTITUTE(O150,"T"," "),23)) - VALUE(LEFT(SUBSTITUTE(N150,"T"," "),23))) * 86400</f>
        <v>353.79299966152757</v>
      </c>
      <c r="R150">
        <f>I150/G150</f>
        <v>3.1393888656341566E-2</v>
      </c>
      <c r="S150">
        <f>H150/G150</f>
        <v>0.25115110925073253</v>
      </c>
    </row>
    <row r="151" spans="1:19" hidden="1" x14ac:dyDescent="0.2">
      <c r="A151">
        <v>93</v>
      </c>
      <c r="B151" t="s">
        <v>25</v>
      </c>
      <c r="C151">
        <v>5</v>
      </c>
      <c r="D151">
        <v>4</v>
      </c>
      <c r="E151">
        <v>1005</v>
      </c>
      <c r="F151" t="b">
        <v>1</v>
      </c>
      <c r="G151">
        <v>45.975999999999999</v>
      </c>
      <c r="H151">
        <v>27</v>
      </c>
      <c r="I151">
        <v>1</v>
      </c>
      <c r="J151">
        <v>0.72</v>
      </c>
      <c r="K151" t="s">
        <v>809</v>
      </c>
      <c r="L151">
        <v>0</v>
      </c>
      <c r="N151" t="s">
        <v>810</v>
      </c>
      <c r="O151" t="s">
        <v>811</v>
      </c>
      <c r="P151" t="s">
        <v>20</v>
      </c>
      <c r="Q151">
        <f>(VALUE(LEFT(SUBSTITUTE(O151,"T"," "),23)) - VALUE(LEFT(SUBSTITUTE(N151,"T"," "),23))) * 86400</f>
        <v>199.42300049588084</v>
      </c>
      <c r="R151">
        <f>I151/G151</f>
        <v>2.1750478510527232E-2</v>
      </c>
      <c r="S151">
        <f>H151/G151</f>
        <v>0.58726291978423528</v>
      </c>
    </row>
    <row r="152" spans="1:19" hidden="1" x14ac:dyDescent="0.2">
      <c r="A152">
        <v>96</v>
      </c>
      <c r="B152" t="s">
        <v>25</v>
      </c>
      <c r="C152">
        <v>10</v>
      </c>
      <c r="D152">
        <v>4</v>
      </c>
      <c r="E152">
        <v>1005</v>
      </c>
      <c r="F152" t="b">
        <v>1</v>
      </c>
      <c r="G152">
        <v>47.728000000000002</v>
      </c>
      <c r="H152">
        <v>28</v>
      </c>
      <c r="I152">
        <v>4</v>
      </c>
      <c r="J152">
        <v>0.6</v>
      </c>
      <c r="K152" t="s">
        <v>818</v>
      </c>
      <c r="L152">
        <v>0</v>
      </c>
      <c r="N152" t="s">
        <v>819</v>
      </c>
      <c r="O152" t="s">
        <v>820</v>
      </c>
      <c r="P152" t="s">
        <v>20</v>
      </c>
      <c r="Q152">
        <f>(VALUE(LEFT(SUBSTITUTE(O152,"T"," "),23)) - VALUE(LEFT(SUBSTITUTE(N152,"T"," "),23))) * 86400</f>
        <v>220.18699971958995</v>
      </c>
      <c r="R152">
        <f>I152/G152</f>
        <v>8.3808246731478381E-2</v>
      </c>
      <c r="S152">
        <f>H152/G152</f>
        <v>0.58665772712034858</v>
      </c>
    </row>
    <row r="153" spans="1:19" hidden="1" x14ac:dyDescent="0.2">
      <c r="A153">
        <v>99</v>
      </c>
      <c r="B153" t="s">
        <v>25</v>
      </c>
      <c r="C153">
        <v>15</v>
      </c>
      <c r="D153">
        <v>4</v>
      </c>
      <c r="E153">
        <v>1005</v>
      </c>
      <c r="F153" t="b">
        <v>1</v>
      </c>
      <c r="G153">
        <v>46.6</v>
      </c>
      <c r="H153">
        <v>23</v>
      </c>
      <c r="I153">
        <v>2</v>
      </c>
      <c r="J153">
        <v>0.6</v>
      </c>
      <c r="K153" t="s">
        <v>827</v>
      </c>
      <c r="L153">
        <v>0</v>
      </c>
      <c r="N153" t="s">
        <v>828</v>
      </c>
      <c r="O153" t="s">
        <v>829</v>
      </c>
      <c r="P153" t="s">
        <v>20</v>
      </c>
      <c r="Q153">
        <f>(VALUE(LEFT(SUBSTITUTE(O153,"T"," "),23)) - VALUE(LEFT(SUBSTITUTE(N153,"T"," "),23))) * 86400</f>
        <v>165.91799966990948</v>
      </c>
      <c r="R153">
        <f>I153/G153</f>
        <v>4.2918454935622317E-2</v>
      </c>
      <c r="S153">
        <f>H153/G153</f>
        <v>0.49356223175965663</v>
      </c>
    </row>
    <row r="154" spans="1:19" hidden="1" x14ac:dyDescent="0.2">
      <c r="A154">
        <v>102</v>
      </c>
      <c r="B154" t="s">
        <v>25</v>
      </c>
      <c r="C154">
        <v>20</v>
      </c>
      <c r="D154">
        <v>4</v>
      </c>
      <c r="E154">
        <v>1005</v>
      </c>
      <c r="F154" t="b">
        <v>1</v>
      </c>
      <c r="G154">
        <v>40.468000000000004</v>
      </c>
      <c r="H154">
        <v>25</v>
      </c>
      <c r="I154">
        <v>2</v>
      </c>
      <c r="J154">
        <v>0.24</v>
      </c>
      <c r="K154" t="s">
        <v>836</v>
      </c>
      <c r="L154">
        <v>0</v>
      </c>
      <c r="N154" t="s">
        <v>837</v>
      </c>
      <c r="O154" t="s">
        <v>838</v>
      </c>
      <c r="P154" t="s">
        <v>20</v>
      </c>
      <c r="Q154">
        <f>(VALUE(LEFT(SUBSTITUTE(O154,"T"," "),23)) - VALUE(LEFT(SUBSTITUTE(N154,"T"," "),23))) * 86400</f>
        <v>235.14600000344217</v>
      </c>
      <c r="R154">
        <f>I154/G154</f>
        <v>4.9421765345458134E-2</v>
      </c>
      <c r="S154">
        <f>H154/G154</f>
        <v>0.61777206681822672</v>
      </c>
    </row>
    <row r="155" spans="1:19" hidden="1" x14ac:dyDescent="0.2">
      <c r="A155">
        <v>105</v>
      </c>
      <c r="B155" t="s">
        <v>25</v>
      </c>
      <c r="C155">
        <v>50</v>
      </c>
      <c r="D155">
        <v>4</v>
      </c>
      <c r="E155">
        <v>1005</v>
      </c>
      <c r="F155" t="b">
        <v>1</v>
      </c>
      <c r="G155">
        <v>56.008000000000003</v>
      </c>
      <c r="H155">
        <v>28</v>
      </c>
      <c r="I155">
        <v>1</v>
      </c>
      <c r="J155">
        <v>0.12</v>
      </c>
      <c r="K155" t="s">
        <v>845</v>
      </c>
      <c r="L155">
        <v>0</v>
      </c>
      <c r="N155" t="s">
        <v>846</v>
      </c>
      <c r="O155" t="s">
        <v>847</v>
      </c>
      <c r="P155" t="s">
        <v>20</v>
      </c>
      <c r="Q155">
        <f>(VALUE(LEFT(SUBSTITUTE(O155,"T"," "),23)) - VALUE(LEFT(SUBSTITUTE(N155,"T"," "),23))) * 86400</f>
        <v>221.06399971526116</v>
      </c>
      <c r="R155">
        <f>I155/G155</f>
        <v>1.7854592201114124E-2</v>
      </c>
      <c r="S155">
        <f>H155/G155</f>
        <v>0.49992858163119552</v>
      </c>
    </row>
    <row r="156" spans="1:19" hidden="1" x14ac:dyDescent="0.2">
      <c r="A156">
        <v>108</v>
      </c>
      <c r="B156" t="s">
        <v>25</v>
      </c>
      <c r="C156">
        <v>70</v>
      </c>
      <c r="D156">
        <v>4</v>
      </c>
      <c r="E156">
        <v>1005</v>
      </c>
      <c r="F156" t="b">
        <v>1</v>
      </c>
      <c r="G156">
        <v>51.116</v>
      </c>
      <c r="H156">
        <v>31</v>
      </c>
      <c r="I156">
        <v>7</v>
      </c>
      <c r="J156">
        <v>0.66</v>
      </c>
      <c r="K156" t="s">
        <v>854</v>
      </c>
      <c r="L156">
        <v>0</v>
      </c>
      <c r="N156" t="s">
        <v>855</v>
      </c>
      <c r="O156" t="s">
        <v>856</v>
      </c>
      <c r="P156" t="s">
        <v>20</v>
      </c>
      <c r="Q156">
        <f>(VALUE(LEFT(SUBSTITUTE(O156,"T"," "),23)) - VALUE(LEFT(SUBSTITUTE(N156,"T"," "),23))) * 86400</f>
        <v>280.08900017011911</v>
      </c>
      <c r="R156">
        <f>I156/G156</f>
        <v>0.13694342280303623</v>
      </c>
      <c r="S156">
        <f>H156/G156</f>
        <v>0.60646372955630334</v>
      </c>
    </row>
    <row r="157" spans="1:19" hidden="1" x14ac:dyDescent="0.2">
      <c r="A157">
        <v>3</v>
      </c>
      <c r="B157" t="s">
        <v>25</v>
      </c>
      <c r="C157">
        <v>-1</v>
      </c>
      <c r="D157">
        <v>1</v>
      </c>
      <c r="E157">
        <v>1010</v>
      </c>
      <c r="F157" t="b">
        <v>1</v>
      </c>
      <c r="G157">
        <v>37.392000000000003</v>
      </c>
      <c r="H157">
        <v>33</v>
      </c>
      <c r="I157">
        <v>4</v>
      </c>
      <c r="J157">
        <v>4.2</v>
      </c>
      <c r="K157" t="s">
        <v>116</v>
      </c>
      <c r="L157">
        <v>0</v>
      </c>
      <c r="N157" t="s">
        <v>117</v>
      </c>
      <c r="O157" t="s">
        <v>118</v>
      </c>
      <c r="P157" t="s">
        <v>20</v>
      </c>
      <c r="Q157">
        <f>(VALUE(LEFT(SUBSTITUTE(O157,"T"," "),23)) - VALUE(LEFT(SUBSTITUTE(N157,"T"," "),23))) * 86400</f>
        <v>117.16599971987307</v>
      </c>
      <c r="R157">
        <f>I157/G157</f>
        <v>0.10697475395806588</v>
      </c>
      <c r="S157">
        <f>H157/G157</f>
        <v>0.88254172015404353</v>
      </c>
    </row>
    <row r="158" spans="1:19" hidden="1" x14ac:dyDescent="0.2">
      <c r="A158">
        <v>85</v>
      </c>
      <c r="B158" t="s">
        <v>16</v>
      </c>
      <c r="C158">
        <v>0</v>
      </c>
      <c r="D158">
        <v>4</v>
      </c>
      <c r="E158">
        <v>1005</v>
      </c>
      <c r="F158" t="b">
        <v>1</v>
      </c>
      <c r="G158">
        <v>56.624000000000002</v>
      </c>
      <c r="H158">
        <v>24</v>
      </c>
      <c r="I158">
        <v>2</v>
      </c>
      <c r="J158">
        <v>0.84</v>
      </c>
      <c r="K158" t="s">
        <v>785</v>
      </c>
      <c r="L158">
        <v>0</v>
      </c>
      <c r="N158" t="s">
        <v>786</v>
      </c>
      <c r="O158" t="s">
        <v>787</v>
      </c>
      <c r="P158" t="s">
        <v>20</v>
      </c>
      <c r="Q158">
        <f>(VALUE(LEFT(SUBSTITUTE(O158,"T"," "),23)) - VALUE(LEFT(SUBSTITUTE(N158,"T"," "),23))) * 86400</f>
        <v>266.63299980573356</v>
      </c>
      <c r="R158">
        <f>I158/G158</f>
        <v>3.5320712065555239E-2</v>
      </c>
      <c r="S158">
        <f>H158/G158</f>
        <v>0.4238485447866629</v>
      </c>
    </row>
    <row r="159" spans="1:19" x14ac:dyDescent="0.2">
      <c r="A159">
        <v>13</v>
      </c>
      <c r="B159" t="s">
        <v>2531</v>
      </c>
      <c r="C159">
        <v>2</v>
      </c>
      <c r="D159">
        <v>2</v>
      </c>
      <c r="E159">
        <v>1021</v>
      </c>
      <c r="F159" t="b">
        <v>1</v>
      </c>
      <c r="G159">
        <v>83.52</v>
      </c>
      <c r="H159">
        <v>21</v>
      </c>
      <c r="I159">
        <v>1</v>
      </c>
      <c r="J159">
        <v>0.12</v>
      </c>
      <c r="K159" t="s">
        <v>2808</v>
      </c>
      <c r="L159">
        <v>0</v>
      </c>
      <c r="N159" t="s">
        <v>2809</v>
      </c>
      <c r="O159" t="s">
        <v>2810</v>
      </c>
      <c r="P159" t="s">
        <v>20</v>
      </c>
      <c r="Q159">
        <f>(VALUE(LEFT(SUBSTITUTE(O159,"T"," "),23)) - VALUE(LEFT(SUBSTITUTE(N159,"T"," "),23))) * 86400</f>
        <v>448.06699985638261</v>
      </c>
      <c r="R159">
        <f>I159/G159</f>
        <v>1.1973180076628353E-2</v>
      </c>
      <c r="S159">
        <f>H159/G159</f>
        <v>0.25143678160919541</v>
      </c>
    </row>
    <row r="160" spans="1:19" hidden="1" x14ac:dyDescent="0.2">
      <c r="A160">
        <v>91</v>
      </c>
      <c r="B160" t="s">
        <v>16</v>
      </c>
      <c r="C160">
        <v>5</v>
      </c>
      <c r="D160">
        <v>4</v>
      </c>
      <c r="E160">
        <v>1005</v>
      </c>
      <c r="F160" t="b">
        <v>1</v>
      </c>
      <c r="G160">
        <v>60.5</v>
      </c>
      <c r="H160">
        <v>23</v>
      </c>
      <c r="I160">
        <v>2</v>
      </c>
      <c r="J160">
        <v>0.18</v>
      </c>
      <c r="K160" t="s">
        <v>803</v>
      </c>
      <c r="L160">
        <v>0</v>
      </c>
      <c r="N160" t="s">
        <v>804</v>
      </c>
      <c r="O160" t="s">
        <v>805</v>
      </c>
      <c r="P160" t="s">
        <v>20</v>
      </c>
      <c r="Q160">
        <f>(VALUE(LEFT(SUBSTITUTE(O160,"T"," "),23)) - VALUE(LEFT(SUBSTITUTE(N160,"T"," "),23))) * 86400</f>
        <v>272.77100023347884</v>
      </c>
      <c r="R160">
        <f>I160/G160</f>
        <v>3.3057851239669422E-2</v>
      </c>
      <c r="S160">
        <f>H160/G160</f>
        <v>0.38016528925619836</v>
      </c>
    </row>
    <row r="161" spans="1:19" hidden="1" x14ac:dyDescent="0.2">
      <c r="A161">
        <v>94</v>
      </c>
      <c r="B161" t="s">
        <v>16</v>
      </c>
      <c r="C161">
        <v>10</v>
      </c>
      <c r="D161">
        <v>4</v>
      </c>
      <c r="E161">
        <v>1005</v>
      </c>
      <c r="F161" t="b">
        <v>1</v>
      </c>
      <c r="G161">
        <v>85.263999999999996</v>
      </c>
      <c r="H161">
        <v>25</v>
      </c>
      <c r="I161">
        <v>5</v>
      </c>
      <c r="J161">
        <v>1.02</v>
      </c>
      <c r="K161" t="s">
        <v>812</v>
      </c>
      <c r="L161">
        <v>0</v>
      </c>
      <c r="N161" t="s">
        <v>813</v>
      </c>
      <c r="O161" t="s">
        <v>814</v>
      </c>
      <c r="P161" t="s">
        <v>20</v>
      </c>
      <c r="Q161">
        <f>(VALUE(LEFT(SUBSTITUTE(O161,"T"," "),23)) - VALUE(LEFT(SUBSTITUTE(N161,"T"," "),23))) * 86400</f>
        <v>298.36400037165731</v>
      </c>
      <c r="R161">
        <f>I161/G161</f>
        <v>5.8641396134359168E-2</v>
      </c>
      <c r="S161">
        <f>H161/G161</f>
        <v>0.29320698067179585</v>
      </c>
    </row>
    <row r="162" spans="1:19" hidden="1" x14ac:dyDescent="0.2">
      <c r="A162">
        <v>97</v>
      </c>
      <c r="B162" t="s">
        <v>16</v>
      </c>
      <c r="C162">
        <v>15</v>
      </c>
      <c r="D162">
        <v>4</v>
      </c>
      <c r="E162">
        <v>1005</v>
      </c>
      <c r="F162" t="b">
        <v>1</v>
      </c>
      <c r="G162">
        <v>84.744</v>
      </c>
      <c r="H162">
        <v>24</v>
      </c>
      <c r="I162">
        <v>12</v>
      </c>
      <c r="J162">
        <v>2.34</v>
      </c>
      <c r="K162" t="s">
        <v>821</v>
      </c>
      <c r="L162">
        <v>0</v>
      </c>
      <c r="N162" t="s">
        <v>822</v>
      </c>
      <c r="O162" t="s">
        <v>823</v>
      </c>
      <c r="P162" t="s">
        <v>20</v>
      </c>
      <c r="Q162">
        <f>(VALUE(LEFT(SUBSTITUTE(O162,"T"," "),23)) - VALUE(LEFT(SUBSTITUTE(N162,"T"," "),23))) * 86400</f>
        <v>327.8929999563843</v>
      </c>
      <c r="R162">
        <f>I162/G162</f>
        <v>0.14160294534126311</v>
      </c>
      <c r="S162">
        <f>H162/G162</f>
        <v>0.28320589068252622</v>
      </c>
    </row>
    <row r="163" spans="1:19" hidden="1" x14ac:dyDescent="0.2">
      <c r="A163">
        <v>100</v>
      </c>
      <c r="B163" t="s">
        <v>16</v>
      </c>
      <c r="C163">
        <v>20</v>
      </c>
      <c r="D163">
        <v>4</v>
      </c>
      <c r="E163">
        <v>1005</v>
      </c>
      <c r="F163" t="b">
        <v>1</v>
      </c>
      <c r="G163">
        <v>77.412000000000006</v>
      </c>
      <c r="H163">
        <v>25</v>
      </c>
      <c r="I163">
        <v>1</v>
      </c>
      <c r="J163">
        <v>0.24</v>
      </c>
      <c r="K163" t="s">
        <v>830</v>
      </c>
      <c r="L163">
        <v>0</v>
      </c>
      <c r="N163" t="s">
        <v>831</v>
      </c>
      <c r="O163" t="s">
        <v>832</v>
      </c>
      <c r="P163" t="s">
        <v>20</v>
      </c>
      <c r="Q163">
        <f>(VALUE(LEFT(SUBSTITUTE(O163,"T"," "),23)) - VALUE(LEFT(SUBSTITUTE(N163,"T"," "),23))) * 86400</f>
        <v>297.85299994982779</v>
      </c>
      <c r="R163">
        <f>I163/G163</f>
        <v>1.2917893866583992E-2</v>
      </c>
      <c r="S163">
        <f>H163/G163</f>
        <v>0.32294734666459979</v>
      </c>
    </row>
    <row r="164" spans="1:19" hidden="1" x14ac:dyDescent="0.2">
      <c r="A164">
        <v>103</v>
      </c>
      <c r="B164" t="s">
        <v>16</v>
      </c>
      <c r="C164">
        <v>50</v>
      </c>
      <c r="D164">
        <v>4</v>
      </c>
      <c r="E164">
        <v>1005</v>
      </c>
      <c r="F164" t="b">
        <v>1</v>
      </c>
      <c r="G164">
        <v>58.32</v>
      </c>
      <c r="H164">
        <v>25</v>
      </c>
      <c r="I164">
        <v>1</v>
      </c>
      <c r="J164">
        <v>0.06</v>
      </c>
      <c r="K164" t="s">
        <v>839</v>
      </c>
      <c r="L164">
        <v>0</v>
      </c>
      <c r="N164" t="s">
        <v>840</v>
      </c>
      <c r="O164" t="s">
        <v>841</v>
      </c>
      <c r="P164" t="s">
        <v>20</v>
      </c>
      <c r="Q164">
        <f>(VALUE(LEFT(SUBSTITUTE(O164,"T"," "),23)) - VALUE(LEFT(SUBSTITUTE(N164,"T"," "),23))) * 86400</f>
        <v>264.40900010056794</v>
      </c>
      <c r="R164">
        <f>I164/G164</f>
        <v>1.7146776406035666E-2</v>
      </c>
      <c r="S164">
        <f>H164/G164</f>
        <v>0.42866941015089161</v>
      </c>
    </row>
    <row r="165" spans="1:19" hidden="1" x14ac:dyDescent="0.2">
      <c r="A165">
        <v>106</v>
      </c>
      <c r="B165" t="s">
        <v>16</v>
      </c>
      <c r="C165">
        <v>70</v>
      </c>
      <c r="D165">
        <v>4</v>
      </c>
      <c r="E165">
        <v>1005</v>
      </c>
      <c r="F165" t="b">
        <v>1</v>
      </c>
      <c r="G165">
        <v>79.384</v>
      </c>
      <c r="H165">
        <v>27</v>
      </c>
      <c r="I165">
        <v>4</v>
      </c>
      <c r="J165">
        <v>1.1399999999999999</v>
      </c>
      <c r="K165" t="s">
        <v>848</v>
      </c>
      <c r="L165">
        <v>0</v>
      </c>
      <c r="N165" t="s">
        <v>849</v>
      </c>
      <c r="O165" t="s">
        <v>850</v>
      </c>
      <c r="P165" t="s">
        <v>20</v>
      </c>
      <c r="Q165">
        <f>(VALUE(LEFT(SUBSTITUTE(O165,"T"," "),23)) - VALUE(LEFT(SUBSTITUTE(N165,"T"," "),23))) * 86400</f>
        <v>342.43699985090643</v>
      </c>
      <c r="R165">
        <f>I165/G165</f>
        <v>5.0387987503779097E-2</v>
      </c>
      <c r="S165">
        <f>H165/G165</f>
        <v>0.34011891565050889</v>
      </c>
    </row>
    <row r="166" spans="1:19" hidden="1" x14ac:dyDescent="0.2">
      <c r="A166">
        <v>3</v>
      </c>
      <c r="B166" t="s">
        <v>25</v>
      </c>
      <c r="C166">
        <v>-1</v>
      </c>
      <c r="D166">
        <v>1</v>
      </c>
      <c r="E166">
        <v>1007</v>
      </c>
      <c r="F166" t="b">
        <v>1</v>
      </c>
      <c r="G166">
        <v>37.42</v>
      </c>
      <c r="H166">
        <v>33</v>
      </c>
      <c r="I166">
        <v>5</v>
      </c>
      <c r="J166">
        <v>6.24</v>
      </c>
      <c r="K166" t="s">
        <v>944</v>
      </c>
      <c r="L166">
        <v>0</v>
      </c>
      <c r="N166" t="s">
        <v>1802</v>
      </c>
      <c r="O166" t="s">
        <v>1803</v>
      </c>
      <c r="P166" t="s">
        <v>20</v>
      </c>
      <c r="Q166">
        <f>(VALUE(LEFT(SUBSTITUTE(O166,"T"," "),23)) - VALUE(LEFT(SUBSTITUTE(N166,"T"," "),23))) * 86400</f>
        <v>140.94099963549525</v>
      </c>
      <c r="R166">
        <f>I166/G166</f>
        <v>0.13361838588989844</v>
      </c>
      <c r="S166">
        <f>H166/G166</f>
        <v>0.88188134687332975</v>
      </c>
    </row>
    <row r="167" spans="1:19" hidden="1" x14ac:dyDescent="0.2">
      <c r="A167">
        <v>113</v>
      </c>
      <c r="B167" t="s">
        <v>21</v>
      </c>
      <c r="C167">
        <v>0</v>
      </c>
      <c r="D167">
        <v>5</v>
      </c>
      <c r="E167">
        <v>1006</v>
      </c>
      <c r="F167" t="b">
        <v>1</v>
      </c>
      <c r="G167">
        <v>47.764000000000003</v>
      </c>
      <c r="H167">
        <v>25</v>
      </c>
      <c r="I167">
        <v>3</v>
      </c>
      <c r="J167">
        <v>0.54</v>
      </c>
      <c r="K167" t="s">
        <v>869</v>
      </c>
      <c r="L167">
        <v>0</v>
      </c>
      <c r="N167" t="s">
        <v>870</v>
      </c>
      <c r="O167" t="s">
        <v>871</v>
      </c>
      <c r="P167" t="s">
        <v>20</v>
      </c>
      <c r="Q167">
        <f>(VALUE(LEFT(SUBSTITUTE(O167,"T"," "),23)) - VALUE(LEFT(SUBSTITUTE(N167,"T"," "),23))) * 86400</f>
        <v>256.35299999266863</v>
      </c>
      <c r="R167">
        <f>I167/G167</f>
        <v>6.2808809982413533E-2</v>
      </c>
      <c r="S167">
        <f>H167/G167</f>
        <v>0.52340674985344604</v>
      </c>
    </row>
    <row r="168" spans="1:19" x14ac:dyDescent="0.2">
      <c r="A168">
        <v>34</v>
      </c>
      <c r="B168" t="s">
        <v>16</v>
      </c>
      <c r="C168">
        <v>2</v>
      </c>
      <c r="D168">
        <v>2</v>
      </c>
      <c r="E168">
        <v>1013</v>
      </c>
      <c r="F168" t="b">
        <v>1</v>
      </c>
      <c r="G168">
        <v>86.396000000000001</v>
      </c>
      <c r="H168">
        <v>22</v>
      </c>
      <c r="I168">
        <v>1</v>
      </c>
      <c r="J168">
        <v>0.06</v>
      </c>
      <c r="K168" t="s">
        <v>1075</v>
      </c>
      <c r="L168">
        <v>0</v>
      </c>
      <c r="N168" t="s">
        <v>1076</v>
      </c>
      <c r="O168" t="s">
        <v>1077</v>
      </c>
      <c r="P168" t="s">
        <v>20</v>
      </c>
      <c r="Q168">
        <f>(VALUE(LEFT(SUBSTITUTE(O168,"T"," "),23)) - VALUE(LEFT(SUBSTITUTE(N168,"T"," "),23))) * 86400</f>
        <v>320.75800043530762</v>
      </c>
      <c r="R168">
        <f>I168/G168</f>
        <v>1.1574609935645169E-2</v>
      </c>
      <c r="S168">
        <f>H168/G168</f>
        <v>0.2546414185841937</v>
      </c>
    </row>
    <row r="169" spans="1:19" hidden="1" x14ac:dyDescent="0.2">
      <c r="A169">
        <v>119</v>
      </c>
      <c r="B169" t="s">
        <v>21</v>
      </c>
      <c r="C169">
        <v>5</v>
      </c>
      <c r="D169">
        <v>5</v>
      </c>
      <c r="E169">
        <v>1006</v>
      </c>
      <c r="F169" t="b">
        <v>1</v>
      </c>
      <c r="G169">
        <v>47.344000000000001</v>
      </c>
      <c r="H169">
        <v>24</v>
      </c>
      <c r="I169">
        <v>1</v>
      </c>
      <c r="J169">
        <v>2.2799999999999998</v>
      </c>
      <c r="K169" t="s">
        <v>887</v>
      </c>
      <c r="L169">
        <v>0</v>
      </c>
      <c r="N169" t="s">
        <v>888</v>
      </c>
      <c r="O169" t="s">
        <v>889</v>
      </c>
      <c r="P169" t="s">
        <v>20</v>
      </c>
      <c r="Q169">
        <f>(VALUE(LEFT(SUBSTITUTE(O169,"T"," "),23)) - VALUE(LEFT(SUBSTITUTE(N169,"T"," "),23))) * 86400</f>
        <v>308.7709998479113</v>
      </c>
      <c r="R169">
        <f>I169/G169</f>
        <v>2.1122000675904022E-2</v>
      </c>
      <c r="S169">
        <f>H169/G169</f>
        <v>0.50692801622169648</v>
      </c>
    </row>
    <row r="170" spans="1:19" hidden="1" x14ac:dyDescent="0.2">
      <c r="A170">
        <v>122</v>
      </c>
      <c r="B170" t="s">
        <v>21</v>
      </c>
      <c r="C170">
        <v>10</v>
      </c>
      <c r="D170">
        <v>5</v>
      </c>
      <c r="E170">
        <v>1006</v>
      </c>
      <c r="F170" t="b">
        <v>1</v>
      </c>
      <c r="G170">
        <v>60.444000000000003</v>
      </c>
      <c r="H170">
        <v>24</v>
      </c>
      <c r="I170">
        <v>2</v>
      </c>
      <c r="J170">
        <v>0.54</v>
      </c>
      <c r="K170" t="s">
        <v>896</v>
      </c>
      <c r="L170">
        <v>0</v>
      </c>
      <c r="N170" t="s">
        <v>897</v>
      </c>
      <c r="O170" t="s">
        <v>898</v>
      </c>
      <c r="P170" t="s">
        <v>20</v>
      </c>
      <c r="Q170">
        <f>(VALUE(LEFT(SUBSTITUTE(O170,"T"," "),23)) - VALUE(LEFT(SUBSTITUTE(N170,"T"," "),23))) * 86400</f>
        <v>296.92299971356988</v>
      </c>
      <c r="R170">
        <f>I170/G170</f>
        <v>3.3088478591754351E-2</v>
      </c>
      <c r="S170">
        <f>H170/G170</f>
        <v>0.39706174310105219</v>
      </c>
    </row>
    <row r="171" spans="1:19" hidden="1" x14ac:dyDescent="0.2">
      <c r="A171">
        <v>125</v>
      </c>
      <c r="B171" t="s">
        <v>21</v>
      </c>
      <c r="C171">
        <v>15</v>
      </c>
      <c r="D171">
        <v>5</v>
      </c>
      <c r="E171">
        <v>1006</v>
      </c>
      <c r="F171" t="b">
        <v>1</v>
      </c>
      <c r="G171">
        <v>59.36</v>
      </c>
      <c r="H171">
        <v>24</v>
      </c>
      <c r="I171">
        <v>3</v>
      </c>
      <c r="J171">
        <v>0.48</v>
      </c>
      <c r="K171" t="s">
        <v>905</v>
      </c>
      <c r="L171">
        <v>0</v>
      </c>
      <c r="N171" t="s">
        <v>906</v>
      </c>
      <c r="O171" t="s">
        <v>907</v>
      </c>
      <c r="P171" t="s">
        <v>20</v>
      </c>
      <c r="Q171">
        <f>(VALUE(LEFT(SUBSTITUTE(O171,"T"," "),23)) - VALUE(LEFT(SUBSTITUTE(N171,"T"," "),23))) * 86400</f>
        <v>289.16299981065094</v>
      </c>
      <c r="R171">
        <f>I171/G171</f>
        <v>5.0539083557951482E-2</v>
      </c>
      <c r="S171">
        <f>H171/G171</f>
        <v>0.40431266846361186</v>
      </c>
    </row>
    <row r="172" spans="1:19" hidden="1" x14ac:dyDescent="0.2">
      <c r="A172">
        <v>128</v>
      </c>
      <c r="B172" t="s">
        <v>21</v>
      </c>
      <c r="C172">
        <v>20</v>
      </c>
      <c r="D172">
        <v>5</v>
      </c>
      <c r="E172">
        <v>1006</v>
      </c>
      <c r="F172" t="b">
        <v>1</v>
      </c>
      <c r="G172">
        <v>43.856000000000002</v>
      </c>
      <c r="H172">
        <v>24</v>
      </c>
      <c r="I172">
        <v>1</v>
      </c>
      <c r="J172">
        <v>0.12</v>
      </c>
      <c r="K172" t="s">
        <v>914</v>
      </c>
      <c r="L172">
        <v>0</v>
      </c>
      <c r="N172" t="s">
        <v>915</v>
      </c>
      <c r="O172" t="s">
        <v>916</v>
      </c>
      <c r="P172" t="s">
        <v>20</v>
      </c>
      <c r="Q172">
        <f>(VALUE(LEFT(SUBSTITUTE(O172,"T"," "),23)) - VALUE(LEFT(SUBSTITUTE(N172,"T"," "),23))) * 86400</f>
        <v>277.37800036557019</v>
      </c>
      <c r="R172">
        <f>I172/G172</f>
        <v>2.2801897117840204E-2</v>
      </c>
      <c r="S172">
        <f>H172/G172</f>
        <v>0.54724553082816485</v>
      </c>
    </row>
    <row r="173" spans="1:19" hidden="1" x14ac:dyDescent="0.2">
      <c r="A173">
        <v>131</v>
      </c>
      <c r="B173" t="s">
        <v>21</v>
      </c>
      <c r="C173">
        <v>50</v>
      </c>
      <c r="D173">
        <v>5</v>
      </c>
      <c r="E173">
        <v>1006</v>
      </c>
      <c r="F173" t="b">
        <v>1</v>
      </c>
      <c r="G173">
        <v>98.031999999999996</v>
      </c>
      <c r="H173">
        <v>27</v>
      </c>
      <c r="I173">
        <v>7</v>
      </c>
      <c r="J173">
        <v>2.64</v>
      </c>
      <c r="K173" t="s">
        <v>923</v>
      </c>
      <c r="L173">
        <v>0</v>
      </c>
      <c r="N173" t="s">
        <v>924</v>
      </c>
      <c r="O173" t="s">
        <v>925</v>
      </c>
      <c r="P173" t="s">
        <v>20</v>
      </c>
      <c r="Q173">
        <f>(VALUE(LEFT(SUBSTITUTE(O173,"T"," "),23)) - VALUE(LEFT(SUBSTITUTE(N173,"T"," "),23))) * 86400</f>
        <v>510.77300026081502</v>
      </c>
      <c r="R173">
        <f>I173/G173</f>
        <v>7.1405255426799416E-2</v>
      </c>
      <c r="S173">
        <f>H173/G173</f>
        <v>0.2754202709319406</v>
      </c>
    </row>
    <row r="174" spans="1:19" hidden="1" x14ac:dyDescent="0.2">
      <c r="A174">
        <v>134</v>
      </c>
      <c r="B174" t="s">
        <v>21</v>
      </c>
      <c r="C174">
        <v>70</v>
      </c>
      <c r="D174">
        <v>5</v>
      </c>
      <c r="E174">
        <v>1006</v>
      </c>
      <c r="F174" t="b">
        <v>1</v>
      </c>
      <c r="G174">
        <v>73.447999999999993</v>
      </c>
      <c r="H174">
        <v>28</v>
      </c>
      <c r="I174">
        <v>7</v>
      </c>
      <c r="J174">
        <v>1.92</v>
      </c>
      <c r="K174" t="s">
        <v>932</v>
      </c>
      <c r="L174">
        <v>0</v>
      </c>
      <c r="N174" t="s">
        <v>933</v>
      </c>
      <c r="O174" t="s">
        <v>934</v>
      </c>
      <c r="P174" t="s">
        <v>20</v>
      </c>
      <c r="Q174">
        <f>(VALUE(LEFT(SUBSTITUTE(O174,"T"," "),23)) - VALUE(LEFT(SUBSTITUTE(N174,"T"," "),23))) * 86400</f>
        <v>333.80700051784515</v>
      </c>
      <c r="R174">
        <f>I174/G174</f>
        <v>9.5305522274262075E-2</v>
      </c>
      <c r="S174">
        <f>H174/G174</f>
        <v>0.3812220890970483</v>
      </c>
    </row>
    <row r="175" spans="1:19" hidden="1" x14ac:dyDescent="0.2">
      <c r="A175">
        <v>19</v>
      </c>
      <c r="B175" t="s">
        <v>3413</v>
      </c>
      <c r="C175">
        <v>-1</v>
      </c>
      <c r="D175">
        <v>10</v>
      </c>
      <c r="E175">
        <v>1009</v>
      </c>
      <c r="F175" t="b">
        <v>1</v>
      </c>
      <c r="G175">
        <v>36.496000000000002</v>
      </c>
      <c r="H175">
        <v>32</v>
      </c>
      <c r="I175">
        <v>2</v>
      </c>
      <c r="J175">
        <v>1.74</v>
      </c>
      <c r="K175" t="s">
        <v>3018</v>
      </c>
      <c r="L175">
        <v>0</v>
      </c>
      <c r="N175" t="s">
        <v>3019</v>
      </c>
      <c r="O175" t="s">
        <v>3020</v>
      </c>
      <c r="P175" t="s">
        <v>20</v>
      </c>
      <c r="Q175">
        <f>(VALUE(LEFT(SUBSTITUTE(O175,"T"," "),23)) - VALUE(LEFT(SUBSTITUTE(N175,"T"," "),23))) * 86400</f>
        <v>153.83099962491542</v>
      </c>
      <c r="R175">
        <f>I175/G175</f>
        <v>5.4800526085050413E-2</v>
      </c>
      <c r="S175">
        <f>H175/G175</f>
        <v>0.87680841736080661</v>
      </c>
    </row>
    <row r="176" spans="1:19" hidden="1" x14ac:dyDescent="0.2">
      <c r="A176">
        <v>114</v>
      </c>
      <c r="B176" t="s">
        <v>25</v>
      </c>
      <c r="C176">
        <v>0</v>
      </c>
      <c r="D176">
        <v>5</v>
      </c>
      <c r="E176">
        <v>1006</v>
      </c>
      <c r="F176" t="b">
        <v>1</v>
      </c>
      <c r="G176">
        <v>50.32</v>
      </c>
      <c r="H176">
        <v>30</v>
      </c>
      <c r="I176">
        <v>1</v>
      </c>
      <c r="J176">
        <v>0.36</v>
      </c>
      <c r="K176" t="s">
        <v>872</v>
      </c>
      <c r="L176">
        <v>0</v>
      </c>
      <c r="N176" t="s">
        <v>873</v>
      </c>
      <c r="O176" t="s">
        <v>874</v>
      </c>
      <c r="P176" t="s">
        <v>20</v>
      </c>
      <c r="Q176">
        <f>(VALUE(LEFT(SUBSTITUTE(O176,"T"," "),23)) - VALUE(LEFT(SUBSTITUTE(N176,"T"," "),23))) * 86400</f>
        <v>205.59399963822216</v>
      </c>
      <c r="R176">
        <f>I176/G176</f>
        <v>1.987281399046105E-2</v>
      </c>
      <c r="S176">
        <f>H176/G176</f>
        <v>0.59618441971383151</v>
      </c>
    </row>
    <row r="177" spans="1:19" x14ac:dyDescent="0.2">
      <c r="A177" s="1">
        <v>7</v>
      </c>
      <c r="B177" s="1" t="s">
        <v>16</v>
      </c>
      <c r="C177" s="1">
        <v>2</v>
      </c>
      <c r="D177" s="1">
        <v>1</v>
      </c>
      <c r="E177" s="1">
        <v>1001</v>
      </c>
      <c r="F177" s="1" t="b">
        <v>1</v>
      </c>
      <c r="G177" s="1">
        <v>105.944</v>
      </c>
      <c r="H177" s="1">
        <v>27</v>
      </c>
      <c r="I177" s="1">
        <v>3</v>
      </c>
      <c r="J177" s="1">
        <v>0.66</v>
      </c>
      <c r="K177" s="1" t="s">
        <v>308</v>
      </c>
      <c r="L177" s="1">
        <v>0</v>
      </c>
      <c r="M177" s="1"/>
      <c r="N177" s="1" t="s">
        <v>309</v>
      </c>
      <c r="O177" s="1" t="s">
        <v>310</v>
      </c>
      <c r="P177" s="1" t="s">
        <v>20</v>
      </c>
      <c r="Q177">
        <f>(VALUE(LEFT(SUBSTITUTE(O177,"T"," "),23)) - VALUE(LEFT(SUBSTITUTE(N177,"T"," "),23))) * 86400</f>
        <v>430.35500014666468</v>
      </c>
      <c r="R177">
        <f>I177/G177</f>
        <v>2.8316846635958619E-2</v>
      </c>
      <c r="S177">
        <f>H177/G177</f>
        <v>0.25485161972362758</v>
      </c>
    </row>
    <row r="178" spans="1:19" hidden="1" x14ac:dyDescent="0.2">
      <c r="A178">
        <v>120</v>
      </c>
      <c r="B178" t="s">
        <v>25</v>
      </c>
      <c r="C178">
        <v>5</v>
      </c>
      <c r="D178">
        <v>5</v>
      </c>
      <c r="E178">
        <v>1006</v>
      </c>
      <c r="F178" t="b">
        <v>1</v>
      </c>
      <c r="G178">
        <v>51.42</v>
      </c>
      <c r="H178">
        <v>28</v>
      </c>
      <c r="I178">
        <v>2</v>
      </c>
      <c r="J178">
        <v>0.42</v>
      </c>
      <c r="K178" t="s">
        <v>890</v>
      </c>
      <c r="L178">
        <v>0</v>
      </c>
      <c r="N178" t="s">
        <v>891</v>
      </c>
      <c r="O178" t="s">
        <v>892</v>
      </c>
      <c r="P178" t="s">
        <v>20</v>
      </c>
      <c r="Q178">
        <f>(VALUE(LEFT(SUBSTITUTE(O178,"T"," "),23)) - VALUE(LEFT(SUBSTITUTE(N178,"T"," "),23))) * 86400</f>
        <v>184.10800045821816</v>
      </c>
      <c r="R178">
        <f>I178/G178</f>
        <v>3.8895371450797356E-2</v>
      </c>
      <c r="S178">
        <f>H178/G178</f>
        <v>0.54453520031116298</v>
      </c>
    </row>
    <row r="179" spans="1:19" hidden="1" x14ac:dyDescent="0.2">
      <c r="A179">
        <v>123</v>
      </c>
      <c r="B179" t="s">
        <v>25</v>
      </c>
      <c r="C179">
        <v>10</v>
      </c>
      <c r="D179">
        <v>5</v>
      </c>
      <c r="E179">
        <v>1006</v>
      </c>
      <c r="F179" t="b">
        <v>1</v>
      </c>
      <c r="G179">
        <v>51.043999999999997</v>
      </c>
      <c r="H179">
        <v>26</v>
      </c>
      <c r="I179">
        <v>4</v>
      </c>
      <c r="J179">
        <v>1.92</v>
      </c>
      <c r="K179" t="s">
        <v>899</v>
      </c>
      <c r="L179">
        <v>0</v>
      </c>
      <c r="N179" t="s">
        <v>900</v>
      </c>
      <c r="O179" t="s">
        <v>901</v>
      </c>
      <c r="P179" t="s">
        <v>20</v>
      </c>
      <c r="Q179">
        <f>(VALUE(LEFT(SUBSTITUTE(O179,"T"," "),23)) - VALUE(LEFT(SUBSTITUTE(N179,"T"," "),23))) * 86400</f>
        <v>230.7430000975728</v>
      </c>
      <c r="R179">
        <f>I179/G179</f>
        <v>7.8363764595251156E-2</v>
      </c>
      <c r="S179">
        <f>H179/G179</f>
        <v>0.50936446986913253</v>
      </c>
    </row>
    <row r="180" spans="1:19" hidden="1" x14ac:dyDescent="0.2">
      <c r="A180">
        <v>126</v>
      </c>
      <c r="B180" t="s">
        <v>25</v>
      </c>
      <c r="C180">
        <v>15</v>
      </c>
      <c r="D180">
        <v>5</v>
      </c>
      <c r="E180">
        <v>1006</v>
      </c>
      <c r="F180" t="b">
        <v>1</v>
      </c>
      <c r="G180">
        <v>37.299999999999997</v>
      </c>
      <c r="H180">
        <v>31</v>
      </c>
      <c r="I180">
        <v>4</v>
      </c>
      <c r="J180">
        <v>0.42</v>
      </c>
      <c r="K180" t="s">
        <v>908</v>
      </c>
      <c r="L180">
        <v>0</v>
      </c>
      <c r="N180" t="s">
        <v>909</v>
      </c>
      <c r="O180" t="s">
        <v>910</v>
      </c>
      <c r="P180" t="s">
        <v>20</v>
      </c>
      <c r="Q180">
        <f>(VALUE(LEFT(SUBSTITUTE(O180,"T"," "),23)) - VALUE(LEFT(SUBSTITUTE(N180,"T"," "),23))) * 86400</f>
        <v>221.11899966839701</v>
      </c>
      <c r="R180">
        <f>I180/G180</f>
        <v>0.10723860589812333</v>
      </c>
      <c r="S180">
        <f>H180/G180</f>
        <v>0.83109919571045587</v>
      </c>
    </row>
    <row r="181" spans="1:19" hidden="1" x14ac:dyDescent="0.2">
      <c r="A181">
        <v>129</v>
      </c>
      <c r="B181" t="s">
        <v>25</v>
      </c>
      <c r="C181">
        <v>20</v>
      </c>
      <c r="D181">
        <v>5</v>
      </c>
      <c r="E181">
        <v>1006</v>
      </c>
      <c r="F181" t="b">
        <v>1</v>
      </c>
      <c r="G181">
        <v>41.555999999999997</v>
      </c>
      <c r="H181">
        <v>28</v>
      </c>
      <c r="I181">
        <v>1</v>
      </c>
      <c r="J181">
        <v>0.12</v>
      </c>
      <c r="K181" t="s">
        <v>917</v>
      </c>
      <c r="L181">
        <v>0</v>
      </c>
      <c r="N181" t="s">
        <v>918</v>
      </c>
      <c r="O181" t="s">
        <v>919</v>
      </c>
      <c r="P181" t="s">
        <v>20</v>
      </c>
      <c r="Q181">
        <f>(VALUE(LEFT(SUBSTITUTE(O181,"T"," "),23)) - VALUE(LEFT(SUBSTITUTE(N181,"T"," "),23))) * 86400</f>
        <v>142.31300046667457</v>
      </c>
      <c r="R181">
        <f>I181/G181</f>
        <v>2.4063913754933105E-2</v>
      </c>
      <c r="S181">
        <f>H181/G181</f>
        <v>0.67378958513812692</v>
      </c>
    </row>
    <row r="182" spans="1:19" hidden="1" x14ac:dyDescent="0.2">
      <c r="A182">
        <v>132</v>
      </c>
      <c r="B182" t="s">
        <v>25</v>
      </c>
      <c r="C182">
        <v>50</v>
      </c>
      <c r="D182">
        <v>5</v>
      </c>
      <c r="E182">
        <v>1006</v>
      </c>
      <c r="F182" t="b">
        <v>1</v>
      </c>
      <c r="G182">
        <v>43.932000000000002</v>
      </c>
      <c r="H182">
        <v>26</v>
      </c>
      <c r="I182">
        <v>6</v>
      </c>
      <c r="J182">
        <v>1.2</v>
      </c>
      <c r="K182" t="s">
        <v>926</v>
      </c>
      <c r="L182">
        <v>0</v>
      </c>
      <c r="N182" t="s">
        <v>927</v>
      </c>
      <c r="O182" t="s">
        <v>928</v>
      </c>
      <c r="P182" t="s">
        <v>20</v>
      </c>
      <c r="Q182">
        <f>(VALUE(LEFT(SUBSTITUTE(O182,"T"," "),23)) - VALUE(LEFT(SUBSTITUTE(N182,"T"," "),23))) * 86400</f>
        <v>179.12000007927418</v>
      </c>
      <c r="R182">
        <f>I182/G182</f>
        <v>0.13657470636438132</v>
      </c>
      <c r="S182">
        <f>H182/G182</f>
        <v>0.59182372757898571</v>
      </c>
    </row>
    <row r="183" spans="1:19" hidden="1" x14ac:dyDescent="0.2">
      <c r="A183">
        <v>135</v>
      </c>
      <c r="B183" t="s">
        <v>25</v>
      </c>
      <c r="C183">
        <v>70</v>
      </c>
      <c r="D183">
        <v>5</v>
      </c>
      <c r="E183">
        <v>1006</v>
      </c>
      <c r="F183" t="b">
        <v>1</v>
      </c>
      <c r="G183">
        <v>45.44</v>
      </c>
      <c r="H183">
        <v>27</v>
      </c>
      <c r="I183">
        <v>7</v>
      </c>
      <c r="J183">
        <v>1.62</v>
      </c>
      <c r="K183" t="s">
        <v>935</v>
      </c>
      <c r="L183">
        <v>0</v>
      </c>
      <c r="N183" t="s">
        <v>936</v>
      </c>
      <c r="O183" t="s">
        <v>937</v>
      </c>
      <c r="P183" t="s">
        <v>20</v>
      </c>
      <c r="Q183">
        <f>(VALUE(LEFT(SUBSTITUTE(O183,"T"," "),23)) - VALUE(LEFT(SUBSTITUTE(N183,"T"," "),23))) * 86400</f>
        <v>177.03200031537563</v>
      </c>
      <c r="R183">
        <f>I183/G183</f>
        <v>0.1540492957746479</v>
      </c>
      <c r="S183">
        <f>H183/G183</f>
        <v>0.59419014084507049</v>
      </c>
    </row>
    <row r="184" spans="1:19" hidden="1" x14ac:dyDescent="0.2">
      <c r="A184">
        <v>42</v>
      </c>
      <c r="B184" t="s">
        <v>25</v>
      </c>
      <c r="C184">
        <v>-1</v>
      </c>
      <c r="D184">
        <v>5</v>
      </c>
      <c r="E184">
        <v>1024</v>
      </c>
      <c r="F184" t="b">
        <v>1</v>
      </c>
      <c r="G184">
        <v>38.915999999999997</v>
      </c>
      <c r="H184">
        <v>34</v>
      </c>
      <c r="I184">
        <v>5</v>
      </c>
      <c r="J184">
        <v>4.4400000000000004</v>
      </c>
      <c r="K184" t="s">
        <v>3805</v>
      </c>
      <c r="L184">
        <v>0</v>
      </c>
      <c r="N184" t="s">
        <v>3806</v>
      </c>
      <c r="O184" t="s">
        <v>3807</v>
      </c>
      <c r="P184" t="s">
        <v>20</v>
      </c>
      <c r="Q184">
        <f>(VALUE(LEFT(SUBSTITUTE(O184,"T"," "),23)) - VALUE(LEFT(SUBSTITUTE(N184,"T"," "),23))) * 86400</f>
        <v>153.26400033663958</v>
      </c>
      <c r="R184">
        <f>I184/G184</f>
        <v>0.12848185836159937</v>
      </c>
      <c r="S184">
        <f>H184/G184</f>
        <v>0.87367663685887564</v>
      </c>
    </row>
    <row r="185" spans="1:19" hidden="1" x14ac:dyDescent="0.2">
      <c r="A185">
        <v>112</v>
      </c>
      <c r="B185" t="s">
        <v>16</v>
      </c>
      <c r="C185">
        <v>0</v>
      </c>
      <c r="D185">
        <v>5</v>
      </c>
      <c r="E185">
        <v>1006</v>
      </c>
      <c r="F185" t="b">
        <v>1</v>
      </c>
      <c r="G185">
        <v>74.975999999999999</v>
      </c>
      <c r="H185">
        <v>23</v>
      </c>
      <c r="I185">
        <v>1</v>
      </c>
      <c r="J185">
        <v>0.12</v>
      </c>
      <c r="K185" t="s">
        <v>866</v>
      </c>
      <c r="L185">
        <v>0</v>
      </c>
      <c r="N185" t="s">
        <v>867</v>
      </c>
      <c r="O185" t="s">
        <v>868</v>
      </c>
      <c r="P185" t="s">
        <v>20</v>
      </c>
      <c r="Q185">
        <f>(VALUE(LEFT(SUBSTITUTE(O185,"T"," "),23)) - VALUE(LEFT(SUBSTITUTE(N185,"T"," "),23))) * 86400</f>
        <v>340.87600009515882</v>
      </c>
      <c r="R185">
        <f>I185/G185</f>
        <v>1.333760136577038E-2</v>
      </c>
      <c r="S185">
        <f>H185/G185</f>
        <v>0.30676483141271876</v>
      </c>
    </row>
    <row r="186" spans="1:19" x14ac:dyDescent="0.2">
      <c r="A186">
        <v>3</v>
      </c>
      <c r="B186" t="s">
        <v>2531</v>
      </c>
      <c r="C186">
        <v>2</v>
      </c>
      <c r="D186">
        <v>1</v>
      </c>
      <c r="E186">
        <v>1015</v>
      </c>
      <c r="F186" t="b">
        <v>1</v>
      </c>
      <c r="G186">
        <v>81.287999999999997</v>
      </c>
      <c r="H186">
        <v>21</v>
      </c>
      <c r="I186">
        <v>3</v>
      </c>
      <c r="J186">
        <v>0.48</v>
      </c>
      <c r="K186" t="s">
        <v>2922</v>
      </c>
      <c r="L186">
        <v>0</v>
      </c>
      <c r="N186" t="s">
        <v>2923</v>
      </c>
      <c r="O186" t="s">
        <v>2924</v>
      </c>
      <c r="Q186">
        <f>(VALUE(LEFT(SUBSTITUTE(O186,"T"," "),23)) - VALUE(LEFT(SUBSTITUTE(N186,"T"," "),23))) * 86400</f>
        <v>384.71600005868822</v>
      </c>
      <c r="R186">
        <f>I186/G186</f>
        <v>3.6905816356657808E-2</v>
      </c>
      <c r="S186">
        <f>H186/G186</f>
        <v>0.25834071449660467</v>
      </c>
    </row>
    <row r="187" spans="1:19" hidden="1" x14ac:dyDescent="0.2">
      <c r="A187">
        <v>118</v>
      </c>
      <c r="B187" t="s">
        <v>16</v>
      </c>
      <c r="C187">
        <v>5</v>
      </c>
      <c r="D187">
        <v>5</v>
      </c>
      <c r="E187">
        <v>1006</v>
      </c>
      <c r="F187" t="b">
        <v>1</v>
      </c>
      <c r="G187">
        <v>68.563999999999993</v>
      </c>
      <c r="H187">
        <v>27</v>
      </c>
      <c r="I187">
        <v>3</v>
      </c>
      <c r="J187">
        <v>0.36</v>
      </c>
      <c r="K187" t="s">
        <v>884</v>
      </c>
      <c r="L187">
        <v>0</v>
      </c>
      <c r="N187" t="s">
        <v>885</v>
      </c>
      <c r="O187" t="s">
        <v>886</v>
      </c>
      <c r="P187" t="s">
        <v>20</v>
      </c>
      <c r="Q187">
        <f>(VALUE(LEFT(SUBSTITUTE(O187,"T"," "),23)) - VALUE(LEFT(SUBSTITUTE(N187,"T"," "),23))) * 86400</f>
        <v>300.40700000245124</v>
      </c>
      <c r="R187">
        <f>I187/G187</f>
        <v>4.3754740096843832E-2</v>
      </c>
      <c r="S187">
        <f>H187/G187</f>
        <v>0.39379266087159448</v>
      </c>
    </row>
    <row r="188" spans="1:19" hidden="1" x14ac:dyDescent="0.2">
      <c r="A188">
        <v>121</v>
      </c>
      <c r="B188" t="s">
        <v>16</v>
      </c>
      <c r="C188">
        <v>10</v>
      </c>
      <c r="D188">
        <v>5</v>
      </c>
      <c r="E188">
        <v>1006</v>
      </c>
      <c r="F188" t="b">
        <v>1</v>
      </c>
      <c r="G188">
        <v>89.864000000000004</v>
      </c>
      <c r="H188">
        <v>28</v>
      </c>
      <c r="I188">
        <v>7</v>
      </c>
      <c r="J188">
        <v>1.08</v>
      </c>
      <c r="K188" t="s">
        <v>893</v>
      </c>
      <c r="L188">
        <v>0</v>
      </c>
      <c r="N188" t="s">
        <v>894</v>
      </c>
      <c r="O188" t="s">
        <v>895</v>
      </c>
      <c r="P188" t="s">
        <v>20</v>
      </c>
      <c r="Q188">
        <f>(VALUE(LEFT(SUBSTITUTE(O188,"T"," "),23)) - VALUE(LEFT(SUBSTITUTE(N188,"T"," "),23))) * 86400</f>
        <v>382.0979997748509</v>
      </c>
      <c r="R188">
        <f>I188/G188</f>
        <v>7.7895486512952902E-2</v>
      </c>
      <c r="S188">
        <f>H188/G188</f>
        <v>0.31158194605181161</v>
      </c>
    </row>
    <row r="189" spans="1:19" hidden="1" x14ac:dyDescent="0.2">
      <c r="A189">
        <v>124</v>
      </c>
      <c r="B189" t="s">
        <v>16</v>
      </c>
      <c r="C189">
        <v>15</v>
      </c>
      <c r="D189">
        <v>5</v>
      </c>
      <c r="E189">
        <v>1006</v>
      </c>
      <c r="F189" t="b">
        <v>1</v>
      </c>
      <c r="G189">
        <v>92.763999999999996</v>
      </c>
      <c r="H189">
        <v>28</v>
      </c>
      <c r="I189">
        <v>16</v>
      </c>
      <c r="J189">
        <v>3.54</v>
      </c>
      <c r="K189" t="s">
        <v>902</v>
      </c>
      <c r="L189">
        <v>0</v>
      </c>
      <c r="N189" t="s">
        <v>903</v>
      </c>
      <c r="O189" t="s">
        <v>904</v>
      </c>
      <c r="P189" t="s">
        <v>20</v>
      </c>
      <c r="Q189">
        <f>(VALUE(LEFT(SUBSTITUTE(O189,"T"," "),23)) - VALUE(LEFT(SUBSTITUTE(N189,"T"," "),23))) * 86400</f>
        <v>450.05399999208748</v>
      </c>
      <c r="R189">
        <f>I189/G189</f>
        <v>0.17248070372127119</v>
      </c>
      <c r="S189">
        <f>H189/G189</f>
        <v>0.30184123151222458</v>
      </c>
    </row>
    <row r="190" spans="1:19" hidden="1" x14ac:dyDescent="0.2">
      <c r="A190">
        <v>127</v>
      </c>
      <c r="B190" t="s">
        <v>16</v>
      </c>
      <c r="C190">
        <v>20</v>
      </c>
      <c r="D190">
        <v>5</v>
      </c>
      <c r="E190">
        <v>1006</v>
      </c>
      <c r="F190" t="b">
        <v>1</v>
      </c>
      <c r="G190">
        <v>103.94799999999999</v>
      </c>
      <c r="H190">
        <v>30</v>
      </c>
      <c r="I190">
        <v>17</v>
      </c>
      <c r="J190">
        <v>1.98</v>
      </c>
      <c r="K190" t="s">
        <v>911</v>
      </c>
      <c r="L190">
        <v>0</v>
      </c>
      <c r="N190" t="s">
        <v>912</v>
      </c>
      <c r="O190" t="s">
        <v>913</v>
      </c>
      <c r="P190" t="s">
        <v>20</v>
      </c>
      <c r="Q190">
        <f>(VALUE(LEFT(SUBSTITUTE(O190,"T"," "),23)) - VALUE(LEFT(SUBSTITUTE(N190,"T"," "),23))) * 86400</f>
        <v>400.02500033006072</v>
      </c>
      <c r="R190">
        <f>I190/G190</f>
        <v>0.16354331011659676</v>
      </c>
      <c r="S190">
        <f>H190/G190</f>
        <v>0.28860584138222961</v>
      </c>
    </row>
    <row r="191" spans="1:19" hidden="1" x14ac:dyDescent="0.2">
      <c r="A191">
        <v>130</v>
      </c>
      <c r="B191" t="s">
        <v>16</v>
      </c>
      <c r="C191">
        <v>50</v>
      </c>
      <c r="D191">
        <v>5</v>
      </c>
      <c r="E191">
        <v>1006</v>
      </c>
      <c r="F191" t="b">
        <v>1</v>
      </c>
      <c r="G191">
        <v>82.835999999999999</v>
      </c>
      <c r="H191">
        <v>29</v>
      </c>
      <c r="I191">
        <v>12</v>
      </c>
      <c r="J191">
        <v>2.04</v>
      </c>
      <c r="K191" t="s">
        <v>920</v>
      </c>
      <c r="L191">
        <v>0</v>
      </c>
      <c r="N191" t="s">
        <v>921</v>
      </c>
      <c r="O191" t="s">
        <v>922</v>
      </c>
      <c r="P191" t="s">
        <v>20</v>
      </c>
      <c r="Q191">
        <f>(VALUE(LEFT(SUBSTITUTE(O191,"T"," "),23)) - VALUE(LEFT(SUBSTITUTE(N191,"T"," "),23))) * 86400</f>
        <v>358.30399976111948</v>
      </c>
      <c r="R191">
        <f>I191/G191</f>
        <v>0.14486455164421266</v>
      </c>
      <c r="S191">
        <f>H191/G191</f>
        <v>0.35008933314018059</v>
      </c>
    </row>
    <row r="192" spans="1:19" hidden="1" x14ac:dyDescent="0.2">
      <c r="A192">
        <v>133</v>
      </c>
      <c r="B192" t="s">
        <v>16</v>
      </c>
      <c r="C192">
        <v>70</v>
      </c>
      <c r="D192">
        <v>5</v>
      </c>
      <c r="E192">
        <v>1006</v>
      </c>
      <c r="F192" t="b">
        <v>1</v>
      </c>
      <c r="G192">
        <v>91.072000000000003</v>
      </c>
      <c r="H192">
        <v>27</v>
      </c>
      <c r="I192">
        <v>10</v>
      </c>
      <c r="J192">
        <v>3.12</v>
      </c>
      <c r="K192" t="s">
        <v>929</v>
      </c>
      <c r="L192">
        <v>0</v>
      </c>
      <c r="N192" t="s">
        <v>930</v>
      </c>
      <c r="O192" t="s">
        <v>931</v>
      </c>
      <c r="P192" t="s">
        <v>20</v>
      </c>
      <c r="Q192">
        <f>(VALUE(LEFT(SUBSTITUTE(O192,"T"," "),23)) - VALUE(LEFT(SUBSTITUTE(N192,"T"," "),23))) * 86400</f>
        <v>358.41500046662986</v>
      </c>
      <c r="R192">
        <f>I192/G192</f>
        <v>0.10980323260716796</v>
      </c>
      <c r="S192">
        <f>H192/G192</f>
        <v>0.29646872803935348</v>
      </c>
    </row>
    <row r="193" spans="1:19" hidden="1" x14ac:dyDescent="0.2">
      <c r="A193">
        <v>22</v>
      </c>
      <c r="B193" t="s">
        <v>25</v>
      </c>
      <c r="C193">
        <v>-1</v>
      </c>
      <c r="D193">
        <v>3</v>
      </c>
      <c r="E193">
        <v>1022</v>
      </c>
      <c r="F193" t="b">
        <v>1</v>
      </c>
      <c r="G193">
        <v>29.88</v>
      </c>
      <c r="H193">
        <v>26</v>
      </c>
      <c r="I193">
        <v>6</v>
      </c>
      <c r="J193">
        <v>5.04</v>
      </c>
      <c r="K193" t="s">
        <v>3745</v>
      </c>
      <c r="L193">
        <v>0</v>
      </c>
      <c r="N193" t="s">
        <v>3746</v>
      </c>
      <c r="O193" t="s">
        <v>3747</v>
      </c>
      <c r="P193" t="s">
        <v>20</v>
      </c>
      <c r="Q193">
        <f>(VALUE(LEFT(SUBSTITUTE(O193,"T"," "),23)) - VALUE(LEFT(SUBSTITUTE(N193,"T"," "),23))) * 86400</f>
        <v>117.79999975115061</v>
      </c>
      <c r="R193">
        <f>I193/G193</f>
        <v>0.20080321285140562</v>
      </c>
      <c r="S193">
        <f>H193/G193</f>
        <v>0.87014725568942441</v>
      </c>
    </row>
    <row r="194" spans="1:19" hidden="1" x14ac:dyDescent="0.2">
      <c r="A194">
        <v>140</v>
      </c>
      <c r="B194" t="s">
        <v>21</v>
      </c>
      <c r="C194">
        <v>0</v>
      </c>
      <c r="D194">
        <v>6</v>
      </c>
      <c r="E194">
        <v>1007</v>
      </c>
      <c r="F194" t="b">
        <v>1</v>
      </c>
      <c r="G194">
        <v>74.103999999999999</v>
      </c>
      <c r="H194">
        <v>25</v>
      </c>
      <c r="I194">
        <v>6</v>
      </c>
      <c r="J194">
        <v>1.98</v>
      </c>
      <c r="K194" t="s">
        <v>948</v>
      </c>
      <c r="L194">
        <v>0</v>
      </c>
      <c r="N194" t="s">
        <v>949</v>
      </c>
      <c r="O194" t="s">
        <v>950</v>
      </c>
      <c r="P194" t="s">
        <v>20</v>
      </c>
      <c r="Q194">
        <f>(VALUE(LEFT(SUBSTITUTE(O194,"T"," "),23)) - VALUE(LEFT(SUBSTITUTE(N194,"T"," "),23))) * 86400</f>
        <v>342.83300014212728</v>
      </c>
      <c r="R194">
        <f>I194/G194</f>
        <v>8.0967289215157071E-2</v>
      </c>
      <c r="S194">
        <f>H194/G194</f>
        <v>0.3373637050631545</v>
      </c>
    </row>
    <row r="195" spans="1:19" x14ac:dyDescent="0.2">
      <c r="A195">
        <v>116</v>
      </c>
      <c r="B195" t="s">
        <v>21</v>
      </c>
      <c r="C195">
        <v>2</v>
      </c>
      <c r="D195">
        <v>5</v>
      </c>
      <c r="E195">
        <v>1026</v>
      </c>
      <c r="F195" t="b">
        <v>1</v>
      </c>
      <c r="G195">
        <v>84.908000000000001</v>
      </c>
      <c r="H195">
        <v>22</v>
      </c>
      <c r="I195">
        <v>3</v>
      </c>
      <c r="J195">
        <v>2.4</v>
      </c>
      <c r="K195" t="s">
        <v>1742</v>
      </c>
      <c r="L195">
        <v>0</v>
      </c>
      <c r="N195" t="s">
        <v>1743</v>
      </c>
      <c r="O195" t="s">
        <v>1744</v>
      </c>
      <c r="P195" t="s">
        <v>20</v>
      </c>
      <c r="Q195">
        <f>(VALUE(LEFT(SUBSTITUTE(O195,"T"," "),23)) - VALUE(LEFT(SUBSTITUTE(N195,"T"," "),23))) * 86400</f>
        <v>341.01600009016693</v>
      </c>
      <c r="R195">
        <f>I195/G195</f>
        <v>3.5332359730531872E-2</v>
      </c>
      <c r="S195">
        <f>H195/G195</f>
        <v>0.25910397135723373</v>
      </c>
    </row>
    <row r="196" spans="1:19" hidden="1" x14ac:dyDescent="0.2">
      <c r="A196">
        <v>11</v>
      </c>
      <c r="B196" t="s">
        <v>21</v>
      </c>
      <c r="C196">
        <v>5</v>
      </c>
      <c r="D196">
        <v>1</v>
      </c>
      <c r="E196">
        <v>1007</v>
      </c>
      <c r="F196" t="b">
        <v>1</v>
      </c>
      <c r="G196">
        <v>43.923999999999999</v>
      </c>
      <c r="H196">
        <v>25</v>
      </c>
      <c r="I196">
        <v>2</v>
      </c>
      <c r="J196">
        <v>0.54</v>
      </c>
      <c r="K196" t="s">
        <v>960</v>
      </c>
      <c r="L196">
        <v>0</v>
      </c>
      <c r="N196" t="s">
        <v>1810</v>
      </c>
      <c r="O196" t="s">
        <v>1811</v>
      </c>
      <c r="P196" t="s">
        <v>20</v>
      </c>
      <c r="Q196">
        <f>(VALUE(LEFT(SUBSTITUTE(O196,"T"," "),23)) - VALUE(LEFT(SUBSTITUTE(N196,"T"," "),23))) * 86400</f>
        <v>171.52199952397496</v>
      </c>
      <c r="R196">
        <f>I196/G196</f>
        <v>4.5533193698205993E-2</v>
      </c>
      <c r="S196">
        <f>H196/G196</f>
        <v>0.56916492122757489</v>
      </c>
    </row>
    <row r="197" spans="1:19" hidden="1" x14ac:dyDescent="0.2">
      <c r="A197">
        <v>14</v>
      </c>
      <c r="B197" t="s">
        <v>21</v>
      </c>
      <c r="C197">
        <v>10</v>
      </c>
      <c r="D197">
        <v>1</v>
      </c>
      <c r="E197">
        <v>1007</v>
      </c>
      <c r="F197" t="b">
        <v>1</v>
      </c>
      <c r="G197">
        <v>65.775999999999996</v>
      </c>
      <c r="H197">
        <v>24</v>
      </c>
      <c r="I197">
        <v>3</v>
      </c>
      <c r="J197">
        <v>0.6</v>
      </c>
      <c r="K197" t="s">
        <v>963</v>
      </c>
      <c r="L197">
        <v>0</v>
      </c>
      <c r="N197" t="s">
        <v>1816</v>
      </c>
      <c r="O197" t="s">
        <v>1817</v>
      </c>
      <c r="P197" t="s">
        <v>20</v>
      </c>
      <c r="Q197">
        <f>(VALUE(LEFT(SUBSTITUTE(O197,"T"," "),23)) - VALUE(LEFT(SUBSTITUTE(N197,"T"," "),23))) * 86400</f>
        <v>321.59700023476034</v>
      </c>
      <c r="R197">
        <f>I197/G197</f>
        <v>4.5609340792994404E-2</v>
      </c>
      <c r="S197">
        <f>H197/G197</f>
        <v>0.36487472634395524</v>
      </c>
    </row>
    <row r="198" spans="1:19" hidden="1" x14ac:dyDescent="0.2">
      <c r="A198">
        <v>17</v>
      </c>
      <c r="B198" t="s">
        <v>21</v>
      </c>
      <c r="C198">
        <v>15</v>
      </c>
      <c r="D198">
        <v>1</v>
      </c>
      <c r="E198">
        <v>1007</v>
      </c>
      <c r="F198" t="b">
        <v>1</v>
      </c>
      <c r="G198">
        <v>55.112000000000002</v>
      </c>
      <c r="H198">
        <v>25</v>
      </c>
      <c r="I198">
        <v>4</v>
      </c>
      <c r="J198">
        <v>0.9</v>
      </c>
      <c r="K198" t="s">
        <v>968</v>
      </c>
      <c r="L198">
        <v>0</v>
      </c>
      <c r="N198" t="s">
        <v>1820</v>
      </c>
      <c r="O198" t="s">
        <v>1821</v>
      </c>
      <c r="P198" t="s">
        <v>20</v>
      </c>
      <c r="Q198">
        <f>(VALUE(LEFT(SUBSTITUTE(O198,"T"," "),23)) - VALUE(LEFT(SUBSTITUTE(N198,"T"," "),23))) * 86400</f>
        <v>182.0090000750497</v>
      </c>
      <c r="R198">
        <f>I198/G198</f>
        <v>7.2579474524604434E-2</v>
      </c>
      <c r="S198">
        <f>H198/G198</f>
        <v>0.45362171577877775</v>
      </c>
    </row>
    <row r="199" spans="1:19" hidden="1" x14ac:dyDescent="0.2">
      <c r="A199">
        <v>20</v>
      </c>
      <c r="B199" t="s">
        <v>21</v>
      </c>
      <c r="C199">
        <v>20</v>
      </c>
      <c r="D199">
        <v>1</v>
      </c>
      <c r="E199">
        <v>1007</v>
      </c>
      <c r="F199" t="b">
        <v>1</v>
      </c>
      <c r="G199">
        <v>53.264000000000003</v>
      </c>
      <c r="H199">
        <v>25</v>
      </c>
      <c r="I199">
        <v>2</v>
      </c>
      <c r="J199">
        <v>0.48</v>
      </c>
      <c r="K199" t="s">
        <v>971</v>
      </c>
      <c r="L199">
        <v>0</v>
      </c>
      <c r="N199" t="s">
        <v>1826</v>
      </c>
      <c r="O199" t="s">
        <v>1827</v>
      </c>
      <c r="P199" t="s">
        <v>20</v>
      </c>
      <c r="Q199">
        <f>(VALUE(LEFT(SUBSTITUTE(O199,"T"," "),23)) - VALUE(LEFT(SUBSTITUTE(N199,"T"," "),23))) * 86400</f>
        <v>135.38800030946732</v>
      </c>
      <c r="R199">
        <f>I199/G199</f>
        <v>3.7548813457494744E-2</v>
      </c>
      <c r="S199">
        <f>H199/G199</f>
        <v>0.46936016821868426</v>
      </c>
    </row>
    <row r="200" spans="1:19" hidden="1" x14ac:dyDescent="0.2">
      <c r="A200">
        <v>23</v>
      </c>
      <c r="B200" t="s">
        <v>21</v>
      </c>
      <c r="C200">
        <v>50</v>
      </c>
      <c r="D200">
        <v>1</v>
      </c>
      <c r="E200">
        <v>1007</v>
      </c>
      <c r="F200" t="b">
        <v>1</v>
      </c>
      <c r="G200">
        <v>60.543999999999997</v>
      </c>
      <c r="H200">
        <v>24</v>
      </c>
      <c r="I200">
        <v>8</v>
      </c>
      <c r="J200">
        <v>2.2200000000000002</v>
      </c>
      <c r="K200" t="s">
        <v>1830</v>
      </c>
      <c r="L200">
        <v>0</v>
      </c>
      <c r="N200" t="s">
        <v>1831</v>
      </c>
      <c r="O200" t="s">
        <v>1832</v>
      </c>
      <c r="P200" t="s">
        <v>20</v>
      </c>
      <c r="Q200">
        <f>(VALUE(LEFT(SUBSTITUTE(O200,"T"," "),23)) - VALUE(LEFT(SUBSTITUTE(N200,"T"," "),23))) * 86400</f>
        <v>198.99399960413575</v>
      </c>
      <c r="R200">
        <f>I200/G200</f>
        <v>0.1321353065539112</v>
      </c>
      <c r="S200">
        <f>H200/G200</f>
        <v>0.39640591966173361</v>
      </c>
    </row>
    <row r="201" spans="1:19" hidden="1" x14ac:dyDescent="0.2">
      <c r="A201">
        <v>26</v>
      </c>
      <c r="B201" t="s">
        <v>21</v>
      </c>
      <c r="C201">
        <v>70</v>
      </c>
      <c r="D201">
        <v>1</v>
      </c>
      <c r="E201">
        <v>1007</v>
      </c>
      <c r="F201" t="b">
        <v>1</v>
      </c>
      <c r="G201">
        <v>62.28</v>
      </c>
      <c r="H201">
        <v>24</v>
      </c>
      <c r="I201">
        <v>10</v>
      </c>
      <c r="J201">
        <v>4.62</v>
      </c>
      <c r="K201" t="s">
        <v>1839</v>
      </c>
      <c r="L201">
        <v>0</v>
      </c>
      <c r="N201" t="s">
        <v>1840</v>
      </c>
      <c r="O201" t="s">
        <v>1841</v>
      </c>
      <c r="P201" t="s">
        <v>20</v>
      </c>
      <c r="Q201">
        <f>(VALUE(LEFT(SUBSTITUTE(O201,"T"," "),23)) - VALUE(LEFT(SUBSTITUTE(N201,"T"," "),23))) * 86400</f>
        <v>139.1239995835349</v>
      </c>
      <c r="R201">
        <f>I201/G201</f>
        <v>0.16056518946692358</v>
      </c>
      <c r="S201">
        <f>H201/G201</f>
        <v>0.38535645472061658</v>
      </c>
    </row>
    <row r="202" spans="1:19" hidden="1" x14ac:dyDescent="0.2">
      <c r="A202">
        <v>3</v>
      </c>
      <c r="B202" t="s">
        <v>25</v>
      </c>
      <c r="C202">
        <v>-1</v>
      </c>
      <c r="D202">
        <v>1</v>
      </c>
      <c r="E202">
        <v>1000</v>
      </c>
      <c r="F202" t="b">
        <v>1</v>
      </c>
      <c r="G202">
        <v>38.084000000000003</v>
      </c>
      <c r="H202">
        <v>33</v>
      </c>
      <c r="I202">
        <v>4</v>
      </c>
      <c r="J202">
        <v>4.68</v>
      </c>
      <c r="K202" t="s">
        <v>26</v>
      </c>
      <c r="L202">
        <v>0</v>
      </c>
      <c r="N202" t="s">
        <v>27</v>
      </c>
      <c r="O202" t="s">
        <v>28</v>
      </c>
      <c r="P202" t="s">
        <v>20</v>
      </c>
      <c r="Q202">
        <f>(VALUE(LEFT(SUBSTITUTE(O202,"T"," "),23)) - VALUE(LEFT(SUBSTITUTE(N202,"T"," "),23))) * 86400</f>
        <v>124.01799999643117</v>
      </c>
      <c r="R202">
        <f>I202/G202</f>
        <v>0.10503098414032139</v>
      </c>
      <c r="S202">
        <f>H202/G202</f>
        <v>0.86650561915765145</v>
      </c>
    </row>
    <row r="203" spans="1:19" hidden="1" x14ac:dyDescent="0.2">
      <c r="A203">
        <v>141</v>
      </c>
      <c r="B203" t="s">
        <v>25</v>
      </c>
      <c r="C203">
        <v>0</v>
      </c>
      <c r="D203">
        <v>6</v>
      </c>
      <c r="E203">
        <v>1007</v>
      </c>
      <c r="F203" t="b">
        <v>1</v>
      </c>
      <c r="G203">
        <v>43.031999999999996</v>
      </c>
      <c r="H203">
        <v>26</v>
      </c>
      <c r="I203">
        <v>0</v>
      </c>
      <c r="J203">
        <v>0</v>
      </c>
      <c r="K203" t="s">
        <v>951</v>
      </c>
      <c r="L203">
        <v>0</v>
      </c>
      <c r="N203" t="s">
        <v>952</v>
      </c>
      <c r="O203" t="s">
        <v>953</v>
      </c>
      <c r="P203" t="s">
        <v>20</v>
      </c>
      <c r="Q203">
        <f>(VALUE(LEFT(SUBSTITUTE(O203,"T"," "),23)) - VALUE(LEFT(SUBSTITUTE(N203,"T"," "),23))) * 86400</f>
        <v>172.70400000270456</v>
      </c>
      <c r="R203">
        <f>I203/G203</f>
        <v>0</v>
      </c>
      <c r="S203">
        <f>H203/G203</f>
        <v>0.60420152444692332</v>
      </c>
    </row>
    <row r="204" spans="1:19" hidden="1" x14ac:dyDescent="0.2">
      <c r="A204">
        <v>8</v>
      </c>
      <c r="B204" t="s">
        <v>2476</v>
      </c>
      <c r="C204">
        <v>5</v>
      </c>
      <c r="D204">
        <v>1</v>
      </c>
      <c r="E204">
        <v>1000</v>
      </c>
      <c r="F204" t="b">
        <v>1</v>
      </c>
      <c r="G204">
        <v>141.4</v>
      </c>
      <c r="H204">
        <v>28</v>
      </c>
      <c r="I204">
        <v>8</v>
      </c>
      <c r="J204">
        <v>1.68</v>
      </c>
      <c r="K204" t="s">
        <v>2553</v>
      </c>
      <c r="L204">
        <v>0</v>
      </c>
      <c r="N204" t="s">
        <v>2554</v>
      </c>
      <c r="O204" t="s">
        <v>2555</v>
      </c>
      <c r="P204" t="s">
        <v>20</v>
      </c>
      <c r="Q204">
        <f>(VALUE(LEFT(SUBSTITUTE(O204,"T"," "),23)) - VALUE(LEFT(SUBSTITUTE(N204,"T"," "),23))) * 86400</f>
        <v>738.63700018264353</v>
      </c>
      <c r="R204">
        <f>I204/G204</f>
        <v>5.6577086280056574E-2</v>
      </c>
      <c r="S204">
        <f>H204/G204</f>
        <v>0.198019801980198</v>
      </c>
    </row>
    <row r="205" spans="1:19" hidden="1" x14ac:dyDescent="0.2">
      <c r="A205">
        <v>12</v>
      </c>
      <c r="B205" t="s">
        <v>25</v>
      </c>
      <c r="C205">
        <v>5</v>
      </c>
      <c r="D205">
        <v>1</v>
      </c>
      <c r="E205">
        <v>1007</v>
      </c>
      <c r="F205" t="b">
        <v>1</v>
      </c>
      <c r="G205">
        <v>49.064</v>
      </c>
      <c r="H205">
        <v>25</v>
      </c>
      <c r="I205">
        <v>3</v>
      </c>
      <c r="J205">
        <v>1.38</v>
      </c>
      <c r="K205" t="s">
        <v>961</v>
      </c>
      <c r="L205">
        <v>0</v>
      </c>
      <c r="N205" t="s">
        <v>1812</v>
      </c>
      <c r="O205" t="s">
        <v>1813</v>
      </c>
      <c r="P205" t="s">
        <v>20</v>
      </c>
      <c r="Q205">
        <f>(VALUE(LEFT(SUBSTITUTE(O205,"T"," "),23)) - VALUE(LEFT(SUBSTITUTE(N205,"T"," "),23))) * 86400</f>
        <v>219.87099987454712</v>
      </c>
      <c r="R205">
        <f>I205/G205</f>
        <v>6.1144627425403553E-2</v>
      </c>
      <c r="S205">
        <f>H205/G205</f>
        <v>0.50953856187836299</v>
      </c>
    </row>
    <row r="206" spans="1:19" hidden="1" x14ac:dyDescent="0.2">
      <c r="A206">
        <v>150</v>
      </c>
      <c r="B206" t="s">
        <v>25</v>
      </c>
      <c r="C206">
        <v>10</v>
      </c>
      <c r="D206">
        <v>6</v>
      </c>
      <c r="E206">
        <v>1007</v>
      </c>
      <c r="F206" t="b">
        <v>1</v>
      </c>
      <c r="G206">
        <v>53.015999999999998</v>
      </c>
      <c r="H206">
        <v>22</v>
      </c>
      <c r="I206">
        <v>5</v>
      </c>
      <c r="J206">
        <v>1.92</v>
      </c>
      <c r="K206" t="s">
        <v>964</v>
      </c>
      <c r="L206">
        <v>0</v>
      </c>
      <c r="N206" t="s">
        <v>965</v>
      </c>
      <c r="O206" t="s">
        <v>966</v>
      </c>
      <c r="P206" t="s">
        <v>20</v>
      </c>
      <c r="Q206">
        <f>(VALUE(LEFT(SUBSTITUTE(O206,"T"," "),23)) - VALUE(LEFT(SUBSTITUTE(N206,"T"," "),23))) * 86400</f>
        <v>192.63300010934472</v>
      </c>
      <c r="R206">
        <f>I206/G206</f>
        <v>9.4311151350535694E-2</v>
      </c>
      <c r="S206">
        <f>H206/G206</f>
        <v>0.41496906594235705</v>
      </c>
    </row>
    <row r="207" spans="1:19" hidden="1" x14ac:dyDescent="0.2">
      <c r="A207">
        <v>18</v>
      </c>
      <c r="B207" t="s">
        <v>25</v>
      </c>
      <c r="C207">
        <v>15</v>
      </c>
      <c r="D207">
        <v>1</v>
      </c>
      <c r="E207">
        <v>1007</v>
      </c>
      <c r="F207" t="b">
        <v>1</v>
      </c>
      <c r="G207">
        <v>43.671999999999997</v>
      </c>
      <c r="H207">
        <v>28</v>
      </c>
      <c r="I207">
        <v>5</v>
      </c>
      <c r="J207">
        <v>2.16</v>
      </c>
      <c r="K207" t="s">
        <v>969</v>
      </c>
      <c r="L207">
        <v>0</v>
      </c>
      <c r="N207" t="s">
        <v>1822</v>
      </c>
      <c r="O207" t="s">
        <v>1823</v>
      </c>
      <c r="P207" t="s">
        <v>20</v>
      </c>
      <c r="Q207">
        <f>(VALUE(LEFT(SUBSTITUTE(O207,"T"," "),23)) - VALUE(LEFT(SUBSTITUTE(N207,"T"," "),23))) * 86400</f>
        <v>96.943999920040369</v>
      </c>
      <c r="R207">
        <f>I207/G207</f>
        <v>0.11448983330280271</v>
      </c>
      <c r="S207">
        <f>H207/G207</f>
        <v>0.64114306649569519</v>
      </c>
    </row>
    <row r="208" spans="1:19" hidden="1" x14ac:dyDescent="0.2">
      <c r="A208">
        <v>156</v>
      </c>
      <c r="B208" t="s">
        <v>25</v>
      </c>
      <c r="C208">
        <v>20</v>
      </c>
      <c r="D208">
        <v>6</v>
      </c>
      <c r="E208">
        <v>1007</v>
      </c>
      <c r="F208" t="b">
        <v>1</v>
      </c>
      <c r="G208">
        <v>58.6</v>
      </c>
      <c r="H208">
        <v>28</v>
      </c>
      <c r="I208">
        <v>7</v>
      </c>
      <c r="J208">
        <v>2.2200000000000002</v>
      </c>
      <c r="K208" t="s">
        <v>972</v>
      </c>
      <c r="L208">
        <v>0</v>
      </c>
      <c r="N208" t="s">
        <v>973</v>
      </c>
      <c r="O208" t="s">
        <v>974</v>
      </c>
      <c r="P208" t="s">
        <v>20</v>
      </c>
      <c r="Q208">
        <f>(VALUE(LEFT(SUBSTITUTE(O208,"T"," "),23)) - VALUE(LEFT(SUBSTITUTE(N208,"T"," "),23))) * 86400</f>
        <v>307.73799964226782</v>
      </c>
      <c r="R208">
        <f>I208/G208</f>
        <v>0.11945392491467577</v>
      </c>
      <c r="S208">
        <f>H208/G208</f>
        <v>0.47781569965870307</v>
      </c>
    </row>
    <row r="209" spans="1:19" hidden="1" x14ac:dyDescent="0.2">
      <c r="A209">
        <v>24</v>
      </c>
      <c r="B209" t="s">
        <v>25</v>
      </c>
      <c r="C209">
        <v>50</v>
      </c>
      <c r="D209">
        <v>1</v>
      </c>
      <c r="E209">
        <v>1007</v>
      </c>
      <c r="F209" t="b">
        <v>1</v>
      </c>
      <c r="G209">
        <v>57.92</v>
      </c>
      <c r="H209">
        <v>33</v>
      </c>
      <c r="I209">
        <v>11</v>
      </c>
      <c r="J209">
        <v>4.9800000000000004</v>
      </c>
      <c r="K209" t="s">
        <v>1833</v>
      </c>
      <c r="L209">
        <v>0</v>
      </c>
      <c r="N209" t="s">
        <v>1834</v>
      </c>
      <c r="O209" t="s">
        <v>1835</v>
      </c>
      <c r="P209" t="s">
        <v>20</v>
      </c>
      <c r="Q209">
        <f>(VALUE(LEFT(SUBSTITUTE(O209,"T"," "),23)) - VALUE(LEFT(SUBSTITUTE(N209,"T"," "),23))) * 86400</f>
        <v>129.20699946116656</v>
      </c>
      <c r="R209">
        <f>I209/G209</f>
        <v>0.18991712707182321</v>
      </c>
      <c r="S209">
        <f>H209/G209</f>
        <v>0.56975138121546964</v>
      </c>
    </row>
    <row r="210" spans="1:19" hidden="1" x14ac:dyDescent="0.2">
      <c r="A210">
        <v>27</v>
      </c>
      <c r="B210" t="s">
        <v>25</v>
      </c>
      <c r="C210">
        <v>70</v>
      </c>
      <c r="D210">
        <v>1</v>
      </c>
      <c r="E210">
        <v>1007</v>
      </c>
      <c r="F210" t="b">
        <v>1</v>
      </c>
      <c r="G210">
        <v>37.996000000000002</v>
      </c>
      <c r="H210">
        <v>29</v>
      </c>
      <c r="I210">
        <v>12</v>
      </c>
      <c r="J210">
        <v>1.92</v>
      </c>
      <c r="K210" t="s">
        <v>1842</v>
      </c>
      <c r="L210">
        <v>0</v>
      </c>
      <c r="N210" t="s">
        <v>1843</v>
      </c>
      <c r="O210" t="s">
        <v>1844</v>
      </c>
      <c r="P210" t="s">
        <v>20</v>
      </c>
      <c r="Q210">
        <f>(VALUE(LEFT(SUBSTITUTE(O210,"T"," "),23)) - VALUE(LEFT(SUBSTITUTE(N210,"T"," "),23))) * 86400</f>
        <v>81.912999926134944</v>
      </c>
      <c r="R210">
        <f>I210/G210</f>
        <v>0.31582271818086111</v>
      </c>
      <c r="S210">
        <f>H210/G210</f>
        <v>0.76323823560374771</v>
      </c>
    </row>
    <row r="211" spans="1:19" hidden="1" x14ac:dyDescent="0.2">
      <c r="A211">
        <v>17</v>
      </c>
      <c r="B211" t="s">
        <v>3413</v>
      </c>
      <c r="C211">
        <v>-1</v>
      </c>
      <c r="D211">
        <v>9</v>
      </c>
      <c r="E211">
        <v>1018</v>
      </c>
      <c r="F211" t="b">
        <v>1</v>
      </c>
      <c r="G211">
        <v>40.555999999999997</v>
      </c>
      <c r="H211">
        <v>35</v>
      </c>
      <c r="I211">
        <v>4</v>
      </c>
      <c r="J211">
        <v>3.96</v>
      </c>
      <c r="K211" t="s">
        <v>3072</v>
      </c>
      <c r="L211">
        <v>0</v>
      </c>
      <c r="N211" t="s">
        <v>3073</v>
      </c>
      <c r="O211" t="s">
        <v>3074</v>
      </c>
      <c r="P211" t="s">
        <v>20</v>
      </c>
      <c r="Q211">
        <f>(VALUE(LEFT(SUBSTITUTE(O211,"T"," "),23)) - VALUE(LEFT(SUBSTITUTE(N211,"T"," "),23))) * 86400</f>
        <v>150.52100010216236</v>
      </c>
      <c r="R211">
        <f>I211/G211</f>
        <v>9.8629056119932945E-2</v>
      </c>
      <c r="S211">
        <f>H211/G211</f>
        <v>0.8630042410494132</v>
      </c>
    </row>
    <row r="212" spans="1:19" hidden="1" x14ac:dyDescent="0.2">
      <c r="A212">
        <v>139</v>
      </c>
      <c r="B212" t="s">
        <v>16</v>
      </c>
      <c r="C212">
        <v>0</v>
      </c>
      <c r="D212">
        <v>6</v>
      </c>
      <c r="E212">
        <v>1007</v>
      </c>
      <c r="F212" t="b">
        <v>1</v>
      </c>
      <c r="G212">
        <v>98.248000000000005</v>
      </c>
      <c r="H212">
        <v>23</v>
      </c>
      <c r="I212">
        <v>4</v>
      </c>
      <c r="J212">
        <v>0.72</v>
      </c>
      <c r="K212" t="s">
        <v>945</v>
      </c>
      <c r="L212">
        <v>0</v>
      </c>
      <c r="N212" t="s">
        <v>946</v>
      </c>
      <c r="O212" t="s">
        <v>947</v>
      </c>
      <c r="P212" t="s">
        <v>20</v>
      </c>
      <c r="Q212">
        <f>(VALUE(LEFT(SUBSTITUTE(O212,"T"," "),23)) - VALUE(LEFT(SUBSTITUTE(N212,"T"," "),23))) * 86400</f>
        <v>389.75599987898022</v>
      </c>
      <c r="R212">
        <f>I212/G212</f>
        <v>4.0713296962788047E-2</v>
      </c>
      <c r="S212">
        <f>H212/G212</f>
        <v>0.23410145753603126</v>
      </c>
    </row>
    <row r="213" spans="1:19" x14ac:dyDescent="0.2">
      <c r="A213">
        <v>14</v>
      </c>
      <c r="B213" t="s">
        <v>2476</v>
      </c>
      <c r="C213">
        <v>2</v>
      </c>
      <c r="D213">
        <v>2</v>
      </c>
      <c r="E213">
        <v>1001</v>
      </c>
      <c r="F213" t="b">
        <v>1</v>
      </c>
      <c r="G213">
        <v>77.319999999999993</v>
      </c>
      <c r="H213">
        <v>24</v>
      </c>
      <c r="I213">
        <v>2</v>
      </c>
      <c r="J213">
        <v>0.84</v>
      </c>
      <c r="K213" t="s">
        <v>2571</v>
      </c>
      <c r="L213">
        <v>0</v>
      </c>
      <c r="N213" t="s">
        <v>2572</v>
      </c>
      <c r="O213" t="s">
        <v>2573</v>
      </c>
      <c r="P213" t="s">
        <v>20</v>
      </c>
      <c r="Q213">
        <f>(VALUE(LEFT(SUBSTITUTE(O213,"T"," "),23)) - VALUE(LEFT(SUBSTITUTE(N213,"T"," "),23))) * 86400</f>
        <v>420.87199988309294</v>
      </c>
      <c r="R213">
        <f>I213/G213</f>
        <v>2.5866528711846873E-2</v>
      </c>
      <c r="S213">
        <f>H213/G213</f>
        <v>0.31039834454216247</v>
      </c>
    </row>
    <row r="214" spans="1:19" hidden="1" x14ac:dyDescent="0.2">
      <c r="A214">
        <v>10</v>
      </c>
      <c r="B214" t="s">
        <v>16</v>
      </c>
      <c r="C214">
        <v>5</v>
      </c>
      <c r="D214">
        <v>1</v>
      </c>
      <c r="E214">
        <v>1007</v>
      </c>
      <c r="F214" t="b">
        <v>1</v>
      </c>
      <c r="G214">
        <v>67.215999999999994</v>
      </c>
      <c r="H214">
        <v>19</v>
      </c>
      <c r="I214">
        <v>3</v>
      </c>
      <c r="J214">
        <v>0.72</v>
      </c>
      <c r="K214" t="s">
        <v>959</v>
      </c>
      <c r="L214">
        <v>0</v>
      </c>
      <c r="N214" t="s">
        <v>1808</v>
      </c>
      <c r="O214" t="s">
        <v>1809</v>
      </c>
      <c r="P214" t="s">
        <v>20</v>
      </c>
      <c r="Q214">
        <f>(VALUE(LEFT(SUBSTITUTE(O214,"T"," "),23)) - VALUE(LEFT(SUBSTITUTE(N214,"T"," "),23))) * 86400</f>
        <v>272.40500003099442</v>
      </c>
      <c r="R214">
        <f>I214/G214</f>
        <v>4.4632230421328259E-2</v>
      </c>
      <c r="S214">
        <f>H214/G214</f>
        <v>0.28267079266841233</v>
      </c>
    </row>
    <row r="215" spans="1:19" hidden="1" x14ac:dyDescent="0.2">
      <c r="A215">
        <v>13</v>
      </c>
      <c r="B215" t="s">
        <v>16</v>
      </c>
      <c r="C215">
        <v>10</v>
      </c>
      <c r="D215">
        <v>1</v>
      </c>
      <c r="E215">
        <v>1007</v>
      </c>
      <c r="F215" t="b">
        <v>1</v>
      </c>
      <c r="G215">
        <v>91.956000000000003</v>
      </c>
      <c r="H215">
        <v>22</v>
      </c>
      <c r="I215">
        <v>8</v>
      </c>
      <c r="J215">
        <v>2.4</v>
      </c>
      <c r="K215" t="s">
        <v>962</v>
      </c>
      <c r="L215">
        <v>0</v>
      </c>
      <c r="N215" t="s">
        <v>1814</v>
      </c>
      <c r="O215" t="s">
        <v>1815</v>
      </c>
      <c r="P215" t="s">
        <v>20</v>
      </c>
      <c r="Q215">
        <f>(VALUE(LEFT(SUBSTITUTE(O215,"T"," "),23)) - VALUE(LEFT(SUBSTITUTE(N215,"T"," "),23))) * 86400</f>
        <v>353.55099986772984</v>
      </c>
      <c r="R215">
        <f>I215/G215</f>
        <v>8.699812954021488E-2</v>
      </c>
      <c r="S215">
        <f>H215/G215</f>
        <v>0.23924485623559091</v>
      </c>
    </row>
    <row r="216" spans="1:19" hidden="1" x14ac:dyDescent="0.2">
      <c r="A216">
        <v>16</v>
      </c>
      <c r="B216" t="s">
        <v>16</v>
      </c>
      <c r="C216">
        <v>15</v>
      </c>
      <c r="D216">
        <v>1</v>
      </c>
      <c r="E216">
        <v>1007</v>
      </c>
      <c r="F216" t="b">
        <v>1</v>
      </c>
      <c r="G216">
        <v>83.792000000000002</v>
      </c>
      <c r="H216">
        <v>20</v>
      </c>
      <c r="I216">
        <v>8</v>
      </c>
      <c r="J216">
        <v>1.5</v>
      </c>
      <c r="K216" t="s">
        <v>967</v>
      </c>
      <c r="L216">
        <v>0</v>
      </c>
      <c r="N216" t="s">
        <v>1818</v>
      </c>
      <c r="O216" t="s">
        <v>1819</v>
      </c>
      <c r="P216" t="s">
        <v>20</v>
      </c>
      <c r="Q216">
        <f>(VALUE(LEFT(SUBSTITUTE(O216,"T"," "),23)) - VALUE(LEFT(SUBSTITUTE(N216,"T"," "),23))) * 86400</f>
        <v>172.83800023142248</v>
      </c>
      <c r="R216">
        <f>I216/G216</f>
        <v>9.5474508306282221E-2</v>
      </c>
      <c r="S216">
        <f>H216/G216</f>
        <v>0.23868627076570556</v>
      </c>
    </row>
    <row r="217" spans="1:19" hidden="1" x14ac:dyDescent="0.2">
      <c r="A217">
        <v>19</v>
      </c>
      <c r="B217" t="s">
        <v>16</v>
      </c>
      <c r="C217">
        <v>20</v>
      </c>
      <c r="D217">
        <v>1</v>
      </c>
      <c r="E217">
        <v>1007</v>
      </c>
      <c r="F217" t="b">
        <v>1</v>
      </c>
      <c r="G217">
        <v>85.671999999999997</v>
      </c>
      <c r="H217">
        <v>22</v>
      </c>
      <c r="I217">
        <v>8</v>
      </c>
      <c r="J217">
        <v>1.86</v>
      </c>
      <c r="K217" t="s">
        <v>970</v>
      </c>
      <c r="L217">
        <v>0</v>
      </c>
      <c r="N217" t="s">
        <v>1824</v>
      </c>
      <c r="O217" t="s">
        <v>1825</v>
      </c>
      <c r="P217" t="s">
        <v>20</v>
      </c>
      <c r="Q217">
        <f>(VALUE(LEFT(SUBSTITUTE(O217,"T"," "),23)) - VALUE(LEFT(SUBSTITUTE(N217,"T"," "),23))) * 86400</f>
        <v>149.53999996650964</v>
      </c>
      <c r="R217">
        <f>I217/G217</f>
        <v>9.3379400504248769E-2</v>
      </c>
      <c r="S217">
        <f>H217/G217</f>
        <v>0.25679335138668413</v>
      </c>
    </row>
    <row r="218" spans="1:19" hidden="1" x14ac:dyDescent="0.2">
      <c r="A218">
        <v>22</v>
      </c>
      <c r="B218" t="s">
        <v>16</v>
      </c>
      <c r="C218">
        <v>50</v>
      </c>
      <c r="D218">
        <v>1</v>
      </c>
      <c r="E218">
        <v>1007</v>
      </c>
      <c r="F218" t="b">
        <v>1</v>
      </c>
      <c r="G218">
        <v>84.14</v>
      </c>
      <c r="H218">
        <v>22</v>
      </c>
      <c r="I218">
        <v>6</v>
      </c>
      <c r="J218">
        <v>2.4</v>
      </c>
      <c r="K218" t="s">
        <v>975</v>
      </c>
      <c r="L218">
        <v>0</v>
      </c>
      <c r="N218" t="s">
        <v>1828</v>
      </c>
      <c r="O218" t="s">
        <v>1829</v>
      </c>
      <c r="P218" t="s">
        <v>20</v>
      </c>
      <c r="Q218">
        <f>(VALUE(LEFT(SUBSTITUTE(O218,"T"," "),23)) - VALUE(LEFT(SUBSTITUTE(N218,"T"," "),23))) * 86400</f>
        <v>187.78000012971461</v>
      </c>
      <c r="R218">
        <f>I218/G218</f>
        <v>7.1309721892084621E-2</v>
      </c>
      <c r="S218">
        <f>H218/G218</f>
        <v>0.26146898027097693</v>
      </c>
    </row>
    <row r="219" spans="1:19" hidden="1" x14ac:dyDescent="0.2">
      <c r="A219">
        <v>25</v>
      </c>
      <c r="B219" t="s">
        <v>16</v>
      </c>
      <c r="C219">
        <v>70</v>
      </c>
      <c r="D219">
        <v>1</v>
      </c>
      <c r="E219">
        <v>1007</v>
      </c>
      <c r="F219" t="b">
        <v>1</v>
      </c>
      <c r="G219">
        <v>77.292000000000002</v>
      </c>
      <c r="H219">
        <v>25</v>
      </c>
      <c r="I219">
        <v>6</v>
      </c>
      <c r="J219">
        <v>1.1399999999999999</v>
      </c>
      <c r="K219" t="s">
        <v>1836</v>
      </c>
      <c r="L219">
        <v>0</v>
      </c>
      <c r="N219" t="s">
        <v>1837</v>
      </c>
      <c r="O219" t="s">
        <v>1838</v>
      </c>
      <c r="P219" t="s">
        <v>20</v>
      </c>
      <c r="Q219">
        <f>(VALUE(LEFT(SUBSTITUTE(O219,"T"," "),23)) - VALUE(LEFT(SUBSTITUTE(N219,"T"," "),23))) * 86400</f>
        <v>238.03900005295873</v>
      </c>
      <c r="R219">
        <f>I219/G219</f>
        <v>7.76276975624903E-2</v>
      </c>
      <c r="S219">
        <f>H219/G219</f>
        <v>0.32344873984370959</v>
      </c>
    </row>
    <row r="220" spans="1:19" hidden="1" x14ac:dyDescent="0.2">
      <c r="A220">
        <v>3</v>
      </c>
      <c r="B220" t="s">
        <v>25</v>
      </c>
      <c r="C220">
        <v>-1</v>
      </c>
      <c r="D220">
        <v>1</v>
      </c>
      <c r="E220">
        <v>1020</v>
      </c>
      <c r="F220" t="b">
        <v>1</v>
      </c>
      <c r="G220">
        <v>38.304000000000002</v>
      </c>
      <c r="H220">
        <v>33</v>
      </c>
      <c r="I220">
        <v>4</v>
      </c>
      <c r="J220">
        <v>5.82</v>
      </c>
      <c r="K220" t="s">
        <v>206</v>
      </c>
      <c r="L220">
        <v>0</v>
      </c>
      <c r="N220" t="s">
        <v>207</v>
      </c>
      <c r="O220" t="s">
        <v>208</v>
      </c>
      <c r="P220" t="s">
        <v>20</v>
      </c>
      <c r="Q220">
        <f>(VALUE(LEFT(SUBSTITUTE(O220,"T"," "),23)) - VALUE(LEFT(SUBSTITUTE(N220,"T"," "),23))) * 86400</f>
        <v>167.99399990122765</v>
      </c>
      <c r="R220">
        <f>I220/G220</f>
        <v>0.10442773600668337</v>
      </c>
      <c r="S220">
        <f>H220/G220</f>
        <v>0.86152882205513781</v>
      </c>
    </row>
    <row r="221" spans="1:19" hidden="1" x14ac:dyDescent="0.2">
      <c r="A221">
        <v>32</v>
      </c>
      <c r="B221" t="s">
        <v>21</v>
      </c>
      <c r="C221">
        <v>0</v>
      </c>
      <c r="D221">
        <v>2</v>
      </c>
      <c r="E221">
        <v>1008</v>
      </c>
      <c r="F221" t="b">
        <v>1</v>
      </c>
      <c r="G221">
        <v>67.908000000000001</v>
      </c>
      <c r="H221">
        <v>21</v>
      </c>
      <c r="I221">
        <v>0</v>
      </c>
      <c r="J221">
        <v>0</v>
      </c>
      <c r="K221" t="s">
        <v>1857</v>
      </c>
      <c r="L221">
        <v>0</v>
      </c>
      <c r="N221" t="s">
        <v>1858</v>
      </c>
      <c r="O221" t="s">
        <v>1859</v>
      </c>
      <c r="P221" t="s">
        <v>20</v>
      </c>
      <c r="Q221">
        <f>(VALUE(LEFT(SUBSTITUTE(O221,"T"," "),23)) - VALUE(LEFT(SUBSTITUTE(N221,"T"," "),23))) * 86400</f>
        <v>191.60100007429719</v>
      </c>
      <c r="R221">
        <f>I221/G221</f>
        <v>0</v>
      </c>
      <c r="S221">
        <f>H221/G221</f>
        <v>0.30924191553277963</v>
      </c>
    </row>
    <row r="222" spans="1:19" x14ac:dyDescent="0.2">
      <c r="A222">
        <v>8</v>
      </c>
      <c r="B222" t="s">
        <v>21</v>
      </c>
      <c r="C222">
        <v>2</v>
      </c>
      <c r="D222">
        <v>1</v>
      </c>
      <c r="E222">
        <v>1000</v>
      </c>
      <c r="F222" t="b">
        <v>1</v>
      </c>
      <c r="G222">
        <v>107.992</v>
      </c>
      <c r="H222">
        <v>29</v>
      </c>
      <c r="I222">
        <v>1</v>
      </c>
      <c r="J222">
        <v>0.06</v>
      </c>
      <c r="K222" t="s">
        <v>41</v>
      </c>
      <c r="L222">
        <v>0</v>
      </c>
      <c r="N222" t="s">
        <v>42</v>
      </c>
      <c r="O222" t="s">
        <v>43</v>
      </c>
      <c r="P222" t="s">
        <v>20</v>
      </c>
      <c r="Q222">
        <f>(VALUE(LEFT(SUBSTITUTE(O222,"T"," "),23)) - VALUE(LEFT(SUBSTITUTE(N222,"T"," "),23))) * 86400</f>
        <v>469.3160000955686</v>
      </c>
      <c r="R222">
        <f>I222/G222</f>
        <v>9.2599451811245272E-3</v>
      </c>
      <c r="S222">
        <f>H222/G222</f>
        <v>0.26853841025261127</v>
      </c>
    </row>
    <row r="223" spans="1:19" hidden="1" x14ac:dyDescent="0.2">
      <c r="A223">
        <v>38</v>
      </c>
      <c r="B223" t="s">
        <v>21</v>
      </c>
      <c r="C223">
        <v>5</v>
      </c>
      <c r="D223">
        <v>2</v>
      </c>
      <c r="E223">
        <v>1008</v>
      </c>
      <c r="F223" t="b">
        <v>1</v>
      </c>
      <c r="G223">
        <v>64.5</v>
      </c>
      <c r="H223">
        <v>24</v>
      </c>
      <c r="I223">
        <v>3</v>
      </c>
      <c r="J223">
        <v>0.24</v>
      </c>
      <c r="K223" t="s">
        <v>1875</v>
      </c>
      <c r="L223">
        <v>0</v>
      </c>
      <c r="N223" t="s">
        <v>1876</v>
      </c>
      <c r="O223" t="s">
        <v>1877</v>
      </c>
      <c r="P223" t="s">
        <v>20</v>
      </c>
      <c r="Q223">
        <f>(VALUE(LEFT(SUBSTITUTE(O223,"T"," "),23)) - VALUE(LEFT(SUBSTITUTE(N223,"T"," "),23))) * 86400</f>
        <v>167.73400017991662</v>
      </c>
      <c r="R223">
        <f>I223/G223</f>
        <v>4.6511627906976744E-2</v>
      </c>
      <c r="S223">
        <f>H223/G223</f>
        <v>0.37209302325581395</v>
      </c>
    </row>
    <row r="224" spans="1:19" hidden="1" x14ac:dyDescent="0.2">
      <c r="A224">
        <v>41</v>
      </c>
      <c r="B224" t="s">
        <v>21</v>
      </c>
      <c r="C224">
        <v>10</v>
      </c>
      <c r="D224">
        <v>2</v>
      </c>
      <c r="E224">
        <v>1008</v>
      </c>
      <c r="F224" t="b">
        <v>1</v>
      </c>
      <c r="G224">
        <v>59.192</v>
      </c>
      <c r="H224">
        <v>23</v>
      </c>
      <c r="I224">
        <v>9</v>
      </c>
      <c r="J224">
        <v>2.16</v>
      </c>
      <c r="K224" t="s">
        <v>1884</v>
      </c>
      <c r="L224">
        <v>0</v>
      </c>
      <c r="N224" t="s">
        <v>1885</v>
      </c>
      <c r="O224" t="s">
        <v>1886</v>
      </c>
      <c r="P224" t="s">
        <v>20</v>
      </c>
      <c r="Q224">
        <f>(VALUE(LEFT(SUBSTITUTE(O224,"T"," "),23)) - VALUE(LEFT(SUBSTITUTE(N224,"T"," "),23))) * 86400</f>
        <v>163.69100008159876</v>
      </c>
      <c r="R224">
        <f>I224/G224</f>
        <v>0.15204757399648602</v>
      </c>
      <c r="S224">
        <f>H224/G224</f>
        <v>0.38856602243546423</v>
      </c>
    </row>
    <row r="225" spans="1:19" hidden="1" x14ac:dyDescent="0.2">
      <c r="A225">
        <v>44</v>
      </c>
      <c r="B225" t="s">
        <v>21</v>
      </c>
      <c r="C225">
        <v>15</v>
      </c>
      <c r="D225">
        <v>2</v>
      </c>
      <c r="E225">
        <v>1008</v>
      </c>
      <c r="F225" t="b">
        <v>1</v>
      </c>
      <c r="G225">
        <v>97.207999999999998</v>
      </c>
      <c r="H225">
        <v>22</v>
      </c>
      <c r="I225">
        <v>10</v>
      </c>
      <c r="J225">
        <v>2.1</v>
      </c>
      <c r="K225" t="s">
        <v>1893</v>
      </c>
      <c r="L225">
        <v>0</v>
      </c>
      <c r="N225" t="s">
        <v>1894</v>
      </c>
      <c r="O225" t="s">
        <v>1895</v>
      </c>
      <c r="P225" t="s">
        <v>20</v>
      </c>
      <c r="Q225">
        <f>(VALUE(LEFT(SUBSTITUTE(O225,"T"," "),23)) - VALUE(LEFT(SUBSTITUTE(N225,"T"," "),23))) * 86400</f>
        <v>297.74800026789308</v>
      </c>
      <c r="R225">
        <f>I225/G225</f>
        <v>0.10287219158916962</v>
      </c>
      <c r="S225">
        <f>H225/G225</f>
        <v>0.22631882149617316</v>
      </c>
    </row>
    <row r="226" spans="1:19" hidden="1" x14ac:dyDescent="0.2">
      <c r="A226">
        <v>47</v>
      </c>
      <c r="B226" t="s">
        <v>21</v>
      </c>
      <c r="C226">
        <v>20</v>
      </c>
      <c r="D226">
        <v>2</v>
      </c>
      <c r="E226">
        <v>1008</v>
      </c>
      <c r="F226" t="b">
        <v>1</v>
      </c>
      <c r="G226">
        <v>102.42</v>
      </c>
      <c r="H226">
        <v>25</v>
      </c>
      <c r="I226">
        <v>9</v>
      </c>
      <c r="J226">
        <v>3.6</v>
      </c>
      <c r="K226" t="s">
        <v>1902</v>
      </c>
      <c r="L226">
        <v>0</v>
      </c>
      <c r="N226" t="s">
        <v>1903</v>
      </c>
      <c r="O226" t="s">
        <v>1904</v>
      </c>
      <c r="P226" t="s">
        <v>20</v>
      </c>
      <c r="Q226">
        <f>(VALUE(LEFT(SUBSTITUTE(O226,"T"," "),23)) - VALUE(LEFT(SUBSTITUTE(N226,"T"," "),23))) * 86400</f>
        <v>321.44799996167421</v>
      </c>
      <c r="R226">
        <f>I226/G226</f>
        <v>8.7873462214411252E-2</v>
      </c>
      <c r="S226">
        <f>H226/G226</f>
        <v>0.24409295059558681</v>
      </c>
    </row>
    <row r="227" spans="1:19" hidden="1" x14ac:dyDescent="0.2">
      <c r="A227">
        <v>50</v>
      </c>
      <c r="B227" t="s">
        <v>21</v>
      </c>
      <c r="C227">
        <v>50</v>
      </c>
      <c r="D227">
        <v>2</v>
      </c>
      <c r="E227">
        <v>1008</v>
      </c>
      <c r="F227" t="b">
        <v>1</v>
      </c>
      <c r="G227">
        <v>80.296000000000006</v>
      </c>
      <c r="H227">
        <v>22</v>
      </c>
      <c r="I227">
        <v>15</v>
      </c>
      <c r="J227">
        <v>2.34</v>
      </c>
      <c r="K227" t="s">
        <v>1911</v>
      </c>
      <c r="L227">
        <v>0</v>
      </c>
      <c r="N227" t="s">
        <v>1912</v>
      </c>
      <c r="O227" t="s">
        <v>1913</v>
      </c>
      <c r="P227" t="s">
        <v>20</v>
      </c>
      <c r="Q227">
        <f>(VALUE(LEFT(SUBSTITUTE(O227,"T"," "),23)) - VALUE(LEFT(SUBSTITUTE(N227,"T"," "),23))) * 86400</f>
        <v>205.77100028749555</v>
      </c>
      <c r="R227">
        <f>I227/G227</f>
        <v>0.18680880741257347</v>
      </c>
      <c r="S227">
        <f>H227/G227</f>
        <v>0.27398625087177442</v>
      </c>
    </row>
    <row r="228" spans="1:19" hidden="1" x14ac:dyDescent="0.2">
      <c r="A228">
        <v>53</v>
      </c>
      <c r="B228" t="s">
        <v>21</v>
      </c>
      <c r="C228">
        <v>70</v>
      </c>
      <c r="D228">
        <v>2</v>
      </c>
      <c r="E228">
        <v>1008</v>
      </c>
      <c r="F228" t="b">
        <v>1</v>
      </c>
      <c r="G228">
        <v>67.436000000000007</v>
      </c>
      <c r="H228">
        <v>27</v>
      </c>
      <c r="I228">
        <v>4</v>
      </c>
      <c r="J228">
        <v>0.48</v>
      </c>
      <c r="K228" t="s">
        <v>1920</v>
      </c>
      <c r="L228">
        <v>0</v>
      </c>
      <c r="N228" t="s">
        <v>1921</v>
      </c>
      <c r="O228" t="s">
        <v>1922</v>
      </c>
      <c r="P228" t="s">
        <v>20</v>
      </c>
      <c r="Q228">
        <f>(VALUE(LEFT(SUBSTITUTE(O228,"T"," "),23)) - VALUE(LEFT(SUBSTITUTE(N228,"T"," "),23))) * 86400</f>
        <v>181.98700009379536</v>
      </c>
      <c r="R228">
        <f>I228/G228</f>
        <v>5.931549913992526E-2</v>
      </c>
      <c r="S228">
        <f>H228/G228</f>
        <v>0.4003796191944955</v>
      </c>
    </row>
    <row r="229" spans="1:19" hidden="1" x14ac:dyDescent="0.2">
      <c r="A229">
        <v>2</v>
      </c>
      <c r="B229" t="s">
        <v>25</v>
      </c>
      <c r="C229">
        <v>-1</v>
      </c>
      <c r="D229">
        <v>1</v>
      </c>
      <c r="E229">
        <v>1010</v>
      </c>
      <c r="F229" t="b">
        <v>1</v>
      </c>
      <c r="G229">
        <v>37.271999999999998</v>
      </c>
      <c r="H229">
        <v>32</v>
      </c>
      <c r="I229">
        <v>2</v>
      </c>
      <c r="J229">
        <v>2.52</v>
      </c>
      <c r="K229" t="s">
        <v>3553</v>
      </c>
      <c r="L229">
        <v>0</v>
      </c>
      <c r="N229" t="s">
        <v>3554</v>
      </c>
      <c r="O229" t="s">
        <v>3555</v>
      </c>
      <c r="P229" t="s">
        <v>20</v>
      </c>
      <c r="Q229">
        <f>(VALUE(LEFT(SUBSTITUTE(O229,"T"," "),23)) - VALUE(LEFT(SUBSTITUTE(N229,"T"," "),23))) * 86400</f>
        <v>164.95299974922091</v>
      </c>
      <c r="R229">
        <f>I229/G229</f>
        <v>5.3659583601631256E-2</v>
      </c>
      <c r="S229">
        <f>H229/G229</f>
        <v>0.85855333762610009</v>
      </c>
    </row>
    <row r="230" spans="1:19" hidden="1" x14ac:dyDescent="0.2">
      <c r="A230">
        <v>33</v>
      </c>
      <c r="B230" t="s">
        <v>25</v>
      </c>
      <c r="C230">
        <v>0</v>
      </c>
      <c r="D230">
        <v>2</v>
      </c>
      <c r="E230">
        <v>1008</v>
      </c>
      <c r="F230" t="b">
        <v>1</v>
      </c>
      <c r="G230">
        <v>60.027999999999999</v>
      </c>
      <c r="H230">
        <v>28</v>
      </c>
      <c r="I230">
        <v>1</v>
      </c>
      <c r="J230">
        <v>0.06</v>
      </c>
      <c r="K230" t="s">
        <v>1860</v>
      </c>
      <c r="L230">
        <v>0</v>
      </c>
      <c r="N230" t="s">
        <v>1861</v>
      </c>
      <c r="O230" t="s">
        <v>1862</v>
      </c>
      <c r="P230" t="s">
        <v>20</v>
      </c>
      <c r="Q230">
        <f>(VALUE(LEFT(SUBSTITUTE(O230,"T"," "),23)) - VALUE(LEFT(SUBSTITUTE(N230,"T"," "),23))) * 86400</f>
        <v>145.58599996380508</v>
      </c>
      <c r="R230">
        <f>I230/G230</f>
        <v>1.6658892516825483E-2</v>
      </c>
      <c r="S230">
        <f>H230/G230</f>
        <v>0.46644899047111349</v>
      </c>
    </row>
    <row r="231" spans="1:19" hidden="1" x14ac:dyDescent="0.2">
      <c r="A231" s="1">
        <v>3</v>
      </c>
      <c r="B231" s="1" t="s">
        <v>25</v>
      </c>
      <c r="C231" s="1">
        <v>-1</v>
      </c>
      <c r="D231" s="1">
        <v>1</v>
      </c>
      <c r="E231" s="1">
        <v>1021</v>
      </c>
      <c r="F231" s="1" t="b">
        <v>1</v>
      </c>
      <c r="G231" s="1">
        <v>32.975999999999999</v>
      </c>
      <c r="H231" s="1">
        <v>28</v>
      </c>
      <c r="I231" s="1">
        <v>2</v>
      </c>
      <c r="J231" s="1">
        <v>3.06</v>
      </c>
      <c r="K231" s="1" t="s">
        <v>458</v>
      </c>
      <c r="L231" s="1">
        <v>0</v>
      </c>
      <c r="M231" s="1"/>
      <c r="N231" s="1" t="s">
        <v>459</v>
      </c>
      <c r="O231" s="1" t="s">
        <v>460</v>
      </c>
      <c r="P231" s="1" t="s">
        <v>20</v>
      </c>
      <c r="Q231">
        <f>(VALUE(LEFT(SUBSTITUTE(O231,"T"," "),23)) - VALUE(LEFT(SUBSTITUTE(N231,"T"," "),23))) * 86400</f>
        <v>147.5030001020059</v>
      </c>
      <c r="R231">
        <f>I231/G231</f>
        <v>6.0650169820475497E-2</v>
      </c>
      <c r="S231">
        <f>H231/G231</f>
        <v>0.84910237748665696</v>
      </c>
    </row>
    <row r="232" spans="1:19" hidden="1" x14ac:dyDescent="0.2">
      <c r="A232">
        <v>39</v>
      </c>
      <c r="B232" t="s">
        <v>25</v>
      </c>
      <c r="C232">
        <v>5</v>
      </c>
      <c r="D232">
        <v>2</v>
      </c>
      <c r="E232">
        <v>1008</v>
      </c>
      <c r="F232" t="b">
        <v>1</v>
      </c>
      <c r="G232">
        <v>59.28</v>
      </c>
      <c r="H232">
        <v>29</v>
      </c>
      <c r="I232">
        <v>3</v>
      </c>
      <c r="J232">
        <v>1.8</v>
      </c>
      <c r="K232" t="s">
        <v>1878</v>
      </c>
      <c r="L232">
        <v>0</v>
      </c>
      <c r="N232" t="s">
        <v>1879</v>
      </c>
      <c r="O232" t="s">
        <v>1880</v>
      </c>
      <c r="P232" t="s">
        <v>20</v>
      </c>
      <c r="Q232">
        <f>(VALUE(LEFT(SUBSTITUTE(O232,"T"," "),23)) - VALUE(LEFT(SUBSTITUTE(N232,"T"," "),23))) * 86400</f>
        <v>149.62499937973917</v>
      </c>
      <c r="R232">
        <f>I232/G232</f>
        <v>5.0607287449392711E-2</v>
      </c>
      <c r="S232">
        <f>H232/G232</f>
        <v>0.4892037786774629</v>
      </c>
    </row>
    <row r="233" spans="1:19" hidden="1" x14ac:dyDescent="0.2">
      <c r="A233">
        <v>42</v>
      </c>
      <c r="B233" t="s">
        <v>25</v>
      </c>
      <c r="C233">
        <v>10</v>
      </c>
      <c r="D233">
        <v>2</v>
      </c>
      <c r="E233">
        <v>1008</v>
      </c>
      <c r="F233" t="b">
        <v>1</v>
      </c>
      <c r="G233">
        <v>48.404000000000003</v>
      </c>
      <c r="H233">
        <v>29</v>
      </c>
      <c r="I233">
        <v>7</v>
      </c>
      <c r="J233">
        <v>1.38</v>
      </c>
      <c r="K233" t="s">
        <v>1887</v>
      </c>
      <c r="L233">
        <v>0</v>
      </c>
      <c r="N233" t="s">
        <v>1888</v>
      </c>
      <c r="O233" t="s">
        <v>1889</v>
      </c>
      <c r="P233" t="s">
        <v>20</v>
      </c>
      <c r="Q233">
        <f>(VALUE(LEFT(SUBSTITUTE(O233,"T"," "),23)) - VALUE(LEFT(SUBSTITUTE(N233,"T"," "),23))) * 86400</f>
        <v>166.09199980739504</v>
      </c>
      <c r="R233">
        <f>I233/G233</f>
        <v>0.14461614742583256</v>
      </c>
      <c r="S233">
        <f>H233/G233</f>
        <v>0.59912403933559211</v>
      </c>
    </row>
    <row r="234" spans="1:19" hidden="1" x14ac:dyDescent="0.2">
      <c r="A234">
        <v>45</v>
      </c>
      <c r="B234" t="s">
        <v>25</v>
      </c>
      <c r="C234">
        <v>15</v>
      </c>
      <c r="D234">
        <v>2</v>
      </c>
      <c r="E234">
        <v>1008</v>
      </c>
      <c r="F234" t="b">
        <v>1</v>
      </c>
      <c r="G234">
        <v>49.851999999999997</v>
      </c>
      <c r="H234">
        <v>27</v>
      </c>
      <c r="I234">
        <v>9</v>
      </c>
      <c r="J234">
        <v>2.46</v>
      </c>
      <c r="K234" t="s">
        <v>1896</v>
      </c>
      <c r="L234">
        <v>0</v>
      </c>
      <c r="N234" t="s">
        <v>1897</v>
      </c>
      <c r="O234" t="s">
        <v>1898</v>
      </c>
      <c r="P234" t="s">
        <v>20</v>
      </c>
      <c r="Q234">
        <f>(VALUE(LEFT(SUBSTITUTE(O234,"T"," "),23)) - VALUE(LEFT(SUBSTITUTE(N234,"T"," "),23))) * 86400</f>
        <v>246.98700020089746</v>
      </c>
      <c r="R234">
        <f>I234/G234</f>
        <v>0.18053438177003933</v>
      </c>
      <c r="S234">
        <f>H234/G234</f>
        <v>0.54160314531011799</v>
      </c>
    </row>
    <row r="235" spans="1:19" hidden="1" x14ac:dyDescent="0.2">
      <c r="A235">
        <v>48</v>
      </c>
      <c r="B235" t="s">
        <v>25</v>
      </c>
      <c r="C235">
        <v>20</v>
      </c>
      <c r="D235">
        <v>2</v>
      </c>
      <c r="E235">
        <v>1008</v>
      </c>
      <c r="F235" t="b">
        <v>1</v>
      </c>
      <c r="G235">
        <v>37.392000000000003</v>
      </c>
      <c r="H235">
        <v>29</v>
      </c>
      <c r="I235">
        <v>4</v>
      </c>
      <c r="J235">
        <v>1.44</v>
      </c>
      <c r="K235" t="s">
        <v>1905</v>
      </c>
      <c r="L235">
        <v>0</v>
      </c>
      <c r="N235" t="s">
        <v>1906</v>
      </c>
      <c r="O235" t="s">
        <v>1907</v>
      </c>
      <c r="P235" t="s">
        <v>20</v>
      </c>
      <c r="Q235">
        <f>(VALUE(LEFT(SUBSTITUTE(O235,"T"," "),23)) - VALUE(LEFT(SUBSTITUTE(N235,"T"," "),23))) * 86400</f>
        <v>142.69199974369258</v>
      </c>
      <c r="R235">
        <f>I235/G235</f>
        <v>0.10697475395806588</v>
      </c>
      <c r="S235">
        <f>H235/G235</f>
        <v>0.77556696619597765</v>
      </c>
    </row>
    <row r="236" spans="1:19" hidden="1" x14ac:dyDescent="0.2">
      <c r="A236">
        <v>51</v>
      </c>
      <c r="B236" t="s">
        <v>25</v>
      </c>
      <c r="C236">
        <v>50</v>
      </c>
      <c r="D236">
        <v>2</v>
      </c>
      <c r="E236">
        <v>1008</v>
      </c>
      <c r="F236" t="b">
        <v>1</v>
      </c>
      <c r="G236">
        <v>47.84</v>
      </c>
      <c r="H236">
        <v>25</v>
      </c>
      <c r="I236">
        <v>12</v>
      </c>
      <c r="J236">
        <v>2.2799999999999998</v>
      </c>
      <c r="K236" t="s">
        <v>1914</v>
      </c>
      <c r="L236">
        <v>0</v>
      </c>
      <c r="N236" t="s">
        <v>1915</v>
      </c>
      <c r="O236" t="s">
        <v>1916</v>
      </c>
      <c r="P236" t="s">
        <v>20</v>
      </c>
      <c r="Q236">
        <f>(VALUE(LEFT(SUBSTITUTE(O236,"T"," "),23)) - VALUE(LEFT(SUBSTITUTE(N236,"T"," "),23))) * 86400</f>
        <v>101.5710003208369</v>
      </c>
      <c r="R236">
        <f>I236/G236</f>
        <v>0.25083612040133779</v>
      </c>
      <c r="S236">
        <f>H236/G236</f>
        <v>0.52257525083612033</v>
      </c>
    </row>
    <row r="237" spans="1:19" hidden="1" x14ac:dyDescent="0.2">
      <c r="A237">
        <v>54</v>
      </c>
      <c r="B237" t="s">
        <v>25</v>
      </c>
      <c r="C237">
        <v>70</v>
      </c>
      <c r="D237">
        <v>2</v>
      </c>
      <c r="E237">
        <v>1008</v>
      </c>
      <c r="F237" t="b">
        <v>1</v>
      </c>
      <c r="G237">
        <v>51.235999999999997</v>
      </c>
      <c r="H237">
        <v>28</v>
      </c>
      <c r="I237">
        <v>4</v>
      </c>
      <c r="J237">
        <v>3.48</v>
      </c>
      <c r="K237" t="s">
        <v>1923</v>
      </c>
      <c r="L237">
        <v>0</v>
      </c>
      <c r="N237" t="s">
        <v>1924</v>
      </c>
      <c r="O237" t="s">
        <v>1925</v>
      </c>
      <c r="P237" t="s">
        <v>20</v>
      </c>
      <c r="Q237">
        <f>(VALUE(LEFT(SUBSTITUTE(O237,"T"," "),23)) - VALUE(LEFT(SUBSTITUTE(N237,"T"," "),23))) * 86400</f>
        <v>128.71599993668497</v>
      </c>
      <c r="R237">
        <f>I237/G237</f>
        <v>7.8070106956046534E-2</v>
      </c>
      <c r="S237">
        <f>H237/G237</f>
        <v>0.54649074869232572</v>
      </c>
    </row>
    <row r="238" spans="1:19" hidden="1" x14ac:dyDescent="0.2">
      <c r="A238">
        <v>7</v>
      </c>
      <c r="B238" t="s">
        <v>3413</v>
      </c>
      <c r="C238">
        <v>-1</v>
      </c>
      <c r="D238">
        <v>4</v>
      </c>
      <c r="E238">
        <v>1013</v>
      </c>
      <c r="F238" t="b">
        <v>1</v>
      </c>
      <c r="G238">
        <v>32.124000000000002</v>
      </c>
      <c r="H238">
        <v>27</v>
      </c>
      <c r="I238">
        <v>6</v>
      </c>
      <c r="J238">
        <v>8.52</v>
      </c>
      <c r="K238" t="s">
        <v>3042</v>
      </c>
      <c r="L238">
        <v>0</v>
      </c>
      <c r="N238" t="s">
        <v>3043</v>
      </c>
      <c r="O238" t="s">
        <v>3044</v>
      </c>
      <c r="P238" t="s">
        <v>20</v>
      </c>
      <c r="Q238">
        <f>(VALUE(LEFT(SUBSTITUTE(O238,"T"," "),23)) - VALUE(LEFT(SUBSTITUTE(N238,"T"," "),23))) * 86400</f>
        <v>149.54500019084662</v>
      </c>
      <c r="R238">
        <f>I238/G238</f>
        <v>0.18677624206200971</v>
      </c>
      <c r="S238">
        <f>H238/G238</f>
        <v>0.84049308927904365</v>
      </c>
    </row>
    <row r="239" spans="1:19" hidden="1" x14ac:dyDescent="0.2">
      <c r="A239">
        <v>31</v>
      </c>
      <c r="B239" t="s">
        <v>16</v>
      </c>
      <c r="C239">
        <v>0</v>
      </c>
      <c r="D239">
        <v>2</v>
      </c>
      <c r="E239">
        <v>1008</v>
      </c>
      <c r="F239" t="b">
        <v>1</v>
      </c>
      <c r="G239">
        <v>109.78</v>
      </c>
      <c r="H239">
        <v>23</v>
      </c>
      <c r="I239">
        <v>2</v>
      </c>
      <c r="J239">
        <v>0.84</v>
      </c>
      <c r="K239" t="s">
        <v>1854</v>
      </c>
      <c r="L239">
        <v>0</v>
      </c>
      <c r="N239" t="s">
        <v>1855</v>
      </c>
      <c r="O239" t="s">
        <v>1856</v>
      </c>
      <c r="P239" t="s">
        <v>20</v>
      </c>
      <c r="Q239">
        <f>(VALUE(LEFT(SUBSTITUTE(O239,"T"," "),23)) - VALUE(LEFT(SUBSTITUTE(N239,"T"," "),23))) * 86400</f>
        <v>289.82299987692386</v>
      </c>
      <c r="R239">
        <f>I239/G239</f>
        <v>1.8218254691200583E-2</v>
      </c>
      <c r="S239">
        <f>H239/G239</f>
        <v>0.20950992894880671</v>
      </c>
    </row>
    <row r="240" spans="1:19" x14ac:dyDescent="0.2">
      <c r="A240">
        <v>89</v>
      </c>
      <c r="B240" t="s">
        <v>21</v>
      </c>
      <c r="C240">
        <v>2</v>
      </c>
      <c r="D240">
        <v>4</v>
      </c>
      <c r="E240">
        <v>1005</v>
      </c>
      <c r="F240" t="b">
        <v>1</v>
      </c>
      <c r="G240">
        <v>99.78</v>
      </c>
      <c r="H240">
        <v>28</v>
      </c>
      <c r="I240">
        <v>1</v>
      </c>
      <c r="J240">
        <v>0.06</v>
      </c>
      <c r="K240" t="s">
        <v>797</v>
      </c>
      <c r="L240">
        <v>0</v>
      </c>
      <c r="N240" t="s">
        <v>798</v>
      </c>
      <c r="O240" t="s">
        <v>799</v>
      </c>
      <c r="P240" t="s">
        <v>20</v>
      </c>
      <c r="Q240">
        <f>(VALUE(LEFT(SUBSTITUTE(O240,"T"," "),23)) - VALUE(LEFT(SUBSTITUTE(N240,"T"," "),23))) * 86400</f>
        <v>412.24000020883977</v>
      </c>
      <c r="R240">
        <f>I240/G240</f>
        <v>1.0022048506714773E-2</v>
      </c>
      <c r="S240">
        <f>H240/G240</f>
        <v>0.28061735818801364</v>
      </c>
    </row>
    <row r="241" spans="1:19" hidden="1" x14ac:dyDescent="0.2">
      <c r="A241">
        <v>37</v>
      </c>
      <c r="B241" t="s">
        <v>16</v>
      </c>
      <c r="C241">
        <v>5</v>
      </c>
      <c r="D241">
        <v>2</v>
      </c>
      <c r="E241">
        <v>1008</v>
      </c>
      <c r="F241" t="b">
        <v>1</v>
      </c>
      <c r="G241">
        <v>100.21599999999999</v>
      </c>
      <c r="H241">
        <v>19</v>
      </c>
      <c r="I241">
        <v>6</v>
      </c>
      <c r="J241">
        <v>3.12</v>
      </c>
      <c r="K241" t="s">
        <v>1872</v>
      </c>
      <c r="L241">
        <v>0</v>
      </c>
      <c r="N241" t="s">
        <v>1873</v>
      </c>
      <c r="O241" t="s">
        <v>1874</v>
      </c>
      <c r="P241" t="s">
        <v>20</v>
      </c>
      <c r="Q241">
        <f>(VALUE(LEFT(SUBSTITUTE(O241,"T"," "),23)) - VALUE(LEFT(SUBSTITUTE(N241,"T"," "),23))) * 86400</f>
        <v>260.83300046157092</v>
      </c>
      <c r="R241">
        <f>I241/G241</f>
        <v>5.9870679332641501E-2</v>
      </c>
      <c r="S241">
        <f>H241/G241</f>
        <v>0.18959048455336475</v>
      </c>
    </row>
    <row r="242" spans="1:19" hidden="1" x14ac:dyDescent="0.2">
      <c r="A242">
        <v>40</v>
      </c>
      <c r="B242" t="s">
        <v>16</v>
      </c>
      <c r="C242">
        <v>10</v>
      </c>
      <c r="D242">
        <v>2</v>
      </c>
      <c r="E242">
        <v>1008</v>
      </c>
      <c r="F242" t="b">
        <v>1</v>
      </c>
      <c r="G242">
        <v>118.22</v>
      </c>
      <c r="H242">
        <v>27</v>
      </c>
      <c r="I242">
        <v>14</v>
      </c>
      <c r="J242">
        <v>3.06</v>
      </c>
      <c r="K242" t="s">
        <v>1881</v>
      </c>
      <c r="L242">
        <v>0</v>
      </c>
      <c r="N242" t="s">
        <v>1882</v>
      </c>
      <c r="O242" t="s">
        <v>1883</v>
      </c>
      <c r="P242" t="s">
        <v>20</v>
      </c>
      <c r="Q242">
        <f>(VALUE(LEFT(SUBSTITUTE(O242,"T"," "),23)) - VALUE(LEFT(SUBSTITUTE(N242,"T"," "),23))) * 86400</f>
        <v>285.59599982108921</v>
      </c>
      <c r="R242">
        <f>I242/G242</f>
        <v>0.11842327863305702</v>
      </c>
      <c r="S242">
        <f>H242/G242</f>
        <v>0.22838775164946709</v>
      </c>
    </row>
    <row r="243" spans="1:19" hidden="1" x14ac:dyDescent="0.2">
      <c r="A243">
        <v>43</v>
      </c>
      <c r="B243" t="s">
        <v>16</v>
      </c>
      <c r="C243">
        <v>15</v>
      </c>
      <c r="D243">
        <v>2</v>
      </c>
      <c r="E243">
        <v>1008</v>
      </c>
      <c r="F243" t="b">
        <v>1</v>
      </c>
      <c r="G243">
        <v>86.963999999999999</v>
      </c>
      <c r="H243">
        <v>22</v>
      </c>
      <c r="I243">
        <v>7</v>
      </c>
      <c r="J243">
        <v>2.64</v>
      </c>
      <c r="K243" t="s">
        <v>1890</v>
      </c>
      <c r="L243">
        <v>0</v>
      </c>
      <c r="N243" t="s">
        <v>1891</v>
      </c>
      <c r="O243" t="s">
        <v>1892</v>
      </c>
      <c r="P243" t="s">
        <v>20</v>
      </c>
      <c r="Q243">
        <f>(VALUE(LEFT(SUBSTITUTE(O243,"T"," "),23)) - VALUE(LEFT(SUBSTITUTE(N243,"T"," "),23))) * 86400</f>
        <v>174.49399984907359</v>
      </c>
      <c r="R243">
        <f>I243/G243</f>
        <v>8.0493077595326798E-2</v>
      </c>
      <c r="S243">
        <f>H243/G243</f>
        <v>0.25297824387102708</v>
      </c>
    </row>
    <row r="244" spans="1:19" hidden="1" x14ac:dyDescent="0.2">
      <c r="A244">
        <v>46</v>
      </c>
      <c r="B244" t="s">
        <v>16</v>
      </c>
      <c r="C244">
        <v>20</v>
      </c>
      <c r="D244">
        <v>2</v>
      </c>
      <c r="E244">
        <v>1008</v>
      </c>
      <c r="F244" t="b">
        <v>1</v>
      </c>
      <c r="G244">
        <v>65.296000000000006</v>
      </c>
      <c r="H244">
        <v>25</v>
      </c>
      <c r="I244">
        <v>4</v>
      </c>
      <c r="J244">
        <v>0.42</v>
      </c>
      <c r="K244" t="s">
        <v>1899</v>
      </c>
      <c r="L244">
        <v>0</v>
      </c>
      <c r="N244" t="s">
        <v>1900</v>
      </c>
      <c r="O244" t="s">
        <v>1901</v>
      </c>
      <c r="P244" t="s">
        <v>20</v>
      </c>
      <c r="Q244">
        <f>(VALUE(LEFT(SUBSTITUTE(O244,"T"," "),23)) - VALUE(LEFT(SUBSTITUTE(N244,"T"," "),23))) * 86400</f>
        <v>207.50399983953685</v>
      </c>
      <c r="R244">
        <f>I244/G244</f>
        <v>6.1259495221759365E-2</v>
      </c>
      <c r="S244">
        <f>H244/G244</f>
        <v>0.38287184513599604</v>
      </c>
    </row>
    <row r="245" spans="1:19" hidden="1" x14ac:dyDescent="0.2">
      <c r="A245">
        <v>49</v>
      </c>
      <c r="B245" t="s">
        <v>16</v>
      </c>
      <c r="C245">
        <v>50</v>
      </c>
      <c r="D245">
        <v>2</v>
      </c>
      <c r="E245">
        <v>1008</v>
      </c>
      <c r="F245" t="b">
        <v>1</v>
      </c>
      <c r="G245">
        <v>90.647999999999996</v>
      </c>
      <c r="H245">
        <v>25</v>
      </c>
      <c r="I245">
        <v>15</v>
      </c>
      <c r="J245">
        <v>2.82</v>
      </c>
      <c r="K245" t="s">
        <v>1908</v>
      </c>
      <c r="L245">
        <v>0</v>
      </c>
      <c r="N245" t="s">
        <v>1909</v>
      </c>
      <c r="O245" t="s">
        <v>1910</v>
      </c>
      <c r="P245" t="s">
        <v>20</v>
      </c>
      <c r="Q245">
        <f>(VALUE(LEFT(SUBSTITUTE(O245,"T"," "),23)) - VALUE(LEFT(SUBSTITUTE(N245,"T"," "),23))) * 86400</f>
        <v>163.95000026095659</v>
      </c>
      <c r="R245">
        <f>I245/G245</f>
        <v>0.16547524490336246</v>
      </c>
      <c r="S245">
        <f>H245/G245</f>
        <v>0.27579207483893742</v>
      </c>
    </row>
    <row r="246" spans="1:19" hidden="1" x14ac:dyDescent="0.2">
      <c r="A246">
        <v>52</v>
      </c>
      <c r="B246" t="s">
        <v>16</v>
      </c>
      <c r="C246">
        <v>70</v>
      </c>
      <c r="D246">
        <v>2</v>
      </c>
      <c r="E246">
        <v>1008</v>
      </c>
      <c r="F246" t="b">
        <v>1</v>
      </c>
      <c r="G246">
        <v>90.195999999999998</v>
      </c>
      <c r="H246">
        <v>23</v>
      </c>
      <c r="I246">
        <v>25</v>
      </c>
      <c r="J246">
        <v>4.38</v>
      </c>
      <c r="K246" t="s">
        <v>1917</v>
      </c>
      <c r="L246">
        <v>0</v>
      </c>
      <c r="N246" t="s">
        <v>1918</v>
      </c>
      <c r="O246" t="s">
        <v>1919</v>
      </c>
      <c r="P246" t="s">
        <v>20</v>
      </c>
      <c r="Q246">
        <f>(VALUE(LEFT(SUBSTITUTE(O246,"T"," "),23)) - VALUE(LEFT(SUBSTITUTE(N246,"T"," "),23))) * 86400</f>
        <v>271.2789996759966</v>
      </c>
      <c r="R246">
        <f>I246/G246</f>
        <v>0.27717415406448181</v>
      </c>
      <c r="S246">
        <f>H246/G246</f>
        <v>0.25500022173932324</v>
      </c>
    </row>
    <row r="247" spans="1:19" hidden="1" x14ac:dyDescent="0.2">
      <c r="A247">
        <v>13</v>
      </c>
      <c r="B247" t="s">
        <v>3413</v>
      </c>
      <c r="C247">
        <v>-1</v>
      </c>
      <c r="D247">
        <v>7</v>
      </c>
      <c r="E247">
        <v>1016</v>
      </c>
      <c r="F247" t="b">
        <v>1</v>
      </c>
      <c r="G247">
        <v>36.387999999999998</v>
      </c>
      <c r="H247">
        <v>30</v>
      </c>
      <c r="I247">
        <v>4</v>
      </c>
      <c r="J247">
        <v>3.96</v>
      </c>
      <c r="K247" t="s">
        <v>3060</v>
      </c>
      <c r="L247">
        <v>0</v>
      </c>
      <c r="N247" t="s">
        <v>3061</v>
      </c>
      <c r="O247" t="s">
        <v>3062</v>
      </c>
      <c r="P247" t="s">
        <v>20</v>
      </c>
      <c r="Q247">
        <f>(VALUE(LEFT(SUBSTITUTE(O247,"T"," "),23)) - VALUE(LEFT(SUBSTITUTE(N247,"T"," "),23))) * 86400</f>
        <v>164.91499955300242</v>
      </c>
      <c r="R247">
        <f>I247/G247</f>
        <v>0.10992634934593823</v>
      </c>
      <c r="S247">
        <f>H247/G247</f>
        <v>0.82444762009453665</v>
      </c>
    </row>
    <row r="248" spans="1:19" hidden="1" x14ac:dyDescent="0.2">
      <c r="A248">
        <v>59</v>
      </c>
      <c r="B248" t="s">
        <v>21</v>
      </c>
      <c r="C248">
        <v>0</v>
      </c>
      <c r="D248">
        <v>3</v>
      </c>
      <c r="E248">
        <v>1009</v>
      </c>
      <c r="F248" t="b">
        <v>1</v>
      </c>
      <c r="G248">
        <v>81.34</v>
      </c>
      <c r="H248">
        <v>24</v>
      </c>
      <c r="I248">
        <v>2</v>
      </c>
      <c r="J248">
        <v>0.54</v>
      </c>
      <c r="K248" t="s">
        <v>1938</v>
      </c>
      <c r="L248">
        <v>0</v>
      </c>
      <c r="N248" t="s">
        <v>1939</v>
      </c>
      <c r="O248" t="s">
        <v>1940</v>
      </c>
      <c r="P248" t="s">
        <v>20</v>
      </c>
      <c r="Q248">
        <f>(VALUE(LEFT(SUBSTITUTE(O248,"T"," "),23)) - VALUE(LEFT(SUBSTITUTE(N248,"T"," "),23))) * 86400</f>
        <v>182.17100005131215</v>
      </c>
      <c r="R248">
        <f>I248/G248</f>
        <v>2.4588148512417012E-2</v>
      </c>
      <c r="S248">
        <f>H248/G248</f>
        <v>0.29505778214900419</v>
      </c>
    </row>
    <row r="249" spans="1:19" x14ac:dyDescent="0.2">
      <c r="A249">
        <v>7</v>
      </c>
      <c r="B249" t="s">
        <v>16</v>
      </c>
      <c r="C249">
        <v>2</v>
      </c>
      <c r="D249">
        <v>1</v>
      </c>
      <c r="E249">
        <v>1022</v>
      </c>
      <c r="F249" t="b">
        <v>1</v>
      </c>
      <c r="G249">
        <v>63.271999999999998</v>
      </c>
      <c r="H249">
        <v>18</v>
      </c>
      <c r="I249">
        <v>1</v>
      </c>
      <c r="J249">
        <v>0.06</v>
      </c>
      <c r="K249" t="s">
        <v>1415</v>
      </c>
      <c r="L249">
        <v>0</v>
      </c>
      <c r="N249" t="s">
        <v>1416</v>
      </c>
      <c r="O249" t="s">
        <v>1417</v>
      </c>
      <c r="P249" t="s">
        <v>20</v>
      </c>
      <c r="Q249">
        <f>(VALUE(LEFT(SUBSTITUTE(O249,"T"," "),23)) - VALUE(LEFT(SUBSTITUTE(N249,"T"," "),23))) * 86400</f>
        <v>270.55699971970171</v>
      </c>
      <c r="R249">
        <f>I249/G249</f>
        <v>1.5804779365280061E-2</v>
      </c>
      <c r="S249">
        <f>H249/G249</f>
        <v>0.28448602857504107</v>
      </c>
    </row>
    <row r="250" spans="1:19" hidden="1" x14ac:dyDescent="0.2">
      <c r="A250">
        <v>65</v>
      </c>
      <c r="B250" t="s">
        <v>21</v>
      </c>
      <c r="C250">
        <v>5</v>
      </c>
      <c r="D250">
        <v>3</v>
      </c>
      <c r="E250">
        <v>1009</v>
      </c>
      <c r="F250" t="b">
        <v>1</v>
      </c>
      <c r="G250">
        <v>46.944000000000003</v>
      </c>
      <c r="H250">
        <v>24</v>
      </c>
      <c r="I250">
        <v>1</v>
      </c>
      <c r="J250">
        <v>0.06</v>
      </c>
      <c r="K250" t="s">
        <v>1956</v>
      </c>
      <c r="L250">
        <v>0</v>
      </c>
      <c r="N250" t="s">
        <v>1957</v>
      </c>
      <c r="O250" t="s">
        <v>1958</v>
      </c>
      <c r="P250" t="s">
        <v>20</v>
      </c>
      <c r="Q250">
        <f>(VALUE(LEFT(SUBSTITUTE(O250,"T"," "),23)) - VALUE(LEFT(SUBSTITUTE(N250,"T"," "),23))) * 86400</f>
        <v>179.10400049295276</v>
      </c>
      <c r="R250">
        <f>I250/G250</f>
        <v>2.1301976823449215E-2</v>
      </c>
      <c r="S250">
        <f>H250/G250</f>
        <v>0.5112474437627812</v>
      </c>
    </row>
    <row r="251" spans="1:19" hidden="1" x14ac:dyDescent="0.2">
      <c r="A251">
        <v>68</v>
      </c>
      <c r="B251" t="s">
        <v>21</v>
      </c>
      <c r="C251">
        <v>10</v>
      </c>
      <c r="D251">
        <v>3</v>
      </c>
      <c r="E251">
        <v>1009</v>
      </c>
      <c r="F251" t="b">
        <v>1</v>
      </c>
      <c r="G251">
        <v>54.052</v>
      </c>
      <c r="H251">
        <v>23</v>
      </c>
      <c r="I251">
        <v>1</v>
      </c>
      <c r="J251">
        <v>0.54</v>
      </c>
      <c r="K251" t="s">
        <v>1965</v>
      </c>
      <c r="L251">
        <v>0</v>
      </c>
      <c r="N251" t="s">
        <v>1966</v>
      </c>
      <c r="O251" t="s">
        <v>1967</v>
      </c>
      <c r="P251" t="s">
        <v>20</v>
      </c>
      <c r="Q251">
        <f>(VALUE(LEFT(SUBSTITUTE(O251,"T"," "),23)) - VALUE(LEFT(SUBSTITUTE(N251,"T"," "),23))) * 86400</f>
        <v>227.30499948374927</v>
      </c>
      <c r="R251">
        <f>I251/G251</f>
        <v>1.8500703026715016E-2</v>
      </c>
      <c r="S251">
        <f>H251/G251</f>
        <v>0.42551616961444533</v>
      </c>
    </row>
    <row r="252" spans="1:19" hidden="1" x14ac:dyDescent="0.2">
      <c r="A252">
        <v>71</v>
      </c>
      <c r="B252" t="s">
        <v>21</v>
      </c>
      <c r="C252">
        <v>15</v>
      </c>
      <c r="D252">
        <v>3</v>
      </c>
      <c r="E252">
        <v>1009</v>
      </c>
      <c r="F252" t="b">
        <v>1</v>
      </c>
      <c r="G252">
        <v>42.195999999999998</v>
      </c>
      <c r="H252">
        <v>22</v>
      </c>
      <c r="I252">
        <v>4</v>
      </c>
      <c r="J252">
        <v>0.72</v>
      </c>
      <c r="K252" t="s">
        <v>1974</v>
      </c>
      <c r="L252">
        <v>0</v>
      </c>
      <c r="N252" t="s">
        <v>1975</v>
      </c>
      <c r="O252" t="s">
        <v>1976</v>
      </c>
      <c r="P252" t="s">
        <v>20</v>
      </c>
      <c r="Q252">
        <f>(VALUE(LEFT(SUBSTITUTE(O252,"T"," "),23)) - VALUE(LEFT(SUBSTITUTE(N252,"T"," "),23))) * 86400</f>
        <v>175.67100010346621</v>
      </c>
      <c r="R252">
        <f>I252/G252</f>
        <v>9.4795715233671446E-2</v>
      </c>
      <c r="S252">
        <f>H252/G252</f>
        <v>0.52137643378519294</v>
      </c>
    </row>
    <row r="253" spans="1:19" hidden="1" x14ac:dyDescent="0.2">
      <c r="A253">
        <v>74</v>
      </c>
      <c r="B253" t="s">
        <v>21</v>
      </c>
      <c r="C253">
        <v>20</v>
      </c>
      <c r="D253">
        <v>3</v>
      </c>
      <c r="E253">
        <v>1009</v>
      </c>
      <c r="F253" t="b">
        <v>1</v>
      </c>
      <c r="G253">
        <v>120.172</v>
      </c>
      <c r="H253">
        <v>25</v>
      </c>
      <c r="I253">
        <v>20</v>
      </c>
      <c r="J253">
        <v>4.0199999999999996</v>
      </c>
      <c r="K253" t="s">
        <v>1983</v>
      </c>
      <c r="L253">
        <v>0</v>
      </c>
      <c r="N253" t="s">
        <v>1984</v>
      </c>
      <c r="O253" t="s">
        <v>1985</v>
      </c>
      <c r="P253" t="s">
        <v>20</v>
      </c>
      <c r="Q253">
        <f>(VALUE(LEFT(SUBSTITUTE(O253,"T"," "),23)) - VALUE(LEFT(SUBSTITUTE(N253,"T"," "),23))) * 86400</f>
        <v>294.68199962284416</v>
      </c>
      <c r="R253">
        <f>I253/G253</f>
        <v>0.16642811969510368</v>
      </c>
      <c r="S253">
        <f>H253/G253</f>
        <v>0.20803514961887962</v>
      </c>
    </row>
    <row r="254" spans="1:19" hidden="1" x14ac:dyDescent="0.2">
      <c r="A254">
        <v>77</v>
      </c>
      <c r="B254" t="s">
        <v>21</v>
      </c>
      <c r="C254">
        <v>50</v>
      </c>
      <c r="D254">
        <v>3</v>
      </c>
      <c r="E254">
        <v>1009</v>
      </c>
      <c r="F254" t="b">
        <v>1</v>
      </c>
      <c r="G254">
        <v>77.335999999999999</v>
      </c>
      <c r="H254">
        <v>23</v>
      </c>
      <c r="I254">
        <v>8</v>
      </c>
      <c r="J254">
        <v>3.06</v>
      </c>
      <c r="K254" t="s">
        <v>1992</v>
      </c>
      <c r="L254">
        <v>0</v>
      </c>
      <c r="N254" t="s">
        <v>1993</v>
      </c>
      <c r="O254" t="s">
        <v>1994</v>
      </c>
      <c r="P254" t="s">
        <v>20</v>
      </c>
      <c r="Q254">
        <f>(VALUE(LEFT(SUBSTITUTE(O254,"T"," "),23)) - VALUE(LEFT(SUBSTITUTE(N254,"T"," "),23))) * 86400</f>
        <v>167.00999988242984</v>
      </c>
      <c r="R254">
        <f>I254/G254</f>
        <v>0.10344470880314473</v>
      </c>
      <c r="S254">
        <f>H254/G254</f>
        <v>0.29740353780904105</v>
      </c>
    </row>
    <row r="255" spans="1:19" hidden="1" x14ac:dyDescent="0.2">
      <c r="A255">
        <v>80</v>
      </c>
      <c r="B255" t="s">
        <v>21</v>
      </c>
      <c r="C255">
        <v>70</v>
      </c>
      <c r="D255">
        <v>3</v>
      </c>
      <c r="E255">
        <v>1009</v>
      </c>
      <c r="F255" t="b">
        <v>1</v>
      </c>
      <c r="G255">
        <v>69.963999999999999</v>
      </c>
      <c r="H255">
        <v>22</v>
      </c>
      <c r="I255">
        <v>7</v>
      </c>
      <c r="J255">
        <v>0.54</v>
      </c>
      <c r="K255" t="s">
        <v>2001</v>
      </c>
      <c r="L255">
        <v>0</v>
      </c>
      <c r="N255" t="s">
        <v>2002</v>
      </c>
      <c r="O255" t="s">
        <v>2003</v>
      </c>
      <c r="P255" t="s">
        <v>20</v>
      </c>
      <c r="Q255">
        <f>(VALUE(LEFT(SUBSTITUTE(O255,"T"," "),23)) - VALUE(LEFT(SUBSTITUTE(N255,"T"," "),23))) * 86400</f>
        <v>140.06500043906271</v>
      </c>
      <c r="R255">
        <f>I255/G255</f>
        <v>0.10005145503401749</v>
      </c>
      <c r="S255">
        <f>H255/G255</f>
        <v>0.31444743010691212</v>
      </c>
    </row>
    <row r="256" spans="1:19" hidden="1" x14ac:dyDescent="0.2">
      <c r="A256">
        <v>6</v>
      </c>
      <c r="B256" t="s">
        <v>2476</v>
      </c>
      <c r="C256">
        <v>-1</v>
      </c>
      <c r="D256">
        <v>2</v>
      </c>
      <c r="E256">
        <v>1026</v>
      </c>
      <c r="F256" t="b">
        <v>1</v>
      </c>
      <c r="G256">
        <v>33.152000000000001</v>
      </c>
      <c r="H256">
        <v>27</v>
      </c>
      <c r="I256">
        <v>3</v>
      </c>
      <c r="J256">
        <v>2.4</v>
      </c>
      <c r="K256" t="s">
        <v>2955</v>
      </c>
      <c r="L256">
        <v>0</v>
      </c>
      <c r="N256" t="s">
        <v>2956</v>
      </c>
      <c r="O256" t="s">
        <v>2957</v>
      </c>
      <c r="Q256">
        <f>(VALUE(LEFT(SUBSTITUTE(O256,"T"," "),23)) - VALUE(LEFT(SUBSTITUTE(N256,"T"," "),23))) * 86400</f>
        <v>145.52800012752414</v>
      </c>
      <c r="R256">
        <f>I256/G256</f>
        <v>9.0492277992277992E-2</v>
      </c>
      <c r="S256">
        <f>H256/G256</f>
        <v>0.81443050193050193</v>
      </c>
    </row>
    <row r="257" spans="1:19" hidden="1" x14ac:dyDescent="0.2">
      <c r="A257">
        <v>60</v>
      </c>
      <c r="B257" t="s">
        <v>25</v>
      </c>
      <c r="C257">
        <v>0</v>
      </c>
      <c r="D257">
        <v>3</v>
      </c>
      <c r="E257">
        <v>1009</v>
      </c>
      <c r="F257" t="b">
        <v>1</v>
      </c>
      <c r="G257">
        <v>60.8</v>
      </c>
      <c r="H257">
        <v>31</v>
      </c>
      <c r="I257">
        <v>2</v>
      </c>
      <c r="J257">
        <v>1.74</v>
      </c>
      <c r="K257" t="s">
        <v>1941</v>
      </c>
      <c r="L257">
        <v>0</v>
      </c>
      <c r="N257" t="s">
        <v>1942</v>
      </c>
      <c r="O257" t="s">
        <v>1943</v>
      </c>
      <c r="P257" t="s">
        <v>20</v>
      </c>
      <c r="Q257">
        <f>(VALUE(LEFT(SUBSTITUTE(O257,"T"," "),23)) - VALUE(LEFT(SUBSTITUTE(N257,"T"," "),23))) * 86400</f>
        <v>116.17600056342781</v>
      </c>
      <c r="R257">
        <f>I257/G257</f>
        <v>3.2894736842105261E-2</v>
      </c>
      <c r="S257">
        <f>H257/G257</f>
        <v>0.50986842105263164</v>
      </c>
    </row>
    <row r="258" spans="1:19" x14ac:dyDescent="0.2">
      <c r="A258">
        <v>8</v>
      </c>
      <c r="B258" t="s">
        <v>21</v>
      </c>
      <c r="C258">
        <v>2</v>
      </c>
      <c r="D258">
        <v>1</v>
      </c>
      <c r="E258">
        <v>1027</v>
      </c>
      <c r="F258" t="b">
        <v>1</v>
      </c>
      <c r="G258">
        <v>91.236000000000004</v>
      </c>
      <c r="H258">
        <v>26</v>
      </c>
      <c r="I258">
        <v>2</v>
      </c>
      <c r="J258">
        <v>1.2</v>
      </c>
      <c r="K258" t="s">
        <v>2255</v>
      </c>
      <c r="L258">
        <v>0</v>
      </c>
      <c r="N258" t="s">
        <v>2256</v>
      </c>
      <c r="O258" t="s">
        <v>2257</v>
      </c>
      <c r="P258" t="s">
        <v>20</v>
      </c>
      <c r="Q258">
        <f>(VALUE(LEFT(SUBSTITUTE(O258,"T"," "),23)) - VALUE(LEFT(SUBSTITUTE(N258,"T"," "),23))) * 86400</f>
        <v>393.79800043534487</v>
      </c>
      <c r="R258">
        <f>I258/G258</f>
        <v>2.1921171467403217E-2</v>
      </c>
      <c r="S258">
        <f>H258/G258</f>
        <v>0.28497522907624184</v>
      </c>
    </row>
    <row r="259" spans="1:19" hidden="1" x14ac:dyDescent="0.2">
      <c r="A259">
        <v>66</v>
      </c>
      <c r="B259" t="s">
        <v>25</v>
      </c>
      <c r="C259">
        <v>5</v>
      </c>
      <c r="D259">
        <v>3</v>
      </c>
      <c r="E259">
        <v>1009</v>
      </c>
      <c r="F259" t="b">
        <v>1</v>
      </c>
      <c r="G259">
        <v>40.975999999999999</v>
      </c>
      <c r="H259">
        <v>28</v>
      </c>
      <c r="I259">
        <v>1</v>
      </c>
      <c r="J259">
        <v>1.44</v>
      </c>
      <c r="K259" t="s">
        <v>1959</v>
      </c>
      <c r="L259">
        <v>0</v>
      </c>
      <c r="N259" t="s">
        <v>1960</v>
      </c>
      <c r="O259" t="s">
        <v>1961</v>
      </c>
      <c r="P259" t="s">
        <v>20</v>
      </c>
      <c r="Q259">
        <f>(VALUE(LEFT(SUBSTITUTE(O259,"T"," "),23)) - VALUE(LEFT(SUBSTITUTE(N259,"T"," "),23))) * 86400</f>
        <v>102.08299965597689</v>
      </c>
      <c r="R259">
        <f>I259/G259</f>
        <v>2.4404529480671615E-2</v>
      </c>
      <c r="S259">
        <f>H259/G259</f>
        <v>0.68332682545880519</v>
      </c>
    </row>
    <row r="260" spans="1:19" hidden="1" x14ac:dyDescent="0.2">
      <c r="A260">
        <v>69</v>
      </c>
      <c r="B260" t="s">
        <v>25</v>
      </c>
      <c r="C260">
        <v>10</v>
      </c>
      <c r="D260">
        <v>3</v>
      </c>
      <c r="E260">
        <v>1009</v>
      </c>
      <c r="F260" t="b">
        <v>1</v>
      </c>
      <c r="G260">
        <v>54.055999999999997</v>
      </c>
      <c r="H260">
        <v>29</v>
      </c>
      <c r="I260">
        <v>2</v>
      </c>
      <c r="J260">
        <v>0.72</v>
      </c>
      <c r="K260" t="s">
        <v>1968</v>
      </c>
      <c r="L260">
        <v>0</v>
      </c>
      <c r="N260" t="s">
        <v>1969</v>
      </c>
      <c r="O260" t="s">
        <v>1970</v>
      </c>
      <c r="P260" t="s">
        <v>20</v>
      </c>
      <c r="Q260">
        <f>(VALUE(LEFT(SUBSTITUTE(O260,"T"," "),23)) - VALUE(LEFT(SUBSTITUTE(N260,"T"," "),23))) * 86400</f>
        <v>120.63200008124113</v>
      </c>
      <c r="R260">
        <f>I260/G260</f>
        <v>3.6998668047950274E-2</v>
      </c>
      <c r="S260">
        <f>H260/G260</f>
        <v>0.53648068669527904</v>
      </c>
    </row>
    <row r="261" spans="1:19" hidden="1" x14ac:dyDescent="0.2">
      <c r="A261">
        <v>72</v>
      </c>
      <c r="B261" t="s">
        <v>25</v>
      </c>
      <c r="C261">
        <v>15</v>
      </c>
      <c r="D261">
        <v>3</v>
      </c>
      <c r="E261">
        <v>1009</v>
      </c>
      <c r="F261" t="b">
        <v>1</v>
      </c>
      <c r="G261">
        <v>39.808</v>
      </c>
      <c r="H261">
        <v>31</v>
      </c>
      <c r="I261">
        <v>3</v>
      </c>
      <c r="J261">
        <v>0.78</v>
      </c>
      <c r="K261" t="s">
        <v>1977</v>
      </c>
      <c r="L261">
        <v>0</v>
      </c>
      <c r="N261" t="s">
        <v>1978</v>
      </c>
      <c r="O261" t="s">
        <v>1979</v>
      </c>
      <c r="P261" t="s">
        <v>20</v>
      </c>
      <c r="Q261">
        <f>(VALUE(LEFT(SUBSTITUTE(O261,"T"," "),23)) - VALUE(LEFT(SUBSTITUTE(N261,"T"," "),23))) * 86400</f>
        <v>94.504999998025596</v>
      </c>
      <c r="R261">
        <f>I261/G261</f>
        <v>7.5361736334405141E-2</v>
      </c>
      <c r="S261">
        <f>H261/G261</f>
        <v>0.7787379421221865</v>
      </c>
    </row>
    <row r="262" spans="1:19" hidden="1" x14ac:dyDescent="0.2">
      <c r="A262">
        <v>75</v>
      </c>
      <c r="B262" t="s">
        <v>25</v>
      </c>
      <c r="C262">
        <v>20</v>
      </c>
      <c r="D262">
        <v>3</v>
      </c>
      <c r="E262">
        <v>1009</v>
      </c>
      <c r="F262" t="b">
        <v>1</v>
      </c>
      <c r="G262">
        <v>66.028000000000006</v>
      </c>
      <c r="H262">
        <v>32</v>
      </c>
      <c r="I262">
        <v>4</v>
      </c>
      <c r="J262">
        <v>1.26</v>
      </c>
      <c r="K262" t="s">
        <v>1986</v>
      </c>
      <c r="L262">
        <v>0</v>
      </c>
      <c r="N262" t="s">
        <v>1987</v>
      </c>
      <c r="O262" t="s">
        <v>1988</v>
      </c>
      <c r="P262" t="s">
        <v>20</v>
      </c>
      <c r="Q262">
        <f>(VALUE(LEFT(SUBSTITUTE(O262,"T"," "),23)) - VALUE(LEFT(SUBSTITUTE(N262,"T"," "),23))) * 86400</f>
        <v>128.44499959610403</v>
      </c>
      <c r="R262">
        <f>I262/G262</f>
        <v>6.0580359847337485E-2</v>
      </c>
      <c r="S262">
        <f>H262/G262</f>
        <v>0.48464287877869988</v>
      </c>
    </row>
    <row r="263" spans="1:19" hidden="1" x14ac:dyDescent="0.2">
      <c r="A263">
        <v>78</v>
      </c>
      <c r="B263" t="s">
        <v>25</v>
      </c>
      <c r="C263">
        <v>50</v>
      </c>
      <c r="D263">
        <v>3</v>
      </c>
      <c r="E263">
        <v>1009</v>
      </c>
      <c r="F263" t="b">
        <v>1</v>
      </c>
      <c r="G263">
        <v>47.631999999999998</v>
      </c>
      <c r="H263">
        <v>29</v>
      </c>
      <c r="I263">
        <v>5</v>
      </c>
      <c r="J263">
        <v>0.84</v>
      </c>
      <c r="K263" t="s">
        <v>1995</v>
      </c>
      <c r="L263">
        <v>0</v>
      </c>
      <c r="N263" t="s">
        <v>1996</v>
      </c>
      <c r="O263" t="s">
        <v>1997</v>
      </c>
      <c r="P263" t="s">
        <v>20</v>
      </c>
      <c r="Q263">
        <f>(VALUE(LEFT(SUBSTITUTE(O263,"T"," "),23)) - VALUE(LEFT(SUBSTITUTE(N263,"T"," "),23))) * 86400</f>
        <v>84.328000154346228</v>
      </c>
      <c r="R263">
        <f>I263/G263</f>
        <v>0.10497144776620759</v>
      </c>
      <c r="S263">
        <f>H263/G263</f>
        <v>0.60883439704400411</v>
      </c>
    </row>
    <row r="264" spans="1:19" hidden="1" x14ac:dyDescent="0.2">
      <c r="A264">
        <v>81</v>
      </c>
      <c r="B264" t="s">
        <v>25</v>
      </c>
      <c r="C264">
        <v>70</v>
      </c>
      <c r="D264">
        <v>3</v>
      </c>
      <c r="E264">
        <v>1009</v>
      </c>
      <c r="F264" t="b">
        <v>1</v>
      </c>
      <c r="G264">
        <v>48.295999999999999</v>
      </c>
      <c r="H264">
        <v>31</v>
      </c>
      <c r="I264">
        <v>3</v>
      </c>
      <c r="J264">
        <v>1.1399999999999999</v>
      </c>
      <c r="K264" t="s">
        <v>2004</v>
      </c>
      <c r="L264">
        <v>0</v>
      </c>
      <c r="N264" t="s">
        <v>2005</v>
      </c>
      <c r="O264" t="s">
        <v>2006</v>
      </c>
      <c r="P264" t="s">
        <v>20</v>
      </c>
      <c r="Q264">
        <f>(VALUE(LEFT(SUBSTITUTE(O264,"T"," "),23)) - VALUE(LEFT(SUBSTITUTE(N264,"T"," "),23))) * 86400</f>
        <v>102.61399971786886</v>
      </c>
      <c r="R264">
        <f>I264/G264</f>
        <v>6.2116945502733147E-2</v>
      </c>
      <c r="S264">
        <f>H264/G264</f>
        <v>0.64187510352824251</v>
      </c>
    </row>
    <row r="265" spans="1:19" hidden="1" x14ac:dyDescent="0.2">
      <c r="A265">
        <v>11</v>
      </c>
      <c r="B265" t="s">
        <v>3413</v>
      </c>
      <c r="C265">
        <v>-1</v>
      </c>
      <c r="D265">
        <v>6</v>
      </c>
      <c r="E265">
        <v>1015</v>
      </c>
      <c r="F265" t="b">
        <v>1</v>
      </c>
      <c r="G265">
        <v>34.475999999999999</v>
      </c>
      <c r="H265">
        <v>28</v>
      </c>
      <c r="I265">
        <v>3</v>
      </c>
      <c r="J265">
        <v>3.96</v>
      </c>
      <c r="K265" t="s">
        <v>3054</v>
      </c>
      <c r="L265">
        <v>0</v>
      </c>
      <c r="N265" t="s">
        <v>3055</v>
      </c>
      <c r="O265" t="s">
        <v>3056</v>
      </c>
      <c r="P265" t="s">
        <v>20</v>
      </c>
      <c r="Q265">
        <f>(VALUE(LEFT(SUBSTITUTE(O265,"T"," "),23)) - VALUE(LEFT(SUBSTITUTE(N265,"T"," "),23))) * 86400</f>
        <v>142.44599989615381</v>
      </c>
      <c r="R265">
        <f>I265/G265</f>
        <v>8.7017055342847205E-2</v>
      </c>
      <c r="S265">
        <f>H265/G265</f>
        <v>0.81215918319990721</v>
      </c>
    </row>
    <row r="266" spans="1:19" hidden="1" x14ac:dyDescent="0.2">
      <c r="A266">
        <v>58</v>
      </c>
      <c r="B266" t="s">
        <v>16</v>
      </c>
      <c r="C266">
        <v>0</v>
      </c>
      <c r="D266">
        <v>3</v>
      </c>
      <c r="E266">
        <v>1009</v>
      </c>
      <c r="F266" t="b">
        <v>1</v>
      </c>
      <c r="G266">
        <v>76.256</v>
      </c>
      <c r="H266">
        <v>26</v>
      </c>
      <c r="I266">
        <v>4</v>
      </c>
      <c r="J266">
        <v>0.9</v>
      </c>
      <c r="K266" t="s">
        <v>1935</v>
      </c>
      <c r="L266">
        <v>0</v>
      </c>
      <c r="N266" t="s">
        <v>1936</v>
      </c>
      <c r="O266" t="s">
        <v>1937</v>
      </c>
      <c r="P266" t="s">
        <v>20</v>
      </c>
      <c r="Q266">
        <f>(VALUE(LEFT(SUBSTITUTE(O266,"T"," "),23)) - VALUE(LEFT(SUBSTITUTE(N266,"T"," "),23))) * 86400</f>
        <v>190.89000010862947</v>
      </c>
      <c r="R266">
        <f>I266/G266</f>
        <v>5.245488879563575E-2</v>
      </c>
      <c r="S266">
        <f>H266/G266</f>
        <v>0.34095677717163242</v>
      </c>
    </row>
    <row r="267" spans="1:19" x14ac:dyDescent="0.2">
      <c r="A267">
        <v>8</v>
      </c>
      <c r="B267" t="s">
        <v>21</v>
      </c>
      <c r="C267">
        <v>2</v>
      </c>
      <c r="D267">
        <v>1</v>
      </c>
      <c r="E267">
        <v>1022</v>
      </c>
      <c r="F267" t="b">
        <v>1</v>
      </c>
      <c r="G267">
        <v>59.136000000000003</v>
      </c>
      <c r="H267">
        <v>17</v>
      </c>
      <c r="I267">
        <v>1</v>
      </c>
      <c r="J267">
        <v>0.78</v>
      </c>
      <c r="K267" t="s">
        <v>1418</v>
      </c>
      <c r="L267">
        <v>0</v>
      </c>
      <c r="N267" t="s">
        <v>1419</v>
      </c>
      <c r="O267" t="s">
        <v>1420</v>
      </c>
      <c r="P267" t="s">
        <v>20</v>
      </c>
      <c r="Q267">
        <f>(VALUE(LEFT(SUBSTITUTE(O267,"T"," "),23)) - VALUE(LEFT(SUBSTITUTE(N267,"T"," "),23))) * 86400</f>
        <v>260.56500000413507</v>
      </c>
      <c r="R267">
        <f>I267/G267</f>
        <v>1.691017316017316E-2</v>
      </c>
      <c r="S267">
        <f>H267/G267</f>
        <v>0.28747294372294369</v>
      </c>
    </row>
    <row r="268" spans="1:19" hidden="1" x14ac:dyDescent="0.2">
      <c r="A268">
        <v>64</v>
      </c>
      <c r="B268" t="s">
        <v>16</v>
      </c>
      <c r="C268">
        <v>5</v>
      </c>
      <c r="D268">
        <v>3</v>
      </c>
      <c r="E268">
        <v>1009</v>
      </c>
      <c r="F268" t="b">
        <v>1</v>
      </c>
      <c r="G268">
        <v>69.212000000000003</v>
      </c>
      <c r="H268">
        <v>26</v>
      </c>
      <c r="I268">
        <v>0</v>
      </c>
      <c r="J268">
        <v>0</v>
      </c>
      <c r="K268" t="s">
        <v>1953</v>
      </c>
      <c r="L268">
        <v>0</v>
      </c>
      <c r="N268" t="s">
        <v>1954</v>
      </c>
      <c r="O268" t="s">
        <v>1955</v>
      </c>
      <c r="P268" t="s">
        <v>20</v>
      </c>
      <c r="Q268">
        <f>(VALUE(LEFT(SUBSTITUTE(O268,"T"," "),23)) - VALUE(LEFT(SUBSTITUTE(N268,"T"," "),23))) * 86400</f>
        <v>181.29699993878603</v>
      </c>
      <c r="R268">
        <f>I268/G268</f>
        <v>0</v>
      </c>
      <c r="S268">
        <f>H268/G268</f>
        <v>0.37565740045078888</v>
      </c>
    </row>
    <row r="269" spans="1:19" hidden="1" x14ac:dyDescent="0.2">
      <c r="A269">
        <v>67</v>
      </c>
      <c r="B269" t="s">
        <v>16</v>
      </c>
      <c r="C269">
        <v>10</v>
      </c>
      <c r="D269">
        <v>3</v>
      </c>
      <c r="E269">
        <v>1009</v>
      </c>
      <c r="F269" t="b">
        <v>1</v>
      </c>
      <c r="G269">
        <v>130.732</v>
      </c>
      <c r="H269">
        <v>25</v>
      </c>
      <c r="I269">
        <v>7</v>
      </c>
      <c r="J269">
        <v>1.2</v>
      </c>
      <c r="K269" t="s">
        <v>1962</v>
      </c>
      <c r="L269">
        <v>0</v>
      </c>
      <c r="N269" t="s">
        <v>1963</v>
      </c>
      <c r="O269" t="s">
        <v>1964</v>
      </c>
      <c r="P269" t="s">
        <v>20</v>
      </c>
      <c r="Q269">
        <f>(VALUE(LEFT(SUBSTITUTE(O269,"T"," "),23)) - VALUE(LEFT(SUBSTITUTE(N269,"T"," "),23))) * 86400</f>
        <v>324.54800012055784</v>
      </c>
      <c r="R269">
        <f>I269/G269</f>
        <v>5.3544656243306919E-2</v>
      </c>
      <c r="S269">
        <f>H269/G269</f>
        <v>0.19123091515466756</v>
      </c>
    </row>
    <row r="270" spans="1:19" hidden="1" x14ac:dyDescent="0.2">
      <c r="A270">
        <v>70</v>
      </c>
      <c r="B270" t="s">
        <v>16</v>
      </c>
      <c r="C270">
        <v>15</v>
      </c>
      <c r="D270">
        <v>3</v>
      </c>
      <c r="E270">
        <v>1009</v>
      </c>
      <c r="F270" t="b">
        <v>1</v>
      </c>
      <c r="G270">
        <v>53.271999999999998</v>
      </c>
      <c r="H270">
        <v>26</v>
      </c>
      <c r="I270">
        <v>5</v>
      </c>
      <c r="J270">
        <v>1.68</v>
      </c>
      <c r="K270" t="s">
        <v>1971</v>
      </c>
      <c r="L270">
        <v>0</v>
      </c>
      <c r="N270" t="s">
        <v>1972</v>
      </c>
      <c r="O270" t="s">
        <v>1973</v>
      </c>
      <c r="P270" t="s">
        <v>20</v>
      </c>
      <c r="Q270">
        <f>(VALUE(LEFT(SUBSTITUTE(O270,"T"," "),23)) - VALUE(LEFT(SUBSTITUTE(N270,"T"," "),23))) * 86400</f>
        <v>143.86300023179501</v>
      </c>
      <c r="R270">
        <f>I270/G270</f>
        <v>9.3857936627121191E-2</v>
      </c>
      <c r="S270">
        <f>H270/G270</f>
        <v>0.48806127046103021</v>
      </c>
    </row>
    <row r="271" spans="1:19" hidden="1" x14ac:dyDescent="0.2">
      <c r="A271">
        <v>73</v>
      </c>
      <c r="B271" t="s">
        <v>16</v>
      </c>
      <c r="C271">
        <v>20</v>
      </c>
      <c r="D271">
        <v>3</v>
      </c>
      <c r="E271">
        <v>1009</v>
      </c>
      <c r="F271" t="b">
        <v>1</v>
      </c>
      <c r="G271">
        <v>101.93600000000001</v>
      </c>
      <c r="H271">
        <v>24</v>
      </c>
      <c r="I271">
        <v>16</v>
      </c>
      <c r="J271">
        <v>3.36</v>
      </c>
      <c r="K271" t="s">
        <v>1980</v>
      </c>
      <c r="L271">
        <v>0</v>
      </c>
      <c r="N271" t="s">
        <v>1981</v>
      </c>
      <c r="O271" t="s">
        <v>1982</v>
      </c>
      <c r="P271" t="s">
        <v>20</v>
      </c>
      <c r="Q271">
        <f>(VALUE(LEFT(SUBSTITUTE(O271,"T"," "),23)) - VALUE(LEFT(SUBSTITUTE(N271,"T"," "),23))) * 86400</f>
        <v>245.86700024083257</v>
      </c>
      <c r="R271">
        <f>I271/G271</f>
        <v>0.15696123057604772</v>
      </c>
      <c r="S271">
        <f>H271/G271</f>
        <v>0.23544184586407155</v>
      </c>
    </row>
    <row r="272" spans="1:19" hidden="1" x14ac:dyDescent="0.2">
      <c r="A272">
        <v>76</v>
      </c>
      <c r="B272" t="s">
        <v>16</v>
      </c>
      <c r="C272">
        <v>50</v>
      </c>
      <c r="D272">
        <v>3</v>
      </c>
      <c r="E272">
        <v>1009</v>
      </c>
      <c r="F272" t="b">
        <v>1</v>
      </c>
      <c r="G272">
        <v>101.06</v>
      </c>
      <c r="H272">
        <v>23</v>
      </c>
      <c r="I272">
        <v>22</v>
      </c>
      <c r="J272">
        <v>5.22</v>
      </c>
      <c r="K272" t="s">
        <v>1989</v>
      </c>
      <c r="L272">
        <v>0</v>
      </c>
      <c r="N272" t="s">
        <v>1990</v>
      </c>
      <c r="O272" t="s">
        <v>1991</v>
      </c>
      <c r="P272" t="s">
        <v>20</v>
      </c>
      <c r="Q272">
        <f>(VALUE(LEFT(SUBSTITUTE(O272,"T"," "),23)) - VALUE(LEFT(SUBSTITUTE(N272,"T"," "),23))) * 86400</f>
        <v>164.71799989230931</v>
      </c>
      <c r="R272">
        <f>I272/G272</f>
        <v>0.21769245992479713</v>
      </c>
      <c r="S272">
        <f>H272/G272</f>
        <v>0.22758757173956065</v>
      </c>
    </row>
    <row r="273" spans="1:19" hidden="1" x14ac:dyDescent="0.2">
      <c r="A273">
        <v>79</v>
      </c>
      <c r="B273" t="s">
        <v>16</v>
      </c>
      <c r="C273">
        <v>70</v>
      </c>
      <c r="D273">
        <v>3</v>
      </c>
      <c r="E273">
        <v>1009</v>
      </c>
      <c r="F273" t="b">
        <v>1</v>
      </c>
      <c r="G273">
        <v>66.311999999999998</v>
      </c>
      <c r="H273">
        <v>26</v>
      </c>
      <c r="I273">
        <v>9</v>
      </c>
      <c r="J273">
        <v>1.26</v>
      </c>
      <c r="K273" t="s">
        <v>1998</v>
      </c>
      <c r="L273">
        <v>0</v>
      </c>
      <c r="N273" t="s">
        <v>1999</v>
      </c>
      <c r="O273" t="s">
        <v>2000</v>
      </c>
      <c r="P273" t="s">
        <v>20</v>
      </c>
      <c r="Q273">
        <f>(VALUE(LEFT(SUBSTITUTE(O273,"T"," "),23)) - VALUE(LEFT(SUBSTITUTE(N273,"T"," "),23))) * 86400</f>
        <v>103.49899982102215</v>
      </c>
      <c r="R273">
        <f>I273/G273</f>
        <v>0.13572204125950055</v>
      </c>
      <c r="S273">
        <f>H273/G273</f>
        <v>0.39208589697189045</v>
      </c>
    </row>
    <row r="274" spans="1:19" hidden="1" x14ac:dyDescent="0.2">
      <c r="A274">
        <v>111</v>
      </c>
      <c r="B274" t="s">
        <v>25</v>
      </c>
      <c r="C274">
        <v>-1</v>
      </c>
      <c r="D274">
        <v>5</v>
      </c>
      <c r="E274">
        <v>1006</v>
      </c>
      <c r="F274" t="b">
        <v>1</v>
      </c>
      <c r="G274">
        <v>34.64</v>
      </c>
      <c r="H274">
        <v>28</v>
      </c>
      <c r="I274">
        <v>8</v>
      </c>
      <c r="J274">
        <v>5.52</v>
      </c>
      <c r="K274" t="s">
        <v>863</v>
      </c>
      <c r="L274">
        <v>0</v>
      </c>
      <c r="N274" t="s">
        <v>864</v>
      </c>
      <c r="O274" t="s">
        <v>865</v>
      </c>
      <c r="P274" t="s">
        <v>20</v>
      </c>
      <c r="Q274">
        <f>(VALUE(LEFT(SUBSTITUTE(O274,"T"," "),23)) - VALUE(LEFT(SUBSTITUTE(N274,"T"," "),23))) * 86400</f>
        <v>136.20900018140674</v>
      </c>
      <c r="R274">
        <f>I274/G274</f>
        <v>0.23094688221709006</v>
      </c>
      <c r="S274">
        <f>H274/G274</f>
        <v>0.80831408775981528</v>
      </c>
    </row>
    <row r="275" spans="1:19" hidden="1" x14ac:dyDescent="0.2">
      <c r="A275">
        <v>5</v>
      </c>
      <c r="B275" t="s">
        <v>21</v>
      </c>
      <c r="C275">
        <v>0</v>
      </c>
      <c r="D275">
        <v>1</v>
      </c>
      <c r="E275">
        <v>1010</v>
      </c>
      <c r="F275" t="b">
        <v>1</v>
      </c>
      <c r="G275">
        <v>99.215999999999994</v>
      </c>
      <c r="H275">
        <v>29</v>
      </c>
      <c r="I275">
        <v>2</v>
      </c>
      <c r="J275">
        <v>1.08</v>
      </c>
      <c r="K275" t="s">
        <v>122</v>
      </c>
      <c r="L275">
        <v>0</v>
      </c>
      <c r="N275" t="s">
        <v>123</v>
      </c>
      <c r="O275" t="s">
        <v>124</v>
      </c>
      <c r="P275" t="s">
        <v>20</v>
      </c>
      <c r="Q275">
        <f>(VALUE(LEFT(SUBSTITUTE(O275,"T"," "),23)) - VALUE(LEFT(SUBSTITUTE(N275,"T"," "),23))) * 86400</f>
        <v>432.15400027111173</v>
      </c>
      <c r="R275">
        <f>I275/G275</f>
        <v>2.0158039025963557E-2</v>
      </c>
      <c r="S275">
        <f>H275/G275</f>
        <v>0.29229156587647154</v>
      </c>
    </row>
    <row r="276" spans="1:19" x14ac:dyDescent="0.2">
      <c r="A276" s="1">
        <v>7</v>
      </c>
      <c r="B276" s="1" t="s">
        <v>16</v>
      </c>
      <c r="C276" s="1">
        <v>2</v>
      </c>
      <c r="D276" s="1">
        <v>1</v>
      </c>
      <c r="E276" s="1">
        <v>1011</v>
      </c>
      <c r="F276" s="1" t="b">
        <v>1</v>
      </c>
      <c r="G276" s="1">
        <v>76.323999999999998</v>
      </c>
      <c r="H276" s="1">
        <v>22</v>
      </c>
      <c r="I276" s="1">
        <v>3</v>
      </c>
      <c r="J276" s="1">
        <v>0.78</v>
      </c>
      <c r="K276" s="1" t="s">
        <v>389</v>
      </c>
      <c r="L276" s="1">
        <v>0</v>
      </c>
      <c r="M276" s="1"/>
      <c r="N276" s="1" t="s">
        <v>390</v>
      </c>
      <c r="O276" s="1" t="s">
        <v>391</v>
      </c>
      <c r="P276" s="1" t="s">
        <v>20</v>
      </c>
      <c r="Q276">
        <f>(VALUE(LEFT(SUBSTITUTE(O276,"T"," "),23)) - VALUE(LEFT(SUBSTITUTE(N276,"T"," "),23))) * 86400</f>
        <v>302.595000481233</v>
      </c>
      <c r="R276">
        <f>I276/G276</f>
        <v>3.9306116031654528E-2</v>
      </c>
      <c r="S276">
        <f>H276/G276</f>
        <v>0.28824485089879986</v>
      </c>
    </row>
    <row r="277" spans="1:19" hidden="1" x14ac:dyDescent="0.2">
      <c r="A277">
        <v>11</v>
      </c>
      <c r="B277" t="s">
        <v>21</v>
      </c>
      <c r="C277">
        <v>5</v>
      </c>
      <c r="D277">
        <v>1</v>
      </c>
      <c r="E277">
        <v>1010</v>
      </c>
      <c r="F277" t="b">
        <v>1</v>
      </c>
      <c r="G277">
        <v>55.835999999999999</v>
      </c>
      <c r="H277">
        <v>28</v>
      </c>
      <c r="I277">
        <v>4</v>
      </c>
      <c r="J277">
        <v>1.2</v>
      </c>
      <c r="K277" t="s">
        <v>140</v>
      </c>
      <c r="L277">
        <v>0</v>
      </c>
      <c r="N277" t="s">
        <v>141</v>
      </c>
      <c r="O277" t="s">
        <v>142</v>
      </c>
      <c r="P277" t="s">
        <v>20</v>
      </c>
      <c r="Q277">
        <f>(VALUE(LEFT(SUBSTITUTE(O277,"T"," "),23)) - VALUE(LEFT(SUBSTITUTE(N277,"T"," "),23))) * 86400</f>
        <v>325.15200006309897</v>
      </c>
      <c r="R277">
        <f>I277/G277</f>
        <v>7.163836951070994E-2</v>
      </c>
      <c r="S277">
        <f>H277/G277</f>
        <v>0.50146858657496962</v>
      </c>
    </row>
    <row r="278" spans="1:19" hidden="1" x14ac:dyDescent="0.2">
      <c r="A278">
        <v>14</v>
      </c>
      <c r="B278" t="s">
        <v>21</v>
      </c>
      <c r="C278">
        <v>10</v>
      </c>
      <c r="D278">
        <v>1</v>
      </c>
      <c r="E278">
        <v>1010</v>
      </c>
      <c r="F278" t="b">
        <v>1</v>
      </c>
      <c r="G278">
        <v>98.623999999999995</v>
      </c>
      <c r="H278">
        <v>25</v>
      </c>
      <c r="I278">
        <v>10</v>
      </c>
      <c r="J278">
        <v>3.06</v>
      </c>
      <c r="K278" t="s">
        <v>149</v>
      </c>
      <c r="L278">
        <v>0</v>
      </c>
      <c r="N278" t="s">
        <v>150</v>
      </c>
      <c r="O278" t="s">
        <v>151</v>
      </c>
      <c r="P278" t="s">
        <v>20</v>
      </c>
      <c r="Q278">
        <f>(VALUE(LEFT(SUBSTITUTE(O278,"T"," "),23)) - VALUE(LEFT(SUBSTITUTE(N278,"T"," "),23))) * 86400</f>
        <v>355.5040004896</v>
      </c>
      <c r="R278">
        <f>I278/G278</f>
        <v>0.10139519792342636</v>
      </c>
      <c r="S278">
        <f>H278/G278</f>
        <v>0.25348799480856588</v>
      </c>
    </row>
    <row r="279" spans="1:19" hidden="1" x14ac:dyDescent="0.2">
      <c r="A279">
        <v>17</v>
      </c>
      <c r="B279" t="s">
        <v>21</v>
      </c>
      <c r="C279">
        <v>15</v>
      </c>
      <c r="D279">
        <v>1</v>
      </c>
      <c r="E279">
        <v>1010</v>
      </c>
      <c r="F279" t="b">
        <v>1</v>
      </c>
      <c r="G279">
        <v>91.768000000000001</v>
      </c>
      <c r="H279">
        <v>27</v>
      </c>
      <c r="I279">
        <v>7</v>
      </c>
      <c r="J279">
        <v>1.5</v>
      </c>
      <c r="K279" t="s">
        <v>158</v>
      </c>
      <c r="L279">
        <v>0</v>
      </c>
      <c r="N279" t="s">
        <v>159</v>
      </c>
      <c r="O279" t="s">
        <v>160</v>
      </c>
      <c r="P279" t="s">
        <v>20</v>
      </c>
      <c r="Q279">
        <f>(VALUE(LEFT(SUBSTITUTE(O279,"T"," "),23)) - VALUE(LEFT(SUBSTITUTE(N279,"T"," "),23))) * 86400</f>
        <v>410.02399998251349</v>
      </c>
      <c r="R279">
        <f>I279/G279</f>
        <v>7.6279313050300751E-2</v>
      </c>
      <c r="S279">
        <f>H279/G279</f>
        <v>0.29422020747973149</v>
      </c>
    </row>
    <row r="280" spans="1:19" hidden="1" x14ac:dyDescent="0.2">
      <c r="A280">
        <v>20</v>
      </c>
      <c r="B280" t="s">
        <v>21</v>
      </c>
      <c r="C280">
        <v>20</v>
      </c>
      <c r="D280">
        <v>1</v>
      </c>
      <c r="E280">
        <v>1010</v>
      </c>
      <c r="F280" t="b">
        <v>1</v>
      </c>
      <c r="G280">
        <v>83.56</v>
      </c>
      <c r="H280">
        <v>29</v>
      </c>
      <c r="I280">
        <v>13</v>
      </c>
      <c r="J280">
        <v>1.2</v>
      </c>
      <c r="K280" t="s">
        <v>167</v>
      </c>
      <c r="L280">
        <v>0</v>
      </c>
      <c r="N280" t="s">
        <v>168</v>
      </c>
      <c r="O280" t="s">
        <v>169</v>
      </c>
      <c r="P280" t="s">
        <v>20</v>
      </c>
      <c r="Q280">
        <f>(VALUE(LEFT(SUBSTITUTE(O280,"T"," "),23)) - VALUE(LEFT(SUBSTITUTE(N280,"T"," "),23))) * 86400</f>
        <v>383.45499993301928</v>
      </c>
      <c r="R280">
        <f>I280/G280</f>
        <v>0.1555768310196266</v>
      </c>
      <c r="S280">
        <f>H280/G280</f>
        <v>0.34705600765916705</v>
      </c>
    </row>
    <row r="281" spans="1:19" hidden="1" x14ac:dyDescent="0.2">
      <c r="A281">
        <v>23</v>
      </c>
      <c r="B281" t="s">
        <v>21</v>
      </c>
      <c r="C281">
        <v>50</v>
      </c>
      <c r="D281">
        <v>1</v>
      </c>
      <c r="E281">
        <v>1010</v>
      </c>
      <c r="F281" t="b">
        <v>1</v>
      </c>
      <c r="G281">
        <v>62.548000000000002</v>
      </c>
      <c r="H281">
        <v>27</v>
      </c>
      <c r="I281">
        <v>13</v>
      </c>
      <c r="J281">
        <v>2.2799999999999998</v>
      </c>
      <c r="K281" t="s">
        <v>176</v>
      </c>
      <c r="L281">
        <v>0</v>
      </c>
      <c r="N281" t="s">
        <v>177</v>
      </c>
      <c r="O281" t="s">
        <v>178</v>
      </c>
      <c r="P281" t="s">
        <v>20</v>
      </c>
      <c r="Q281">
        <f>(VALUE(LEFT(SUBSTITUTE(O281,"T"," "),23)) - VALUE(LEFT(SUBSTITUTE(N281,"T"," "),23))) * 86400</f>
        <v>230.3329999325797</v>
      </c>
      <c r="R281">
        <f>I281/G281</f>
        <v>0.20784037858924345</v>
      </c>
      <c r="S281">
        <f>H281/G281</f>
        <v>0.43166847860842872</v>
      </c>
    </row>
    <row r="282" spans="1:19" hidden="1" x14ac:dyDescent="0.2">
      <c r="A282">
        <v>26</v>
      </c>
      <c r="B282" t="s">
        <v>21</v>
      </c>
      <c r="C282">
        <v>70</v>
      </c>
      <c r="D282">
        <v>1</v>
      </c>
      <c r="E282">
        <v>1010</v>
      </c>
      <c r="F282" t="b">
        <v>1</v>
      </c>
      <c r="G282">
        <v>65.864000000000004</v>
      </c>
      <c r="H282">
        <v>28</v>
      </c>
      <c r="I282">
        <v>12</v>
      </c>
      <c r="J282">
        <v>2.34</v>
      </c>
      <c r="K282" t="s">
        <v>185</v>
      </c>
      <c r="L282">
        <v>0</v>
      </c>
      <c r="N282" t="s">
        <v>186</v>
      </c>
      <c r="O282" t="s">
        <v>187</v>
      </c>
      <c r="P282" t="s">
        <v>20</v>
      </c>
      <c r="Q282">
        <f>(VALUE(LEFT(SUBSTITUTE(O282,"T"," "),23)) - VALUE(LEFT(SUBSTITUTE(N282,"T"," "),23))) * 86400</f>
        <v>312.205999949947</v>
      </c>
      <c r="R282">
        <f>I282/G282</f>
        <v>0.18219361107737153</v>
      </c>
      <c r="S282">
        <f>H282/G282</f>
        <v>0.42511842584720028</v>
      </c>
    </row>
    <row r="283" spans="1:19" hidden="1" x14ac:dyDescent="0.2">
      <c r="A283">
        <v>29</v>
      </c>
      <c r="B283" t="s">
        <v>21</v>
      </c>
      <c r="C283">
        <v>100</v>
      </c>
      <c r="D283">
        <v>1</v>
      </c>
      <c r="E283">
        <v>1010</v>
      </c>
      <c r="F283" t="b">
        <v>1</v>
      </c>
      <c r="G283">
        <v>61.768000000000001</v>
      </c>
      <c r="H283">
        <v>27</v>
      </c>
      <c r="I283">
        <v>11</v>
      </c>
      <c r="J283">
        <v>4.1399999999999997</v>
      </c>
      <c r="K283" t="s">
        <v>194</v>
      </c>
      <c r="L283">
        <v>0</v>
      </c>
      <c r="N283" t="s">
        <v>195</v>
      </c>
      <c r="O283" t="s">
        <v>196</v>
      </c>
      <c r="P283" t="s">
        <v>20</v>
      </c>
      <c r="Q283">
        <f>(VALUE(LEFT(SUBSTITUTE(O283,"T"," "),23)) - VALUE(LEFT(SUBSTITUTE(N283,"T"," "),23))) * 86400</f>
        <v>248.96999965421855</v>
      </c>
      <c r="R283">
        <f>I283/G283</f>
        <v>0.17808574018909468</v>
      </c>
      <c r="S283">
        <f>H283/G283</f>
        <v>0.43711954410050513</v>
      </c>
    </row>
    <row r="284" spans="1:19" hidden="1" x14ac:dyDescent="0.2">
      <c r="A284">
        <v>84</v>
      </c>
      <c r="B284" t="s">
        <v>25</v>
      </c>
      <c r="C284">
        <v>-1</v>
      </c>
      <c r="D284">
        <v>4</v>
      </c>
      <c r="E284">
        <v>1005</v>
      </c>
      <c r="F284" t="b">
        <v>1</v>
      </c>
      <c r="G284">
        <v>39.783999999999999</v>
      </c>
      <c r="H284">
        <v>32</v>
      </c>
      <c r="I284">
        <v>5</v>
      </c>
      <c r="J284">
        <v>3.54</v>
      </c>
      <c r="K284" t="s">
        <v>782</v>
      </c>
      <c r="L284">
        <v>0</v>
      </c>
      <c r="N284" t="s">
        <v>783</v>
      </c>
      <c r="O284" t="s">
        <v>784</v>
      </c>
      <c r="P284" t="s">
        <v>20</v>
      </c>
      <c r="Q284">
        <f>(VALUE(LEFT(SUBSTITUTE(O284,"T"," "),23)) - VALUE(LEFT(SUBSTITUTE(N284,"T"," "),23))) * 86400</f>
        <v>142.97699995804578</v>
      </c>
      <c r="R284">
        <f>I284/G284</f>
        <v>0.12567866478986528</v>
      </c>
      <c r="S284">
        <f>H284/G284</f>
        <v>0.80434345465513779</v>
      </c>
    </row>
    <row r="285" spans="1:19" hidden="1" x14ac:dyDescent="0.2">
      <c r="A285">
        <v>6</v>
      </c>
      <c r="B285" t="s">
        <v>25</v>
      </c>
      <c r="C285">
        <v>0</v>
      </c>
      <c r="D285">
        <v>1</v>
      </c>
      <c r="E285">
        <v>1010</v>
      </c>
      <c r="F285" t="b">
        <v>1</v>
      </c>
      <c r="G285">
        <v>44.496000000000002</v>
      </c>
      <c r="H285">
        <v>31</v>
      </c>
      <c r="I285">
        <v>1</v>
      </c>
      <c r="J285">
        <v>0.06</v>
      </c>
      <c r="K285" t="s">
        <v>125</v>
      </c>
      <c r="L285">
        <v>0</v>
      </c>
      <c r="N285" t="s">
        <v>126</v>
      </c>
      <c r="O285" t="s">
        <v>127</v>
      </c>
      <c r="P285" t="s">
        <v>20</v>
      </c>
      <c r="Q285">
        <f>(VALUE(LEFT(SUBSTITUTE(O285,"T"," "),23)) - VALUE(LEFT(SUBSTITUTE(N285,"T"," "),23))) * 86400</f>
        <v>154.90799979306757</v>
      </c>
      <c r="R285">
        <f>I285/G285</f>
        <v>2.247393024092053E-2</v>
      </c>
      <c r="S285">
        <f>H285/G285</f>
        <v>0.69669183746853647</v>
      </c>
    </row>
    <row r="286" spans="1:19" x14ac:dyDescent="0.2">
      <c r="A286">
        <v>13</v>
      </c>
      <c r="B286" t="s">
        <v>2531</v>
      </c>
      <c r="C286">
        <v>2</v>
      </c>
      <c r="D286">
        <v>2</v>
      </c>
      <c r="E286">
        <v>1011</v>
      </c>
      <c r="F286" t="b">
        <v>1</v>
      </c>
      <c r="G286">
        <v>76.14</v>
      </c>
      <c r="H286">
        <v>22</v>
      </c>
      <c r="I286">
        <v>3</v>
      </c>
      <c r="J286">
        <v>0.24</v>
      </c>
      <c r="K286" t="s">
        <v>2688</v>
      </c>
      <c r="L286">
        <v>0</v>
      </c>
      <c r="N286" t="s">
        <v>2689</v>
      </c>
      <c r="O286" t="s">
        <v>2690</v>
      </c>
      <c r="P286" t="s">
        <v>20</v>
      </c>
      <c r="Q286">
        <f>(VALUE(LEFT(SUBSTITUTE(O286,"T"," "),23)) - VALUE(LEFT(SUBSTITUTE(N286,"T"," "),23))) * 86400</f>
        <v>409.85100001562387</v>
      </c>
      <c r="R286">
        <f>I286/G286</f>
        <v>3.9401103230890466E-2</v>
      </c>
      <c r="S286">
        <f>H286/G286</f>
        <v>0.28894142369319675</v>
      </c>
    </row>
    <row r="287" spans="1:19" hidden="1" x14ac:dyDescent="0.2">
      <c r="A287">
        <v>12</v>
      </c>
      <c r="B287" t="s">
        <v>25</v>
      </c>
      <c r="C287">
        <v>5</v>
      </c>
      <c r="D287">
        <v>1</v>
      </c>
      <c r="E287">
        <v>1010</v>
      </c>
      <c r="F287" t="b">
        <v>1</v>
      </c>
      <c r="G287">
        <v>38.207999999999998</v>
      </c>
      <c r="H287">
        <v>31</v>
      </c>
      <c r="I287">
        <v>1</v>
      </c>
      <c r="J287">
        <v>0.06</v>
      </c>
      <c r="K287" t="s">
        <v>143</v>
      </c>
      <c r="L287">
        <v>0</v>
      </c>
      <c r="N287" t="s">
        <v>144</v>
      </c>
      <c r="O287" t="s">
        <v>145</v>
      </c>
      <c r="P287" t="s">
        <v>20</v>
      </c>
      <c r="Q287">
        <f>(VALUE(LEFT(SUBSTITUTE(O287,"T"," "),23)) - VALUE(LEFT(SUBSTITUTE(N287,"T"," "),23))) * 86400</f>
        <v>149.27099996712059</v>
      </c>
      <c r="R287">
        <f>I287/G287</f>
        <v>2.6172529313232832E-2</v>
      </c>
      <c r="S287">
        <f>H287/G287</f>
        <v>0.81134840871021774</v>
      </c>
    </row>
    <row r="288" spans="1:19" hidden="1" x14ac:dyDescent="0.2">
      <c r="A288">
        <v>15</v>
      </c>
      <c r="B288" t="s">
        <v>25</v>
      </c>
      <c r="C288">
        <v>10</v>
      </c>
      <c r="D288">
        <v>1</v>
      </c>
      <c r="E288">
        <v>1010</v>
      </c>
      <c r="F288" t="b">
        <v>1</v>
      </c>
      <c r="G288">
        <v>51.136000000000003</v>
      </c>
      <c r="H288">
        <v>30</v>
      </c>
      <c r="I288">
        <v>2</v>
      </c>
      <c r="J288">
        <v>1.32</v>
      </c>
      <c r="K288" t="s">
        <v>152</v>
      </c>
      <c r="L288">
        <v>0</v>
      </c>
      <c r="N288" t="s">
        <v>153</v>
      </c>
      <c r="O288" t="s">
        <v>154</v>
      </c>
      <c r="P288" t="s">
        <v>20</v>
      </c>
      <c r="Q288">
        <f>(VALUE(LEFT(SUBSTITUTE(O288,"T"," "),23)) - VALUE(LEFT(SUBSTITUTE(N288,"T"," "),23))) * 86400</f>
        <v>184.7070001764223</v>
      </c>
      <c r="R288">
        <f>I288/G288</f>
        <v>3.9111389236545682E-2</v>
      </c>
      <c r="S288">
        <f>H288/G288</f>
        <v>0.58667083854818525</v>
      </c>
    </row>
    <row r="289" spans="1:19" hidden="1" x14ac:dyDescent="0.2">
      <c r="A289">
        <v>18</v>
      </c>
      <c r="B289" t="s">
        <v>25</v>
      </c>
      <c r="C289">
        <v>15</v>
      </c>
      <c r="D289">
        <v>1</v>
      </c>
      <c r="E289">
        <v>1010</v>
      </c>
      <c r="F289" t="b">
        <v>1</v>
      </c>
      <c r="G289">
        <v>42.911999999999999</v>
      </c>
      <c r="H289">
        <v>26</v>
      </c>
      <c r="I289">
        <v>4</v>
      </c>
      <c r="J289">
        <v>0.72</v>
      </c>
      <c r="K289" t="s">
        <v>161</v>
      </c>
      <c r="L289">
        <v>0</v>
      </c>
      <c r="N289" t="s">
        <v>162</v>
      </c>
      <c r="O289" t="s">
        <v>163</v>
      </c>
      <c r="P289" t="s">
        <v>20</v>
      </c>
      <c r="Q289">
        <f>(VALUE(LEFT(SUBSTITUTE(O289,"T"," "),23)) - VALUE(LEFT(SUBSTITUTE(N289,"T"," "),23))) * 86400</f>
        <v>242.82000032253563</v>
      </c>
      <c r="R289">
        <f>I289/G289</f>
        <v>9.3214019388516034E-2</v>
      </c>
      <c r="S289">
        <f>H289/G289</f>
        <v>0.60589112602535422</v>
      </c>
    </row>
    <row r="290" spans="1:19" hidden="1" x14ac:dyDescent="0.2">
      <c r="A290">
        <v>21</v>
      </c>
      <c r="B290" t="s">
        <v>25</v>
      </c>
      <c r="C290">
        <v>20</v>
      </c>
      <c r="D290">
        <v>1</v>
      </c>
      <c r="E290">
        <v>1010</v>
      </c>
      <c r="F290" t="b">
        <v>1</v>
      </c>
      <c r="G290">
        <v>29.047999999999998</v>
      </c>
      <c r="H290">
        <v>31</v>
      </c>
      <c r="I290">
        <v>3</v>
      </c>
      <c r="J290">
        <v>0.18</v>
      </c>
      <c r="K290" t="s">
        <v>170</v>
      </c>
      <c r="L290">
        <v>0</v>
      </c>
      <c r="N290" t="s">
        <v>171</v>
      </c>
      <c r="O290" t="s">
        <v>172</v>
      </c>
      <c r="P290" t="s">
        <v>20</v>
      </c>
      <c r="Q290">
        <f>(VALUE(LEFT(SUBSTITUTE(O290,"T"," "),23)) - VALUE(LEFT(SUBSTITUTE(N290,"T"," "),23))) * 86400</f>
        <v>127.1039996528998</v>
      </c>
      <c r="R290">
        <f>I290/G290</f>
        <v>0.10327733406774994</v>
      </c>
      <c r="S290">
        <f>H290/G290</f>
        <v>1.0671991187000827</v>
      </c>
    </row>
    <row r="291" spans="1:19" hidden="1" x14ac:dyDescent="0.2">
      <c r="A291">
        <v>24</v>
      </c>
      <c r="B291" t="s">
        <v>25</v>
      </c>
      <c r="C291">
        <v>50</v>
      </c>
      <c r="D291">
        <v>1</v>
      </c>
      <c r="E291">
        <v>1010</v>
      </c>
      <c r="F291" t="b">
        <v>1</v>
      </c>
      <c r="G291">
        <v>33.671999999999997</v>
      </c>
      <c r="H291">
        <v>30</v>
      </c>
      <c r="I291">
        <v>6</v>
      </c>
      <c r="J291">
        <v>1.62</v>
      </c>
      <c r="K291" t="s">
        <v>179</v>
      </c>
      <c r="L291">
        <v>0</v>
      </c>
      <c r="N291" t="s">
        <v>180</v>
      </c>
      <c r="O291" t="s">
        <v>181</v>
      </c>
      <c r="P291" t="s">
        <v>20</v>
      </c>
      <c r="Q291">
        <f>(VALUE(LEFT(SUBSTITUTE(O291,"T"," "),23)) - VALUE(LEFT(SUBSTITUTE(N291,"T"," "),23))) * 86400</f>
        <v>152.09600036032498</v>
      </c>
      <c r="R291">
        <f>I291/G291</f>
        <v>0.1781895937277263</v>
      </c>
      <c r="S291">
        <f>H291/G291</f>
        <v>0.89094796863863157</v>
      </c>
    </row>
    <row r="292" spans="1:19" hidden="1" x14ac:dyDescent="0.2">
      <c r="A292">
        <v>27</v>
      </c>
      <c r="B292" t="s">
        <v>25</v>
      </c>
      <c r="C292">
        <v>70</v>
      </c>
      <c r="D292">
        <v>1</v>
      </c>
      <c r="E292">
        <v>1010</v>
      </c>
      <c r="F292" t="b">
        <v>1</v>
      </c>
      <c r="G292">
        <v>46.116</v>
      </c>
      <c r="H292">
        <v>30</v>
      </c>
      <c r="I292">
        <v>8</v>
      </c>
      <c r="J292">
        <v>1.98</v>
      </c>
      <c r="K292" t="s">
        <v>188</v>
      </c>
      <c r="L292">
        <v>0</v>
      </c>
      <c r="N292" t="s">
        <v>189</v>
      </c>
      <c r="O292" t="s">
        <v>190</v>
      </c>
      <c r="P292" t="s">
        <v>20</v>
      </c>
      <c r="Q292">
        <f>(VALUE(LEFT(SUBSTITUTE(O292,"T"," "),23)) - VALUE(LEFT(SUBSTITUTE(N292,"T"," "),23))) * 86400</f>
        <v>208.18999994080514</v>
      </c>
      <c r="R292">
        <f>I292/G292</f>
        <v>0.17347558331164889</v>
      </c>
      <c r="S292">
        <f>H292/G292</f>
        <v>0.6505334374186833</v>
      </c>
    </row>
    <row r="293" spans="1:19" hidden="1" x14ac:dyDescent="0.2">
      <c r="A293">
        <v>30</v>
      </c>
      <c r="B293" t="s">
        <v>25</v>
      </c>
      <c r="C293">
        <v>100</v>
      </c>
      <c r="D293">
        <v>1</v>
      </c>
      <c r="E293">
        <v>1010</v>
      </c>
      <c r="F293" t="b">
        <v>1</v>
      </c>
      <c r="G293">
        <v>40.18</v>
      </c>
      <c r="H293">
        <v>31</v>
      </c>
      <c r="I293">
        <v>7</v>
      </c>
      <c r="J293">
        <v>1.92</v>
      </c>
      <c r="K293" t="s">
        <v>197</v>
      </c>
      <c r="L293">
        <v>0</v>
      </c>
      <c r="N293" t="s">
        <v>198</v>
      </c>
      <c r="O293" t="s">
        <v>199</v>
      </c>
      <c r="P293" t="s">
        <v>20</v>
      </c>
      <c r="Q293">
        <f>(VALUE(LEFT(SUBSTITUTE(O293,"T"," "),23)) - VALUE(LEFT(SUBSTITUTE(N293,"T"," "),23))) * 86400</f>
        <v>180.29099993873388</v>
      </c>
      <c r="R293">
        <f>I293/G293</f>
        <v>0.17421602787456447</v>
      </c>
      <c r="S293">
        <f>H293/G293</f>
        <v>0.77152812344449972</v>
      </c>
    </row>
    <row r="294" spans="1:19" hidden="1" x14ac:dyDescent="0.2">
      <c r="A294">
        <v>32</v>
      </c>
      <c r="B294" t="s">
        <v>25</v>
      </c>
      <c r="C294">
        <v>-1</v>
      </c>
      <c r="D294">
        <v>4</v>
      </c>
      <c r="E294">
        <v>1013</v>
      </c>
      <c r="F294" t="b">
        <v>1</v>
      </c>
      <c r="G294">
        <v>32.396000000000001</v>
      </c>
      <c r="H294">
        <v>26</v>
      </c>
      <c r="I294">
        <v>6</v>
      </c>
      <c r="J294">
        <v>6.9</v>
      </c>
      <c r="K294" t="s">
        <v>3643</v>
      </c>
      <c r="L294">
        <v>0</v>
      </c>
      <c r="N294" t="s">
        <v>3644</v>
      </c>
      <c r="O294" t="s">
        <v>3645</v>
      </c>
      <c r="P294" t="s">
        <v>20</v>
      </c>
      <c r="Q294">
        <f>(VALUE(LEFT(SUBSTITUTE(O294,"T"," "),23)) - VALUE(LEFT(SUBSTITUTE(N294,"T"," "),23))) * 86400</f>
        <v>125.48300034832209</v>
      </c>
      <c r="R294">
        <f>I294/G294</f>
        <v>0.18520805037658969</v>
      </c>
      <c r="S294">
        <f>H294/G294</f>
        <v>0.8025682182985554</v>
      </c>
    </row>
    <row r="295" spans="1:19" hidden="1" x14ac:dyDescent="0.2">
      <c r="A295">
        <v>4</v>
      </c>
      <c r="B295" t="s">
        <v>16</v>
      </c>
      <c r="C295">
        <v>0</v>
      </c>
      <c r="D295">
        <v>1</v>
      </c>
      <c r="E295">
        <v>1010</v>
      </c>
      <c r="F295" t="b">
        <v>1</v>
      </c>
      <c r="G295">
        <v>112.24</v>
      </c>
      <c r="H295">
        <v>25</v>
      </c>
      <c r="I295">
        <v>3</v>
      </c>
      <c r="J295">
        <v>0.18</v>
      </c>
      <c r="K295" t="s">
        <v>119</v>
      </c>
      <c r="L295">
        <v>0</v>
      </c>
      <c r="N295" t="s">
        <v>120</v>
      </c>
      <c r="O295" t="s">
        <v>121</v>
      </c>
      <c r="P295" t="s">
        <v>20</v>
      </c>
      <c r="Q295">
        <f>(VALUE(LEFT(SUBSTITUTE(O295,"T"," "),23)) - VALUE(LEFT(SUBSTITUTE(N295,"T"," "),23))) * 86400</f>
        <v>372.74700002744794</v>
      </c>
      <c r="R295">
        <f>I295/G295</f>
        <v>2.6728439059158945E-2</v>
      </c>
      <c r="S295">
        <f>H295/G295</f>
        <v>0.22273699215965789</v>
      </c>
    </row>
    <row r="296" spans="1:19" x14ac:dyDescent="0.2">
      <c r="A296">
        <v>61</v>
      </c>
      <c r="B296" t="s">
        <v>16</v>
      </c>
      <c r="C296">
        <v>2</v>
      </c>
      <c r="D296">
        <v>3</v>
      </c>
      <c r="E296">
        <v>1004</v>
      </c>
      <c r="F296" t="b">
        <v>1</v>
      </c>
      <c r="G296">
        <v>85.772000000000006</v>
      </c>
      <c r="H296">
        <v>25</v>
      </c>
      <c r="I296">
        <v>0</v>
      </c>
      <c r="J296">
        <v>0</v>
      </c>
      <c r="K296" t="s">
        <v>713</v>
      </c>
      <c r="L296">
        <v>0</v>
      </c>
      <c r="N296" t="s">
        <v>714</v>
      </c>
      <c r="O296" t="s">
        <v>715</v>
      </c>
      <c r="P296" t="s">
        <v>20</v>
      </c>
      <c r="Q296">
        <f>(VALUE(LEFT(SUBSTITUTE(O296,"T"," "),23)) - VALUE(LEFT(SUBSTITUTE(N296,"T"," "),23))) * 86400</f>
        <v>375.04400024190545</v>
      </c>
      <c r="R296">
        <f>I296/G296</f>
        <v>0</v>
      </c>
      <c r="S296">
        <f>H296/G296</f>
        <v>0.29147040992398449</v>
      </c>
    </row>
    <row r="297" spans="1:19" hidden="1" x14ac:dyDescent="0.2">
      <c r="A297">
        <v>10</v>
      </c>
      <c r="B297" t="s">
        <v>16</v>
      </c>
      <c r="C297">
        <v>5</v>
      </c>
      <c r="D297">
        <v>1</v>
      </c>
      <c r="E297">
        <v>1010</v>
      </c>
      <c r="F297" t="b">
        <v>1</v>
      </c>
      <c r="G297">
        <v>54.536000000000001</v>
      </c>
      <c r="H297">
        <v>28</v>
      </c>
      <c r="I297">
        <v>1</v>
      </c>
      <c r="J297">
        <v>0.06</v>
      </c>
      <c r="K297" t="s">
        <v>137</v>
      </c>
      <c r="L297">
        <v>0</v>
      </c>
      <c r="N297" t="s">
        <v>138</v>
      </c>
      <c r="O297" t="s">
        <v>139</v>
      </c>
      <c r="P297" t="s">
        <v>20</v>
      </c>
      <c r="Q297">
        <f>(VALUE(LEFT(SUBSTITUTE(O297,"T"," "),23)) - VALUE(LEFT(SUBSTITUTE(N297,"T"," "),23))) * 86400</f>
        <v>259.27000036463141</v>
      </c>
      <c r="R297">
        <f>I297/G297</f>
        <v>1.8336511662021417E-2</v>
      </c>
      <c r="S297">
        <f>H297/G297</f>
        <v>0.51342232653659969</v>
      </c>
    </row>
    <row r="298" spans="1:19" hidden="1" x14ac:dyDescent="0.2">
      <c r="A298">
        <v>13</v>
      </c>
      <c r="B298" t="s">
        <v>16</v>
      </c>
      <c r="C298">
        <v>10</v>
      </c>
      <c r="D298">
        <v>1</v>
      </c>
      <c r="E298">
        <v>1010</v>
      </c>
      <c r="F298" t="b">
        <v>1</v>
      </c>
      <c r="G298">
        <v>113.94799999999999</v>
      </c>
      <c r="H298">
        <v>26</v>
      </c>
      <c r="I298">
        <v>22</v>
      </c>
      <c r="J298">
        <v>3.24</v>
      </c>
      <c r="K298" t="s">
        <v>146</v>
      </c>
      <c r="L298">
        <v>0</v>
      </c>
      <c r="N298" t="s">
        <v>147</v>
      </c>
      <c r="O298" t="s">
        <v>148</v>
      </c>
      <c r="P298" t="s">
        <v>20</v>
      </c>
      <c r="Q298">
        <f>(VALUE(LEFT(SUBSTITUTE(O298,"T"," "),23)) - VALUE(LEFT(SUBSTITUTE(N298,"T"," "),23))) * 86400</f>
        <v>409.92700040806085</v>
      </c>
      <c r="R298">
        <f>I298/G298</f>
        <v>0.19307052339663708</v>
      </c>
      <c r="S298">
        <f>H298/G298</f>
        <v>0.22817425492329835</v>
      </c>
    </row>
    <row r="299" spans="1:19" hidden="1" x14ac:dyDescent="0.2">
      <c r="A299">
        <v>16</v>
      </c>
      <c r="B299" t="s">
        <v>16</v>
      </c>
      <c r="C299">
        <v>15</v>
      </c>
      <c r="D299">
        <v>1</v>
      </c>
      <c r="E299">
        <v>1010</v>
      </c>
      <c r="F299" t="b">
        <v>1</v>
      </c>
      <c r="G299">
        <v>67.58</v>
      </c>
      <c r="H299">
        <v>25</v>
      </c>
      <c r="I299">
        <v>0</v>
      </c>
      <c r="J299">
        <v>0</v>
      </c>
      <c r="K299" t="s">
        <v>155</v>
      </c>
      <c r="L299">
        <v>0</v>
      </c>
      <c r="N299" t="s">
        <v>156</v>
      </c>
      <c r="O299" t="s">
        <v>157</v>
      </c>
      <c r="P299" t="s">
        <v>20</v>
      </c>
      <c r="Q299">
        <f>(VALUE(LEFT(SUBSTITUTE(O299,"T"," "),23)) - VALUE(LEFT(SUBSTITUTE(N299,"T"," "),23))) * 86400</f>
        <v>246.59799984656274</v>
      </c>
      <c r="R299">
        <f>I299/G299</f>
        <v>0</v>
      </c>
      <c r="S299">
        <f>H299/G299</f>
        <v>0.36993193252441553</v>
      </c>
    </row>
    <row r="300" spans="1:19" hidden="1" x14ac:dyDescent="0.2">
      <c r="A300">
        <v>19</v>
      </c>
      <c r="B300" t="s">
        <v>16</v>
      </c>
      <c r="C300">
        <v>20</v>
      </c>
      <c r="D300">
        <v>1</v>
      </c>
      <c r="E300">
        <v>1010</v>
      </c>
      <c r="F300" t="b">
        <v>1</v>
      </c>
      <c r="G300">
        <v>59.484000000000002</v>
      </c>
      <c r="H300">
        <v>27</v>
      </c>
      <c r="I300">
        <v>1</v>
      </c>
      <c r="J300">
        <v>0.06</v>
      </c>
      <c r="K300" t="s">
        <v>164</v>
      </c>
      <c r="L300">
        <v>0</v>
      </c>
      <c r="N300" t="s">
        <v>165</v>
      </c>
      <c r="O300" t="s">
        <v>166</v>
      </c>
      <c r="P300" t="s">
        <v>20</v>
      </c>
      <c r="Q300">
        <f>(VALUE(LEFT(SUBSTITUTE(O300,"T"," "),23)) - VALUE(LEFT(SUBSTITUTE(N300,"T"," "),23))) * 86400</f>
        <v>213.18700059782714</v>
      </c>
      <c r="R300">
        <f>I300/G300</f>
        <v>1.6811243359558872E-2</v>
      </c>
      <c r="S300">
        <f>H300/G300</f>
        <v>0.45390357070808957</v>
      </c>
    </row>
    <row r="301" spans="1:19" hidden="1" x14ac:dyDescent="0.2">
      <c r="A301">
        <v>22</v>
      </c>
      <c r="B301" t="s">
        <v>16</v>
      </c>
      <c r="C301">
        <v>50</v>
      </c>
      <c r="D301">
        <v>1</v>
      </c>
      <c r="E301">
        <v>1010</v>
      </c>
      <c r="F301" t="b">
        <v>1</v>
      </c>
      <c r="G301">
        <v>54.823999999999998</v>
      </c>
      <c r="H301">
        <v>27</v>
      </c>
      <c r="I301">
        <v>3</v>
      </c>
      <c r="J301">
        <v>0.36</v>
      </c>
      <c r="K301" t="s">
        <v>173</v>
      </c>
      <c r="L301">
        <v>0</v>
      </c>
      <c r="N301" t="s">
        <v>174</v>
      </c>
      <c r="O301" t="s">
        <v>175</v>
      </c>
      <c r="P301" t="s">
        <v>20</v>
      </c>
      <c r="Q301">
        <f>(VALUE(LEFT(SUBSTITUTE(O301,"T"," "),23)) - VALUE(LEFT(SUBSTITUTE(N301,"T"," "),23))) * 86400</f>
        <v>156.50600020308048</v>
      </c>
      <c r="R301">
        <f>I301/G301</f>
        <v>5.4720560338537866E-2</v>
      </c>
      <c r="S301">
        <f>H301/G301</f>
        <v>0.49248504304684082</v>
      </c>
    </row>
    <row r="302" spans="1:19" hidden="1" x14ac:dyDescent="0.2">
      <c r="A302">
        <v>25</v>
      </c>
      <c r="B302" t="s">
        <v>16</v>
      </c>
      <c r="C302">
        <v>70</v>
      </c>
      <c r="D302">
        <v>1</v>
      </c>
      <c r="E302">
        <v>1010</v>
      </c>
      <c r="F302" t="b">
        <v>1</v>
      </c>
      <c r="G302">
        <v>86.744</v>
      </c>
      <c r="H302">
        <v>26</v>
      </c>
      <c r="I302">
        <v>5</v>
      </c>
      <c r="J302">
        <v>0.96</v>
      </c>
      <c r="K302" t="s">
        <v>182</v>
      </c>
      <c r="L302">
        <v>0</v>
      </c>
      <c r="N302" t="s">
        <v>183</v>
      </c>
      <c r="O302" t="s">
        <v>184</v>
      </c>
      <c r="P302" t="s">
        <v>20</v>
      </c>
      <c r="Q302">
        <f>(VALUE(LEFT(SUBSTITUTE(O302,"T"," "),23)) - VALUE(LEFT(SUBSTITUTE(N302,"T"," "),23))) * 86400</f>
        <v>412.7199997426942</v>
      </c>
      <c r="R302">
        <f>I302/G302</f>
        <v>5.764087429678133E-2</v>
      </c>
      <c r="S302">
        <f>H302/G302</f>
        <v>0.29973254634326296</v>
      </c>
    </row>
    <row r="303" spans="1:19" hidden="1" x14ac:dyDescent="0.2">
      <c r="A303">
        <v>28</v>
      </c>
      <c r="B303" t="s">
        <v>16</v>
      </c>
      <c r="C303">
        <v>100</v>
      </c>
      <c r="D303">
        <v>1</v>
      </c>
      <c r="E303">
        <v>1010</v>
      </c>
      <c r="F303" t="b">
        <v>1</v>
      </c>
      <c r="G303">
        <v>75.727999999999994</v>
      </c>
      <c r="H303">
        <v>27</v>
      </c>
      <c r="I303">
        <v>12</v>
      </c>
      <c r="J303">
        <v>2.16</v>
      </c>
      <c r="K303" t="s">
        <v>191</v>
      </c>
      <c r="L303">
        <v>0</v>
      </c>
      <c r="N303" t="s">
        <v>192</v>
      </c>
      <c r="O303" t="s">
        <v>193</v>
      </c>
      <c r="P303" t="s">
        <v>20</v>
      </c>
      <c r="Q303">
        <f>(VALUE(LEFT(SUBSTITUTE(O303,"T"," "),23)) - VALUE(LEFT(SUBSTITUTE(N303,"T"," "),23))) * 86400</f>
        <v>294.64400005526841</v>
      </c>
      <c r="R303">
        <f>I303/G303</f>
        <v>0.15846186351151489</v>
      </c>
      <c r="S303">
        <f>H303/G303</f>
        <v>0.35653919290090852</v>
      </c>
    </row>
    <row r="304" spans="1:19" hidden="1" x14ac:dyDescent="0.2">
      <c r="A304">
        <v>3</v>
      </c>
      <c r="B304" t="s">
        <v>25</v>
      </c>
      <c r="C304">
        <v>-1</v>
      </c>
      <c r="D304">
        <v>1</v>
      </c>
      <c r="E304">
        <v>1022</v>
      </c>
      <c r="F304" t="b">
        <v>1</v>
      </c>
      <c r="G304">
        <v>31.384</v>
      </c>
      <c r="H304">
        <v>25</v>
      </c>
      <c r="I304">
        <v>4</v>
      </c>
      <c r="J304">
        <v>2.7</v>
      </c>
      <c r="K304" t="s">
        <v>1403</v>
      </c>
      <c r="L304">
        <v>0</v>
      </c>
      <c r="N304" t="s">
        <v>1404</v>
      </c>
      <c r="O304" t="s">
        <v>1405</v>
      </c>
      <c r="P304" t="s">
        <v>20</v>
      </c>
      <c r="Q304">
        <f>(VALUE(LEFT(SUBSTITUTE(O304,"T"," "),23)) - VALUE(LEFT(SUBSTITUTE(N304,"T"," "),23))) * 86400</f>
        <v>176.65500012226403</v>
      </c>
      <c r="R304">
        <f>I304/G304</f>
        <v>0.12745347947998981</v>
      </c>
      <c r="S304">
        <f>H304/G304</f>
        <v>0.79658424674993622</v>
      </c>
    </row>
    <row r="305" spans="1:19" hidden="1" x14ac:dyDescent="0.2">
      <c r="A305" s="1">
        <v>5</v>
      </c>
      <c r="B305" s="1" t="s">
        <v>21</v>
      </c>
      <c r="C305" s="1">
        <v>0</v>
      </c>
      <c r="D305" s="1">
        <v>1</v>
      </c>
      <c r="E305" s="1">
        <v>1011</v>
      </c>
      <c r="F305" s="1" t="b">
        <v>1</v>
      </c>
      <c r="G305" s="1">
        <v>39.975999999999999</v>
      </c>
      <c r="H305" s="1">
        <v>28</v>
      </c>
      <c r="I305" s="1">
        <v>0</v>
      </c>
      <c r="J305" s="1">
        <v>0</v>
      </c>
      <c r="K305" s="1" t="s">
        <v>383</v>
      </c>
      <c r="L305" s="1">
        <v>0</v>
      </c>
      <c r="M305" s="1"/>
      <c r="N305" s="1" t="s">
        <v>384</v>
      </c>
      <c r="O305" s="1" t="s">
        <v>385</v>
      </c>
      <c r="P305" s="1" t="s">
        <v>20</v>
      </c>
      <c r="Q305">
        <f>(VALUE(LEFT(SUBSTITUTE(O305,"T"," "),23)) - VALUE(LEFT(SUBSTITUTE(N305,"T"," "),23))) * 86400</f>
        <v>279.04999956954271</v>
      </c>
      <c r="R305">
        <f>I305/G305</f>
        <v>0</v>
      </c>
      <c r="S305">
        <f>H305/G305</f>
        <v>0.70042025215129078</v>
      </c>
    </row>
    <row r="306" spans="1:19" hidden="1" x14ac:dyDescent="0.2">
      <c r="A306">
        <v>12</v>
      </c>
      <c r="B306" t="s">
        <v>2476</v>
      </c>
      <c r="C306">
        <v>0</v>
      </c>
      <c r="D306">
        <v>2</v>
      </c>
      <c r="E306">
        <v>1001</v>
      </c>
      <c r="F306" t="b">
        <v>1</v>
      </c>
      <c r="G306">
        <v>83.256</v>
      </c>
      <c r="H306">
        <v>28</v>
      </c>
      <c r="I306">
        <v>3</v>
      </c>
      <c r="J306">
        <v>0.36</v>
      </c>
      <c r="K306" t="s">
        <v>2565</v>
      </c>
      <c r="L306">
        <v>0</v>
      </c>
      <c r="N306" t="s">
        <v>2566</v>
      </c>
      <c r="O306" t="s">
        <v>2567</v>
      </c>
      <c r="P306" t="s">
        <v>20</v>
      </c>
      <c r="Q306">
        <f>(VALUE(LEFT(SUBSTITUTE(O306,"T"," "),23)) - VALUE(LEFT(SUBSTITUTE(N306,"T"," "),23))) * 86400</f>
        <v>451.09900035895407</v>
      </c>
      <c r="R306">
        <f>I306/G306</f>
        <v>3.6033439031421158E-2</v>
      </c>
      <c r="S306">
        <f>H306/G306</f>
        <v>0.33631209762659747</v>
      </c>
    </row>
    <row r="307" spans="1:19" hidden="1" x14ac:dyDescent="0.2">
      <c r="A307" s="1">
        <v>11</v>
      </c>
      <c r="B307" s="1" t="s">
        <v>21</v>
      </c>
      <c r="C307" s="1">
        <v>5</v>
      </c>
      <c r="D307" s="1">
        <v>1</v>
      </c>
      <c r="E307" s="1">
        <v>1011</v>
      </c>
      <c r="F307" s="1" t="b">
        <v>1</v>
      </c>
      <c r="G307" s="1">
        <v>99.635999999999996</v>
      </c>
      <c r="H307" s="1">
        <v>27</v>
      </c>
      <c r="I307" s="1">
        <v>4</v>
      </c>
      <c r="J307" s="1">
        <v>2.04</v>
      </c>
      <c r="K307" s="1" t="s">
        <v>401</v>
      </c>
      <c r="L307" s="1">
        <v>0</v>
      </c>
      <c r="M307" s="1"/>
      <c r="N307" s="1" t="s">
        <v>402</v>
      </c>
      <c r="O307" s="1" t="s">
        <v>403</v>
      </c>
      <c r="P307" s="1" t="s">
        <v>20</v>
      </c>
      <c r="Q307">
        <f>(VALUE(LEFT(SUBSTITUTE(O307,"T"," "),23)) - VALUE(LEFT(SUBSTITUTE(N307,"T"," "),23))) * 86400</f>
        <v>478.52699984796345</v>
      </c>
      <c r="R307">
        <f>I307/G307</f>
        <v>4.0146131920189489E-2</v>
      </c>
      <c r="S307">
        <f>H307/G307</f>
        <v>0.27098639046127909</v>
      </c>
    </row>
    <row r="308" spans="1:19" hidden="1" x14ac:dyDescent="0.2">
      <c r="A308" s="1">
        <v>14</v>
      </c>
      <c r="B308" s="1" t="s">
        <v>21</v>
      </c>
      <c r="C308" s="1">
        <v>10</v>
      </c>
      <c r="D308" s="1">
        <v>1</v>
      </c>
      <c r="E308" s="1">
        <v>1011</v>
      </c>
      <c r="F308" s="1" t="b">
        <v>1</v>
      </c>
      <c r="G308" s="1">
        <v>75.908000000000001</v>
      </c>
      <c r="H308" s="1">
        <v>26</v>
      </c>
      <c r="I308" s="1">
        <v>3</v>
      </c>
      <c r="J308" s="1">
        <v>1.1399999999999999</v>
      </c>
      <c r="K308" s="1" t="s">
        <v>410</v>
      </c>
      <c r="L308" s="1">
        <v>0</v>
      </c>
      <c r="M308" s="1"/>
      <c r="N308" s="1" t="s">
        <v>411</v>
      </c>
      <c r="O308" s="1" t="s">
        <v>412</v>
      </c>
      <c r="P308" s="1" t="s">
        <v>20</v>
      </c>
      <c r="Q308">
        <f>(VALUE(LEFT(SUBSTITUTE(O308,"T"," "),23)) - VALUE(LEFT(SUBSTITUTE(N308,"T"," "),23))) * 86400</f>
        <v>351.78700005635619</v>
      </c>
      <c r="R308">
        <f>I308/G308</f>
        <v>3.952152605785951E-2</v>
      </c>
      <c r="S308">
        <f>H308/G308</f>
        <v>0.3425198925014491</v>
      </c>
    </row>
    <row r="309" spans="1:19" hidden="1" x14ac:dyDescent="0.2">
      <c r="A309" s="1">
        <v>17</v>
      </c>
      <c r="B309" s="1" t="s">
        <v>21</v>
      </c>
      <c r="C309" s="1">
        <v>15</v>
      </c>
      <c r="D309" s="1">
        <v>1</v>
      </c>
      <c r="E309" s="1">
        <v>1011</v>
      </c>
      <c r="F309" s="1" t="b">
        <v>1</v>
      </c>
      <c r="G309" s="1">
        <v>57.66</v>
      </c>
      <c r="H309" s="1">
        <v>29</v>
      </c>
      <c r="I309" s="1">
        <v>0</v>
      </c>
      <c r="J309" s="1">
        <v>0</v>
      </c>
      <c r="K309" s="1" t="s">
        <v>419</v>
      </c>
      <c r="L309" s="1">
        <v>0</v>
      </c>
      <c r="M309" s="1"/>
      <c r="N309" s="1" t="s">
        <v>420</v>
      </c>
      <c r="O309" s="1" t="s">
        <v>421</v>
      </c>
      <c r="P309" s="1" t="s">
        <v>20</v>
      </c>
      <c r="Q309">
        <f>(VALUE(LEFT(SUBSTITUTE(O309,"T"," "),23)) - VALUE(LEFT(SUBSTITUTE(N309,"T"," "),23))) * 86400</f>
        <v>325.84899952635169</v>
      </c>
      <c r="R309">
        <f>I309/G309</f>
        <v>0</v>
      </c>
      <c r="S309">
        <f>H309/G309</f>
        <v>0.50294831772459248</v>
      </c>
    </row>
    <row r="310" spans="1:19" hidden="1" x14ac:dyDescent="0.2">
      <c r="A310" s="1">
        <v>20</v>
      </c>
      <c r="B310" s="1" t="s">
        <v>21</v>
      </c>
      <c r="C310" s="1">
        <v>20</v>
      </c>
      <c r="D310" s="1">
        <v>1</v>
      </c>
      <c r="E310" s="1">
        <v>1011</v>
      </c>
      <c r="F310" s="1" t="b">
        <v>1</v>
      </c>
      <c r="G310" s="1">
        <v>55.02</v>
      </c>
      <c r="H310" s="1">
        <v>27</v>
      </c>
      <c r="I310" s="1">
        <v>3</v>
      </c>
      <c r="J310" s="1">
        <v>0.54</v>
      </c>
      <c r="K310" s="1" t="s">
        <v>428</v>
      </c>
      <c r="L310" s="1">
        <v>0</v>
      </c>
      <c r="M310" s="1"/>
      <c r="N310" s="1" t="s">
        <v>429</v>
      </c>
      <c r="O310" s="1" t="s">
        <v>430</v>
      </c>
      <c r="P310" s="1" t="s">
        <v>20</v>
      </c>
      <c r="Q310">
        <f>(VALUE(LEFT(SUBSTITUTE(O310,"T"," "),23)) - VALUE(LEFT(SUBSTITUTE(N310,"T"," "),23))) * 86400</f>
        <v>263.80300044547766</v>
      </c>
      <c r="R310">
        <f>I310/G310</f>
        <v>5.4525627044711013E-2</v>
      </c>
      <c r="S310">
        <f>H310/G310</f>
        <v>0.49073064340239908</v>
      </c>
    </row>
    <row r="311" spans="1:19" hidden="1" x14ac:dyDescent="0.2">
      <c r="A311" s="1">
        <v>23</v>
      </c>
      <c r="B311" s="1" t="s">
        <v>21</v>
      </c>
      <c r="C311" s="1">
        <v>50</v>
      </c>
      <c r="D311" s="1">
        <v>1</v>
      </c>
      <c r="E311" s="1">
        <v>1011</v>
      </c>
      <c r="F311" s="1" t="b">
        <v>1</v>
      </c>
      <c r="G311" s="1">
        <v>48.844000000000001</v>
      </c>
      <c r="H311" s="1">
        <v>27</v>
      </c>
      <c r="I311" s="1">
        <v>1</v>
      </c>
      <c r="J311" s="1">
        <v>0.12</v>
      </c>
      <c r="K311" s="1" t="s">
        <v>437</v>
      </c>
      <c r="L311" s="1">
        <v>0</v>
      </c>
      <c r="M311" s="1"/>
      <c r="N311" s="1" t="s">
        <v>438</v>
      </c>
      <c r="O311" s="1" t="s">
        <v>439</v>
      </c>
      <c r="P311" s="1" t="s">
        <v>20</v>
      </c>
      <c r="Q311">
        <f>(VALUE(LEFT(SUBSTITUTE(O311,"T"," "),23)) - VALUE(LEFT(SUBSTITUTE(N311,"T"," "),23))) * 86400</f>
        <v>236.6830000653863</v>
      </c>
      <c r="R311">
        <f>I311/G311</f>
        <v>2.0473343706494142E-2</v>
      </c>
      <c r="S311">
        <f>H311/G311</f>
        <v>0.55278028007534186</v>
      </c>
    </row>
    <row r="312" spans="1:19" hidden="1" x14ac:dyDescent="0.2">
      <c r="A312" s="1">
        <v>26</v>
      </c>
      <c r="B312" s="1" t="s">
        <v>21</v>
      </c>
      <c r="C312" s="1">
        <v>70</v>
      </c>
      <c r="D312" s="1">
        <v>1</v>
      </c>
      <c r="E312" s="1">
        <v>1011</v>
      </c>
      <c r="F312" s="1" t="b">
        <v>1</v>
      </c>
      <c r="G312" s="1">
        <v>72.447999999999993</v>
      </c>
      <c r="H312" s="1">
        <v>29</v>
      </c>
      <c r="I312" s="1">
        <v>2</v>
      </c>
      <c r="J312" s="1">
        <v>1.02</v>
      </c>
      <c r="K312" s="1" t="s">
        <v>446</v>
      </c>
      <c r="L312" s="1">
        <v>0</v>
      </c>
      <c r="M312" s="1"/>
      <c r="N312" s="1" t="s">
        <v>447</v>
      </c>
      <c r="O312" s="1" t="s">
        <v>448</v>
      </c>
      <c r="P312" s="1" t="s">
        <v>20</v>
      </c>
      <c r="Q312">
        <f>(VALUE(LEFT(SUBSTITUTE(O312,"T"," "),23)) - VALUE(LEFT(SUBSTITUTE(N312,"T"," "),23))) * 86400</f>
        <v>294.81299996841699</v>
      </c>
      <c r="R312">
        <f>I312/G312</f>
        <v>2.7606007067137811E-2</v>
      </c>
      <c r="S312">
        <f>H312/G312</f>
        <v>0.40028710247349825</v>
      </c>
    </row>
    <row r="313" spans="1:19" hidden="1" x14ac:dyDescent="0.2">
      <c r="A313">
        <v>1</v>
      </c>
      <c r="B313" t="s">
        <v>3413</v>
      </c>
      <c r="C313">
        <v>-1</v>
      </c>
      <c r="D313">
        <v>1</v>
      </c>
      <c r="E313">
        <v>1000</v>
      </c>
      <c r="F313" t="b">
        <v>1</v>
      </c>
      <c r="G313">
        <v>32.692</v>
      </c>
      <c r="H313">
        <v>26</v>
      </c>
      <c r="I313">
        <v>5</v>
      </c>
      <c r="J313">
        <v>5.94</v>
      </c>
      <c r="K313" t="s">
        <v>2965</v>
      </c>
      <c r="L313">
        <v>0</v>
      </c>
      <c r="N313" t="s">
        <v>2966</v>
      </c>
      <c r="O313" t="s">
        <v>2967</v>
      </c>
      <c r="P313" t="s">
        <v>20</v>
      </c>
      <c r="Q313">
        <f>(VALUE(LEFT(SUBSTITUTE(O313,"T"," "),23)) - VALUE(LEFT(SUBSTITUTE(N313,"T"," "),23))) * 86400</f>
        <v>150.93899974599481</v>
      </c>
      <c r="R313">
        <f>I313/G313</f>
        <v>0.15294261593050287</v>
      </c>
      <c r="S313">
        <f>H313/G313</f>
        <v>0.79530160283861495</v>
      </c>
    </row>
    <row r="314" spans="1:19" hidden="1" x14ac:dyDescent="0.2">
      <c r="A314" s="1">
        <v>6</v>
      </c>
      <c r="B314" s="1" t="s">
        <v>25</v>
      </c>
      <c r="C314" s="1">
        <v>0</v>
      </c>
      <c r="D314" s="1">
        <v>1</v>
      </c>
      <c r="E314" s="1">
        <v>1011</v>
      </c>
      <c r="F314" s="1" t="b">
        <v>1</v>
      </c>
      <c r="G314" s="1">
        <v>53.048000000000002</v>
      </c>
      <c r="H314" s="1">
        <v>26</v>
      </c>
      <c r="I314" s="1">
        <v>0</v>
      </c>
      <c r="J314" s="1">
        <v>0</v>
      </c>
      <c r="K314" s="1" t="s">
        <v>386</v>
      </c>
      <c r="L314" s="1">
        <v>0</v>
      </c>
      <c r="M314" s="1"/>
      <c r="N314" s="1" t="s">
        <v>387</v>
      </c>
      <c r="O314" s="1" t="s">
        <v>388</v>
      </c>
      <c r="P314" s="1" t="s">
        <v>20</v>
      </c>
      <c r="Q314">
        <f>(VALUE(LEFT(SUBSTITUTE(O314,"T"," "),23)) - VALUE(LEFT(SUBSTITUTE(N314,"T"," "),23))) * 86400</f>
        <v>217.00500003062189</v>
      </c>
      <c r="R314">
        <f>I314/G314</f>
        <v>0</v>
      </c>
      <c r="S314">
        <f>H314/G314</f>
        <v>0.49012215352133914</v>
      </c>
    </row>
    <row r="315" spans="1:19" hidden="1" x14ac:dyDescent="0.2">
      <c r="A315">
        <v>16</v>
      </c>
      <c r="B315" t="s">
        <v>2476</v>
      </c>
      <c r="C315">
        <v>5</v>
      </c>
      <c r="D315">
        <v>2</v>
      </c>
      <c r="E315">
        <v>1001</v>
      </c>
      <c r="F315" t="b">
        <v>1</v>
      </c>
      <c r="G315">
        <v>36.015999999999998</v>
      </c>
      <c r="H315">
        <v>27</v>
      </c>
      <c r="I315">
        <v>5</v>
      </c>
      <c r="J315">
        <v>1.38</v>
      </c>
      <c r="K315" t="s">
        <v>2577</v>
      </c>
      <c r="L315">
        <v>0</v>
      </c>
      <c r="N315" t="s">
        <v>2578</v>
      </c>
      <c r="O315" t="s">
        <v>2579</v>
      </c>
      <c r="P315" t="s">
        <v>20</v>
      </c>
      <c r="Q315">
        <f>(VALUE(LEFT(SUBSTITUTE(O315,"T"," "),23)) - VALUE(LEFT(SUBSTITUTE(N315,"T"," "),23))) * 86400</f>
        <v>347.77600038796663</v>
      </c>
      <c r="R315">
        <f>I315/G315</f>
        <v>0.13882718791648158</v>
      </c>
      <c r="S315">
        <f>H315/G315</f>
        <v>0.74966681474900043</v>
      </c>
    </row>
    <row r="316" spans="1:19" hidden="1" x14ac:dyDescent="0.2">
      <c r="A316" s="1">
        <v>12</v>
      </c>
      <c r="B316" s="1" t="s">
        <v>25</v>
      </c>
      <c r="C316" s="1">
        <v>5</v>
      </c>
      <c r="D316" s="1">
        <v>1</v>
      </c>
      <c r="E316" s="1">
        <v>1011</v>
      </c>
      <c r="F316" s="1" t="b">
        <v>1</v>
      </c>
      <c r="G316" s="1">
        <v>49.915999999999997</v>
      </c>
      <c r="H316" s="1">
        <v>27</v>
      </c>
      <c r="I316" s="1">
        <v>1</v>
      </c>
      <c r="J316" s="1">
        <v>1.62</v>
      </c>
      <c r="K316" s="1" t="s">
        <v>404</v>
      </c>
      <c r="L316" s="1">
        <v>0</v>
      </c>
      <c r="M316" s="1"/>
      <c r="N316" s="1" t="s">
        <v>405</v>
      </c>
      <c r="O316" s="1" t="s">
        <v>406</v>
      </c>
      <c r="P316" s="1" t="s">
        <v>20</v>
      </c>
      <c r="Q316">
        <f>(VALUE(LEFT(SUBSTITUTE(O316,"T"," "),23)) - VALUE(LEFT(SUBSTITUTE(N316,"T"," "),23))) * 86400</f>
        <v>244.1479999339208</v>
      </c>
      <c r="R316">
        <f>I316/G316</f>
        <v>2.0033656542992228E-2</v>
      </c>
      <c r="S316">
        <f>H316/G316</f>
        <v>0.54090872666079015</v>
      </c>
    </row>
    <row r="317" spans="1:19" hidden="1" x14ac:dyDescent="0.2">
      <c r="A317" s="1">
        <v>15</v>
      </c>
      <c r="B317" s="1" t="s">
        <v>25</v>
      </c>
      <c r="C317" s="1">
        <v>10</v>
      </c>
      <c r="D317" s="1">
        <v>1</v>
      </c>
      <c r="E317" s="1">
        <v>1011</v>
      </c>
      <c r="F317" s="1" t="b">
        <v>1</v>
      </c>
      <c r="G317" s="1">
        <v>38.868000000000002</v>
      </c>
      <c r="H317" s="1">
        <v>22</v>
      </c>
      <c r="I317" s="1">
        <v>6</v>
      </c>
      <c r="J317" s="1">
        <v>0.84</v>
      </c>
      <c r="K317" s="1" t="s">
        <v>413</v>
      </c>
      <c r="L317" s="1">
        <v>0</v>
      </c>
      <c r="M317" s="1"/>
      <c r="N317" s="1" t="s">
        <v>414</v>
      </c>
      <c r="O317" s="1" t="s">
        <v>415</v>
      </c>
      <c r="P317" s="1" t="s">
        <v>20</v>
      </c>
      <c r="Q317">
        <f>(VALUE(LEFT(SUBSTITUTE(O317,"T"," "),23)) - VALUE(LEFT(SUBSTITUTE(N317,"T"," "),23))) * 86400</f>
        <v>228.77799994312227</v>
      </c>
      <c r="R317">
        <f>I317/G317</f>
        <v>0.15436863229391787</v>
      </c>
      <c r="S317">
        <f>H317/G317</f>
        <v>0.56601831841103223</v>
      </c>
    </row>
    <row r="318" spans="1:19" hidden="1" x14ac:dyDescent="0.2">
      <c r="A318" s="1">
        <v>18</v>
      </c>
      <c r="B318" s="1" t="s">
        <v>25</v>
      </c>
      <c r="C318" s="1">
        <v>15</v>
      </c>
      <c r="D318" s="1">
        <v>1</v>
      </c>
      <c r="E318" s="1">
        <v>1011</v>
      </c>
      <c r="F318" s="1" t="b">
        <v>1</v>
      </c>
      <c r="G318" s="1">
        <v>39.5</v>
      </c>
      <c r="H318" s="1">
        <v>22</v>
      </c>
      <c r="I318" s="1">
        <v>2</v>
      </c>
      <c r="J318" s="1">
        <v>0.24</v>
      </c>
      <c r="K318" s="1" t="s">
        <v>422</v>
      </c>
      <c r="L318" s="1">
        <v>0</v>
      </c>
      <c r="M318" s="1"/>
      <c r="N318" s="1" t="s">
        <v>423</v>
      </c>
      <c r="O318" s="1" t="s">
        <v>424</v>
      </c>
      <c r="P318" s="1" t="s">
        <v>20</v>
      </c>
      <c r="Q318">
        <f>(VALUE(LEFT(SUBSTITUTE(O318,"T"," "),23)) - VALUE(LEFT(SUBSTITUTE(N318,"T"," "),23))) * 86400</f>
        <v>182.85400026943535</v>
      </c>
      <c r="R318">
        <f>I318/G318</f>
        <v>5.0632911392405063E-2</v>
      </c>
      <c r="S318">
        <f>H318/G318</f>
        <v>0.55696202531645567</v>
      </c>
    </row>
    <row r="319" spans="1:19" hidden="1" x14ac:dyDescent="0.2">
      <c r="A319" s="1">
        <v>21</v>
      </c>
      <c r="B319" s="1" t="s">
        <v>25</v>
      </c>
      <c r="C319" s="1">
        <v>20</v>
      </c>
      <c r="D319" s="1">
        <v>1</v>
      </c>
      <c r="E319" s="1">
        <v>1011</v>
      </c>
      <c r="F319" s="1" t="b">
        <v>1</v>
      </c>
      <c r="G319" s="1">
        <v>55.283999999999999</v>
      </c>
      <c r="H319" s="1">
        <v>24</v>
      </c>
      <c r="I319" s="1">
        <v>9</v>
      </c>
      <c r="J319" s="1">
        <v>1.32</v>
      </c>
      <c r="K319" s="1" t="s">
        <v>431</v>
      </c>
      <c r="L319" s="1">
        <v>0</v>
      </c>
      <c r="M319" s="1"/>
      <c r="N319" s="1" t="s">
        <v>432</v>
      </c>
      <c r="O319" s="1" t="s">
        <v>433</v>
      </c>
      <c r="P319" s="1" t="s">
        <v>20</v>
      </c>
      <c r="Q319">
        <f>(VALUE(LEFT(SUBSTITUTE(O319,"T"," "),23)) - VALUE(LEFT(SUBSTITUTE(N319,"T"," "),23))) * 86400</f>
        <v>278.9779998594895</v>
      </c>
      <c r="R319">
        <f>I319/G319</f>
        <v>0.16279574560451487</v>
      </c>
      <c r="S319">
        <f>H319/G319</f>
        <v>0.43412198827870635</v>
      </c>
    </row>
    <row r="320" spans="1:19" hidden="1" x14ac:dyDescent="0.2">
      <c r="A320" s="1">
        <v>24</v>
      </c>
      <c r="B320" s="1" t="s">
        <v>25</v>
      </c>
      <c r="C320" s="1">
        <v>50</v>
      </c>
      <c r="D320" s="1">
        <v>1</v>
      </c>
      <c r="E320" s="1">
        <v>1011</v>
      </c>
      <c r="F320" s="1" t="b">
        <v>1</v>
      </c>
      <c r="G320" s="1">
        <v>49.536000000000001</v>
      </c>
      <c r="H320" s="1">
        <v>25</v>
      </c>
      <c r="I320" s="1">
        <v>2</v>
      </c>
      <c r="J320" s="1">
        <v>1.32</v>
      </c>
      <c r="K320" s="1" t="s">
        <v>440</v>
      </c>
      <c r="L320" s="1">
        <v>0</v>
      </c>
      <c r="M320" s="1"/>
      <c r="N320" s="1" t="s">
        <v>441</v>
      </c>
      <c r="O320" s="1" t="s">
        <v>442</v>
      </c>
      <c r="P320" s="1" t="s">
        <v>20</v>
      </c>
      <c r="Q320">
        <f>(VALUE(LEFT(SUBSTITUTE(O320,"T"," "),23)) - VALUE(LEFT(SUBSTITUTE(N320,"T"," "),23))) * 86400</f>
        <v>227.65399992931634</v>
      </c>
      <c r="R320">
        <f>I320/G320</f>
        <v>4.0374677002583979E-2</v>
      </c>
      <c r="S320">
        <f>H320/G320</f>
        <v>0.50468346253229968</v>
      </c>
    </row>
    <row r="321" spans="1:19" hidden="1" x14ac:dyDescent="0.2">
      <c r="A321" s="1">
        <v>27</v>
      </c>
      <c r="B321" s="1" t="s">
        <v>25</v>
      </c>
      <c r="C321" s="1">
        <v>70</v>
      </c>
      <c r="D321" s="1">
        <v>1</v>
      </c>
      <c r="E321" s="1">
        <v>1011</v>
      </c>
      <c r="F321" s="1" t="b">
        <v>1</v>
      </c>
      <c r="G321" s="1">
        <v>59.936</v>
      </c>
      <c r="H321" s="1">
        <v>24</v>
      </c>
      <c r="I321" s="1">
        <v>6</v>
      </c>
      <c r="J321" s="1">
        <v>1.26</v>
      </c>
      <c r="K321" s="1" t="s">
        <v>449</v>
      </c>
      <c r="L321" s="1">
        <v>0</v>
      </c>
      <c r="M321" s="1"/>
      <c r="N321" s="1" t="s">
        <v>450</v>
      </c>
      <c r="O321" s="1" t="s">
        <v>451</v>
      </c>
      <c r="P321" s="1" t="s">
        <v>20</v>
      </c>
      <c r="Q321">
        <f>(VALUE(LEFT(SUBSTITUTE(O321,"T"," "),23)) - VALUE(LEFT(SUBSTITUTE(N321,"T"," "),23))) * 86400</f>
        <v>302.60800018440932</v>
      </c>
      <c r="R321">
        <f>I321/G321</f>
        <v>0.100106780565937</v>
      </c>
      <c r="S321">
        <f>H321/G321</f>
        <v>0.40042712226374799</v>
      </c>
    </row>
    <row r="322" spans="1:19" hidden="1" x14ac:dyDescent="0.2">
      <c r="A322">
        <v>2</v>
      </c>
      <c r="B322" t="s">
        <v>25</v>
      </c>
      <c r="C322">
        <v>-1</v>
      </c>
      <c r="D322">
        <v>1</v>
      </c>
      <c r="E322">
        <v>1000</v>
      </c>
      <c r="F322" t="b">
        <v>1</v>
      </c>
      <c r="G322">
        <v>37.823999999999998</v>
      </c>
      <c r="H322">
        <v>30</v>
      </c>
      <c r="I322">
        <v>5</v>
      </c>
      <c r="J322">
        <v>4.8600000000000003</v>
      </c>
      <c r="K322" t="s">
        <v>3418</v>
      </c>
      <c r="L322">
        <v>0</v>
      </c>
      <c r="N322" t="s">
        <v>3419</v>
      </c>
      <c r="O322" t="s">
        <v>3420</v>
      </c>
      <c r="P322" t="s">
        <v>20</v>
      </c>
      <c r="Q322">
        <f>(VALUE(LEFT(SUBSTITUTE(O322,"T"," "),23)) - VALUE(LEFT(SUBSTITUTE(N322,"T"," "),23))) * 86400</f>
        <v>154.07799964305013</v>
      </c>
      <c r="R322">
        <f>I322/G322</f>
        <v>0.1321912013536379</v>
      </c>
      <c r="S322">
        <f>H322/G322</f>
        <v>0.79314720812182748</v>
      </c>
    </row>
    <row r="323" spans="1:19" hidden="1" x14ac:dyDescent="0.2">
      <c r="A323" s="1">
        <v>4</v>
      </c>
      <c r="B323" s="1" t="s">
        <v>16</v>
      </c>
      <c r="C323" s="1">
        <v>0</v>
      </c>
      <c r="D323" s="1">
        <v>1</v>
      </c>
      <c r="E323" s="1">
        <v>1011</v>
      </c>
      <c r="F323" s="1" t="b">
        <v>1</v>
      </c>
      <c r="G323" s="1">
        <v>93.707999999999998</v>
      </c>
      <c r="H323" s="1">
        <v>27</v>
      </c>
      <c r="I323" s="1">
        <v>5</v>
      </c>
      <c r="J323" s="1">
        <v>1.38</v>
      </c>
      <c r="K323" s="1" t="s">
        <v>380</v>
      </c>
      <c r="L323" s="1">
        <v>0</v>
      </c>
      <c r="M323" s="1"/>
      <c r="N323" s="1" t="s">
        <v>381</v>
      </c>
      <c r="O323" s="1" t="s">
        <v>382</v>
      </c>
      <c r="P323" s="1" t="s">
        <v>20</v>
      </c>
      <c r="Q323">
        <f>(VALUE(LEFT(SUBSTITUTE(O323,"T"," "),23)) - VALUE(LEFT(SUBSTITUTE(N323,"T"," "),23))) * 86400</f>
        <v>373.99899987503886</v>
      </c>
      <c r="R323">
        <f>I323/G323</f>
        <v>5.3357237375677637E-2</v>
      </c>
      <c r="S323">
        <f>H323/G323</f>
        <v>0.28812908182865926</v>
      </c>
    </row>
    <row r="324" spans="1:19" x14ac:dyDescent="0.2">
      <c r="A324">
        <v>22</v>
      </c>
      <c r="B324" t="s">
        <v>2476</v>
      </c>
      <c r="C324">
        <v>2</v>
      </c>
      <c r="D324">
        <v>3</v>
      </c>
      <c r="E324">
        <v>1002</v>
      </c>
      <c r="F324" t="b">
        <v>1</v>
      </c>
      <c r="G324">
        <v>100.884</v>
      </c>
      <c r="H324">
        <v>25</v>
      </c>
      <c r="I324">
        <v>0</v>
      </c>
      <c r="J324">
        <v>0</v>
      </c>
      <c r="K324" t="s">
        <v>2595</v>
      </c>
      <c r="L324">
        <v>0</v>
      </c>
      <c r="N324" t="s">
        <v>2596</v>
      </c>
      <c r="O324" t="s">
        <v>2597</v>
      </c>
      <c r="P324" t="s">
        <v>20</v>
      </c>
      <c r="Q324">
        <f>(VALUE(LEFT(SUBSTITUTE(O324,"T"," "),23)) - VALUE(LEFT(SUBSTITUTE(N324,"T"," "),23))) * 86400</f>
        <v>542.49399974942207</v>
      </c>
      <c r="R324">
        <f>I324/G324</f>
        <v>0</v>
      </c>
      <c r="S324">
        <f>H324/G324</f>
        <v>0.24780936521153007</v>
      </c>
    </row>
    <row r="325" spans="1:19" hidden="1" x14ac:dyDescent="0.2">
      <c r="A325" s="1">
        <v>10</v>
      </c>
      <c r="B325" s="1" t="s">
        <v>16</v>
      </c>
      <c r="C325" s="1">
        <v>5</v>
      </c>
      <c r="D325" s="1">
        <v>1</v>
      </c>
      <c r="E325" s="1">
        <v>1011</v>
      </c>
      <c r="F325" s="1" t="b">
        <v>1</v>
      </c>
      <c r="G325" s="1">
        <v>60.076000000000001</v>
      </c>
      <c r="H325" s="1">
        <v>27</v>
      </c>
      <c r="I325" s="1">
        <v>0</v>
      </c>
      <c r="J325" s="1">
        <v>0</v>
      </c>
      <c r="K325" s="1" t="s">
        <v>398</v>
      </c>
      <c r="L325" s="1">
        <v>0</v>
      </c>
      <c r="M325" s="1"/>
      <c r="N325" s="1" t="s">
        <v>399</v>
      </c>
      <c r="O325" s="1" t="s">
        <v>400</v>
      </c>
      <c r="P325" s="1" t="s">
        <v>20</v>
      </c>
      <c r="Q325">
        <f>(VALUE(LEFT(SUBSTITUTE(O325,"T"," "),23)) - VALUE(LEFT(SUBSTITUTE(N325,"T"," "),23))) * 86400</f>
        <v>260.90699988417327</v>
      </c>
      <c r="R325">
        <f>I325/G325</f>
        <v>0</v>
      </c>
      <c r="S325">
        <f>H325/G325</f>
        <v>0.44943072108662363</v>
      </c>
    </row>
    <row r="326" spans="1:19" hidden="1" x14ac:dyDescent="0.2">
      <c r="A326" s="1">
        <v>13</v>
      </c>
      <c r="B326" s="1" t="s">
        <v>16</v>
      </c>
      <c r="C326" s="1">
        <v>10</v>
      </c>
      <c r="D326" s="1">
        <v>1</v>
      </c>
      <c r="E326" s="1">
        <v>1011</v>
      </c>
      <c r="F326" s="1" t="b">
        <v>1</v>
      </c>
      <c r="G326" s="1">
        <v>42.963999999999999</v>
      </c>
      <c r="H326" s="1">
        <v>25</v>
      </c>
      <c r="I326" s="1">
        <v>7</v>
      </c>
      <c r="J326" s="1">
        <v>1.5</v>
      </c>
      <c r="K326" s="1" t="s">
        <v>407</v>
      </c>
      <c r="L326" s="1">
        <v>0</v>
      </c>
      <c r="M326" s="1"/>
      <c r="N326" s="1" t="s">
        <v>408</v>
      </c>
      <c r="O326" s="1" t="s">
        <v>409</v>
      </c>
      <c r="P326" s="1" t="s">
        <v>20</v>
      </c>
      <c r="Q326">
        <f>(VALUE(LEFT(SUBSTITUTE(O326,"T"," "),23)) - VALUE(LEFT(SUBSTITUTE(N326,"T"," "),23))) * 86400</f>
        <v>236.73900018911809</v>
      </c>
      <c r="R326">
        <f>I326/G326</f>
        <v>0.1629271017596127</v>
      </c>
      <c r="S326">
        <f>H326/G326</f>
        <v>0.58188250628433114</v>
      </c>
    </row>
    <row r="327" spans="1:19" hidden="1" x14ac:dyDescent="0.2">
      <c r="A327" s="1">
        <v>16</v>
      </c>
      <c r="B327" s="1" t="s">
        <v>16</v>
      </c>
      <c r="C327" s="1">
        <v>15</v>
      </c>
      <c r="D327" s="1">
        <v>1</v>
      </c>
      <c r="E327" s="1">
        <v>1011</v>
      </c>
      <c r="F327" s="1" t="b">
        <v>1</v>
      </c>
      <c r="G327" s="1">
        <v>48.76</v>
      </c>
      <c r="H327" s="1">
        <v>28</v>
      </c>
      <c r="I327" s="1">
        <v>7</v>
      </c>
      <c r="J327" s="1">
        <v>1.26</v>
      </c>
      <c r="K327" s="1" t="s">
        <v>416</v>
      </c>
      <c r="L327" s="1">
        <v>0</v>
      </c>
      <c r="M327" s="1"/>
      <c r="N327" s="1" t="s">
        <v>417</v>
      </c>
      <c r="O327" s="1" t="s">
        <v>418</v>
      </c>
      <c r="P327" s="1" t="s">
        <v>20</v>
      </c>
      <c r="Q327">
        <f>(VALUE(LEFT(SUBSTITUTE(O327,"T"," "),23)) - VALUE(LEFT(SUBSTITUTE(N327,"T"," "),23))) * 86400</f>
        <v>269.59400014020503</v>
      </c>
      <c r="R327">
        <f>I327/G327</f>
        <v>0.14356029532403611</v>
      </c>
      <c r="S327">
        <f>H327/G327</f>
        <v>0.57424118129614443</v>
      </c>
    </row>
    <row r="328" spans="1:19" hidden="1" x14ac:dyDescent="0.2">
      <c r="A328" s="1">
        <v>19</v>
      </c>
      <c r="B328" s="1" t="s">
        <v>16</v>
      </c>
      <c r="C328" s="1">
        <v>20</v>
      </c>
      <c r="D328" s="1">
        <v>1</v>
      </c>
      <c r="E328" s="1">
        <v>1011</v>
      </c>
      <c r="F328" s="1" t="b">
        <v>1</v>
      </c>
      <c r="G328" s="1">
        <v>84.932000000000002</v>
      </c>
      <c r="H328" s="1">
        <v>27</v>
      </c>
      <c r="I328" s="1">
        <v>9</v>
      </c>
      <c r="J328" s="1">
        <v>1.02</v>
      </c>
      <c r="K328" s="1" t="s">
        <v>425</v>
      </c>
      <c r="L328" s="1">
        <v>0</v>
      </c>
      <c r="M328" s="1"/>
      <c r="N328" s="1" t="s">
        <v>426</v>
      </c>
      <c r="O328" s="1" t="s">
        <v>427</v>
      </c>
      <c r="P328" s="1" t="s">
        <v>20</v>
      </c>
      <c r="Q328">
        <f>(VALUE(LEFT(SUBSTITUTE(O328,"T"," "),23)) - VALUE(LEFT(SUBSTITUTE(N328,"T"," "),23))) * 86400</f>
        <v>336.34500035550445</v>
      </c>
      <c r="R328">
        <f>I328/G328</f>
        <v>0.10596712664249046</v>
      </c>
      <c r="S328">
        <f>H328/G328</f>
        <v>0.31790137992747136</v>
      </c>
    </row>
    <row r="329" spans="1:19" hidden="1" x14ac:dyDescent="0.2">
      <c r="A329" s="1">
        <v>22</v>
      </c>
      <c r="B329" s="1" t="s">
        <v>16</v>
      </c>
      <c r="C329" s="1">
        <v>50</v>
      </c>
      <c r="D329" s="1">
        <v>1</v>
      </c>
      <c r="E329" s="1">
        <v>1011</v>
      </c>
      <c r="F329" s="1" t="b">
        <v>1</v>
      </c>
      <c r="G329" s="1">
        <v>74.244</v>
      </c>
      <c r="H329" s="1">
        <v>28</v>
      </c>
      <c r="I329" s="1">
        <v>20</v>
      </c>
      <c r="J329" s="1">
        <v>4.8600000000000003</v>
      </c>
      <c r="K329" s="1" t="s">
        <v>434</v>
      </c>
      <c r="L329" s="1">
        <v>0</v>
      </c>
      <c r="M329" s="1"/>
      <c r="N329" s="1" t="s">
        <v>435</v>
      </c>
      <c r="O329" s="1" t="s">
        <v>436</v>
      </c>
      <c r="P329" s="1" t="s">
        <v>20</v>
      </c>
      <c r="Q329">
        <f>(VALUE(LEFT(SUBSTITUTE(O329,"T"," "),23)) - VALUE(LEFT(SUBSTITUTE(N329,"T"," "),23))) * 86400</f>
        <v>320.2820003265515</v>
      </c>
      <c r="R329">
        <f>I329/G329</f>
        <v>0.26938203760573243</v>
      </c>
      <c r="S329">
        <f>H329/G329</f>
        <v>0.37713485264802543</v>
      </c>
    </row>
    <row r="330" spans="1:19" hidden="1" x14ac:dyDescent="0.2">
      <c r="A330" s="1">
        <v>25</v>
      </c>
      <c r="B330" s="1" t="s">
        <v>16</v>
      </c>
      <c r="C330" s="1">
        <v>70</v>
      </c>
      <c r="D330" s="1">
        <v>1</v>
      </c>
      <c r="E330" s="1">
        <v>1011</v>
      </c>
      <c r="F330" s="1" t="b">
        <v>1</v>
      </c>
      <c r="G330" s="1">
        <v>60.56</v>
      </c>
      <c r="H330" s="1">
        <v>25</v>
      </c>
      <c r="I330" s="1">
        <v>11</v>
      </c>
      <c r="J330" s="1">
        <v>1.8</v>
      </c>
      <c r="K330" s="1" t="s">
        <v>443</v>
      </c>
      <c r="L330" s="1">
        <v>0</v>
      </c>
      <c r="M330" s="1"/>
      <c r="N330" s="1" t="s">
        <v>444</v>
      </c>
      <c r="O330" s="1" t="s">
        <v>445</v>
      </c>
      <c r="P330" s="1" t="s">
        <v>20</v>
      </c>
      <c r="Q330">
        <f>(VALUE(LEFT(SUBSTITUTE(O330,"T"," "),23)) - VALUE(LEFT(SUBSTITUTE(N330,"T"," "),23))) * 86400</f>
        <v>240.5319997575134</v>
      </c>
      <c r="R330">
        <f>I330/G330</f>
        <v>0.18163804491413474</v>
      </c>
      <c r="S330">
        <f>H330/G330</f>
        <v>0.41281373844121533</v>
      </c>
    </row>
    <row r="331" spans="1:19" hidden="1" x14ac:dyDescent="0.2">
      <c r="A331">
        <v>31</v>
      </c>
      <c r="B331" t="s">
        <v>3414</v>
      </c>
      <c r="C331">
        <v>-1</v>
      </c>
      <c r="D331">
        <v>4</v>
      </c>
      <c r="E331">
        <v>1013</v>
      </c>
      <c r="F331" t="b">
        <v>1</v>
      </c>
      <c r="G331">
        <v>36.9</v>
      </c>
      <c r="H331">
        <v>29</v>
      </c>
      <c r="I331">
        <v>6</v>
      </c>
      <c r="J331">
        <v>4.92</v>
      </c>
      <c r="K331" t="s">
        <v>3640</v>
      </c>
      <c r="L331">
        <v>0</v>
      </c>
      <c r="N331" t="s">
        <v>3641</v>
      </c>
      <c r="O331" t="s">
        <v>3642</v>
      </c>
      <c r="P331" t="s">
        <v>20</v>
      </c>
      <c r="Q331">
        <f>(VALUE(LEFT(SUBSTITUTE(O331,"T"," "),23)) - VALUE(LEFT(SUBSTITUTE(N331,"T"," "),23))) * 86400</f>
        <v>166.97400002740324</v>
      </c>
      <c r="R331">
        <f>I331/G331</f>
        <v>0.16260162601626016</v>
      </c>
      <c r="S331">
        <f>H331/G331</f>
        <v>0.78590785907859084</v>
      </c>
    </row>
    <row r="332" spans="1:19" hidden="1" x14ac:dyDescent="0.2">
      <c r="A332">
        <v>5</v>
      </c>
      <c r="B332" t="s">
        <v>21</v>
      </c>
      <c r="C332">
        <v>0</v>
      </c>
      <c r="D332">
        <v>1</v>
      </c>
      <c r="E332">
        <v>1012</v>
      </c>
      <c r="F332" t="b">
        <v>1</v>
      </c>
      <c r="G332">
        <v>78.536000000000001</v>
      </c>
      <c r="H332">
        <v>23</v>
      </c>
      <c r="I332">
        <v>1</v>
      </c>
      <c r="J332">
        <v>0.06</v>
      </c>
      <c r="K332" t="s">
        <v>988</v>
      </c>
      <c r="L332">
        <v>0</v>
      </c>
      <c r="N332" t="s">
        <v>989</v>
      </c>
      <c r="O332" t="s">
        <v>990</v>
      </c>
      <c r="P332" t="s">
        <v>20</v>
      </c>
      <c r="Q332">
        <f>(VALUE(LEFT(SUBSTITUTE(O332,"T"," "),23)) - VALUE(LEFT(SUBSTITUTE(N332,"T"," "),23))) * 86400</f>
        <v>416.9090002309531</v>
      </c>
      <c r="R332">
        <f>I332/G332</f>
        <v>1.2733014159111745E-2</v>
      </c>
      <c r="S332">
        <f>H332/G332</f>
        <v>0.29285932565957012</v>
      </c>
    </row>
    <row r="333" spans="1:19" x14ac:dyDescent="0.2">
      <c r="A333">
        <v>8</v>
      </c>
      <c r="B333" t="s">
        <v>21</v>
      </c>
      <c r="C333">
        <v>2</v>
      </c>
      <c r="D333">
        <v>1</v>
      </c>
      <c r="E333">
        <v>1020</v>
      </c>
      <c r="F333" t="b">
        <v>1</v>
      </c>
      <c r="G333">
        <v>75.084000000000003</v>
      </c>
      <c r="H333">
        <v>23</v>
      </c>
      <c r="I333">
        <v>3</v>
      </c>
      <c r="J333">
        <v>2.04</v>
      </c>
      <c r="K333" t="s">
        <v>221</v>
      </c>
      <c r="L333">
        <v>0</v>
      </c>
      <c r="N333" t="s">
        <v>222</v>
      </c>
      <c r="O333" t="s">
        <v>223</v>
      </c>
      <c r="P333" t="s">
        <v>20</v>
      </c>
      <c r="Q333">
        <f>(VALUE(LEFT(SUBSTITUTE(O333,"T"," "),23)) - VALUE(LEFT(SUBSTITUTE(N333,"T"," "),23))) * 86400</f>
        <v>291.96200016885996</v>
      </c>
      <c r="R333">
        <f>I333/G333</f>
        <v>3.9955250119865747E-2</v>
      </c>
      <c r="S333">
        <f>H333/G333</f>
        <v>0.30632358425230405</v>
      </c>
    </row>
    <row r="334" spans="1:19" hidden="1" x14ac:dyDescent="0.2">
      <c r="A334">
        <v>11</v>
      </c>
      <c r="B334" t="s">
        <v>21</v>
      </c>
      <c r="C334">
        <v>5</v>
      </c>
      <c r="D334">
        <v>1</v>
      </c>
      <c r="E334">
        <v>1012</v>
      </c>
      <c r="F334" t="b">
        <v>1</v>
      </c>
      <c r="G334">
        <v>65.132000000000005</v>
      </c>
      <c r="H334">
        <v>23</v>
      </c>
      <c r="I334">
        <v>2</v>
      </c>
      <c r="J334">
        <v>0.96</v>
      </c>
      <c r="K334" t="s">
        <v>1006</v>
      </c>
      <c r="L334">
        <v>0</v>
      </c>
      <c r="N334" t="s">
        <v>1007</v>
      </c>
      <c r="O334" t="s">
        <v>1008</v>
      </c>
      <c r="P334" t="s">
        <v>20</v>
      </c>
      <c r="Q334">
        <f>(VALUE(LEFT(SUBSTITUTE(O334,"T"," "),23)) - VALUE(LEFT(SUBSTITUTE(N334,"T"," "),23))) * 86400</f>
        <v>304.973000055179</v>
      </c>
      <c r="R334">
        <f>I334/G334</f>
        <v>3.0706872197997909E-2</v>
      </c>
      <c r="S334">
        <f>H334/G334</f>
        <v>0.35312903027697595</v>
      </c>
    </row>
    <row r="335" spans="1:19" hidden="1" x14ac:dyDescent="0.2">
      <c r="A335">
        <v>14</v>
      </c>
      <c r="B335" t="s">
        <v>21</v>
      </c>
      <c r="C335">
        <v>10</v>
      </c>
      <c r="D335">
        <v>1</v>
      </c>
      <c r="E335">
        <v>1012</v>
      </c>
      <c r="F335" t="b">
        <v>1</v>
      </c>
      <c r="G335">
        <v>75.456000000000003</v>
      </c>
      <c r="H335">
        <v>25</v>
      </c>
      <c r="I335">
        <v>2</v>
      </c>
      <c r="J335">
        <v>0.42</v>
      </c>
      <c r="K335" t="s">
        <v>1015</v>
      </c>
      <c r="L335">
        <v>0</v>
      </c>
      <c r="N335" t="s">
        <v>1016</v>
      </c>
      <c r="O335" t="s">
        <v>1017</v>
      </c>
      <c r="P335" t="s">
        <v>20</v>
      </c>
      <c r="Q335">
        <f>(VALUE(LEFT(SUBSTITUTE(O335,"T"," "),23)) - VALUE(LEFT(SUBSTITUTE(N335,"T"," "),23))) * 86400</f>
        <v>397.94399987440556</v>
      </c>
      <c r="R335">
        <f>I335/G335</f>
        <v>2.6505513146734518E-2</v>
      </c>
      <c r="S335">
        <f>H335/G335</f>
        <v>0.33131891433418148</v>
      </c>
    </row>
    <row r="336" spans="1:19" hidden="1" x14ac:dyDescent="0.2">
      <c r="A336">
        <v>17</v>
      </c>
      <c r="B336" t="s">
        <v>21</v>
      </c>
      <c r="C336">
        <v>15</v>
      </c>
      <c r="D336">
        <v>1</v>
      </c>
      <c r="E336">
        <v>1012</v>
      </c>
      <c r="F336" t="b">
        <v>1</v>
      </c>
      <c r="G336">
        <v>74.275999999999996</v>
      </c>
      <c r="H336">
        <v>29</v>
      </c>
      <c r="I336">
        <v>8</v>
      </c>
      <c r="J336">
        <v>2.76</v>
      </c>
      <c r="K336" t="s">
        <v>1024</v>
      </c>
      <c r="L336">
        <v>0</v>
      </c>
      <c r="N336" t="s">
        <v>1025</v>
      </c>
      <c r="O336" t="s">
        <v>1026</v>
      </c>
      <c r="P336" t="s">
        <v>20</v>
      </c>
      <c r="Q336">
        <f>(VALUE(LEFT(SUBSTITUTE(O336,"T"," "),23)) - VALUE(LEFT(SUBSTITUTE(N336,"T"," "),23))) * 86400</f>
        <v>297.19999982044101</v>
      </c>
      <c r="R336">
        <f>I336/G336</f>
        <v>0.10770639237438742</v>
      </c>
      <c r="S336">
        <f>H336/G336</f>
        <v>0.39043567235715443</v>
      </c>
    </row>
    <row r="337" spans="1:19" hidden="1" x14ac:dyDescent="0.2">
      <c r="A337">
        <v>20</v>
      </c>
      <c r="B337" t="s">
        <v>21</v>
      </c>
      <c r="C337">
        <v>20</v>
      </c>
      <c r="D337">
        <v>1</v>
      </c>
      <c r="E337">
        <v>1012</v>
      </c>
      <c r="F337" t="b">
        <v>1</v>
      </c>
      <c r="G337">
        <v>81.275999999999996</v>
      </c>
      <c r="H337">
        <v>23</v>
      </c>
      <c r="I337">
        <v>6</v>
      </c>
      <c r="J337">
        <v>2.76</v>
      </c>
      <c r="K337" t="s">
        <v>1033</v>
      </c>
      <c r="L337">
        <v>0</v>
      </c>
      <c r="N337" t="s">
        <v>1034</v>
      </c>
      <c r="O337" t="s">
        <v>1035</v>
      </c>
      <c r="P337" t="s">
        <v>20</v>
      </c>
      <c r="Q337">
        <f>(VALUE(LEFT(SUBSTITUTE(O337,"T"," "),23)) - VALUE(LEFT(SUBSTITUTE(N337,"T"," "),23))) * 86400</f>
        <v>389.97100009582937</v>
      </c>
      <c r="R337">
        <f>I337/G337</f>
        <v>7.382253063635022E-2</v>
      </c>
      <c r="S337">
        <f>H337/G337</f>
        <v>0.28298636743934252</v>
      </c>
    </row>
    <row r="338" spans="1:19" hidden="1" x14ac:dyDescent="0.2">
      <c r="A338">
        <v>23</v>
      </c>
      <c r="B338" t="s">
        <v>21</v>
      </c>
      <c r="C338">
        <v>50</v>
      </c>
      <c r="D338">
        <v>1</v>
      </c>
      <c r="E338">
        <v>1012</v>
      </c>
      <c r="F338" t="b">
        <v>1</v>
      </c>
      <c r="G338">
        <v>57.372</v>
      </c>
      <c r="H338">
        <v>25</v>
      </c>
      <c r="I338">
        <v>2</v>
      </c>
      <c r="J338">
        <v>0.6</v>
      </c>
      <c r="K338" t="s">
        <v>1042</v>
      </c>
      <c r="L338">
        <v>0</v>
      </c>
      <c r="N338" t="s">
        <v>1043</v>
      </c>
      <c r="O338" t="s">
        <v>1044</v>
      </c>
      <c r="P338" t="s">
        <v>20</v>
      </c>
      <c r="Q338">
        <f>(VALUE(LEFT(SUBSTITUTE(O338,"T"," "),23)) - VALUE(LEFT(SUBSTITUTE(N338,"T"," "),23))) * 86400</f>
        <v>275.90799978934228</v>
      </c>
      <c r="R338">
        <f>I338/G338</f>
        <v>3.4860210555671754E-2</v>
      </c>
      <c r="S338">
        <f>H338/G338</f>
        <v>0.43575263194589697</v>
      </c>
    </row>
    <row r="339" spans="1:19" hidden="1" x14ac:dyDescent="0.2">
      <c r="A339">
        <v>26</v>
      </c>
      <c r="B339" t="s">
        <v>21</v>
      </c>
      <c r="C339">
        <v>70</v>
      </c>
      <c r="D339">
        <v>1</v>
      </c>
      <c r="E339">
        <v>1012</v>
      </c>
      <c r="F339" t="b">
        <v>1</v>
      </c>
      <c r="G339">
        <v>53.82</v>
      </c>
      <c r="H339">
        <v>21</v>
      </c>
      <c r="I339">
        <v>12</v>
      </c>
      <c r="J339">
        <v>3.96</v>
      </c>
      <c r="K339" t="s">
        <v>1051</v>
      </c>
      <c r="L339">
        <v>0</v>
      </c>
      <c r="N339" t="s">
        <v>1052</v>
      </c>
      <c r="O339" t="s">
        <v>1053</v>
      </c>
      <c r="P339" t="s">
        <v>20</v>
      </c>
      <c r="Q339">
        <f>(VALUE(LEFT(SUBSTITUTE(O339,"T"," "),23)) - VALUE(LEFT(SUBSTITUTE(N339,"T"," "),23))) * 86400</f>
        <v>476.39500012155622</v>
      </c>
      <c r="R339">
        <f>I339/G339</f>
        <v>0.2229654403567447</v>
      </c>
      <c r="S339">
        <f>H339/G339</f>
        <v>0.39018952062430323</v>
      </c>
    </row>
    <row r="340" spans="1:19" hidden="1" x14ac:dyDescent="0.2">
      <c r="A340">
        <v>9</v>
      </c>
      <c r="B340" t="s">
        <v>3413</v>
      </c>
      <c r="C340">
        <v>-1</v>
      </c>
      <c r="D340">
        <v>5</v>
      </c>
      <c r="E340">
        <v>1014</v>
      </c>
      <c r="F340" t="b">
        <v>1</v>
      </c>
      <c r="G340">
        <v>38.276000000000003</v>
      </c>
      <c r="H340">
        <v>30</v>
      </c>
      <c r="I340">
        <v>5</v>
      </c>
      <c r="J340">
        <v>5.0999999999999996</v>
      </c>
      <c r="K340" t="s">
        <v>3048</v>
      </c>
      <c r="L340">
        <v>0</v>
      </c>
      <c r="N340" t="s">
        <v>3049</v>
      </c>
      <c r="O340" t="s">
        <v>3050</v>
      </c>
      <c r="P340" t="s">
        <v>20</v>
      </c>
      <c r="Q340">
        <f>(VALUE(LEFT(SUBSTITUTE(O340,"T"," "),23)) - VALUE(LEFT(SUBSTITUTE(N340,"T"," "),23))) * 86400</f>
        <v>148.84400004521012</v>
      </c>
      <c r="R340">
        <f>I340/G340</f>
        <v>0.13063015989131568</v>
      </c>
      <c r="S340">
        <f>H340/G340</f>
        <v>0.78378095934789416</v>
      </c>
    </row>
    <row r="341" spans="1:19" hidden="1" x14ac:dyDescent="0.2">
      <c r="A341">
        <v>6</v>
      </c>
      <c r="B341" t="s">
        <v>25</v>
      </c>
      <c r="C341">
        <v>0</v>
      </c>
      <c r="D341">
        <v>1</v>
      </c>
      <c r="E341">
        <v>1012</v>
      </c>
      <c r="F341" t="b">
        <v>1</v>
      </c>
      <c r="G341">
        <v>54.643999999999998</v>
      </c>
      <c r="H341">
        <v>24</v>
      </c>
      <c r="I341">
        <v>4</v>
      </c>
      <c r="J341">
        <v>0.42</v>
      </c>
      <c r="K341" t="s">
        <v>991</v>
      </c>
      <c r="L341">
        <v>0</v>
      </c>
      <c r="N341" t="s">
        <v>992</v>
      </c>
      <c r="O341" t="s">
        <v>993</v>
      </c>
      <c r="P341" t="s">
        <v>20</v>
      </c>
      <c r="Q341">
        <f>(VALUE(LEFT(SUBSTITUTE(O341,"T"," "),23)) - VALUE(LEFT(SUBSTITUTE(N341,"T"," "),23))) * 86400</f>
        <v>239.89300013054162</v>
      </c>
      <c r="R341">
        <f>I341/G341</f>
        <v>7.3201083376033968E-2</v>
      </c>
      <c r="S341">
        <f>H341/G341</f>
        <v>0.43920650025620378</v>
      </c>
    </row>
    <row r="342" spans="1:19" x14ac:dyDescent="0.2">
      <c r="A342">
        <v>7</v>
      </c>
      <c r="B342" t="s">
        <v>2531</v>
      </c>
      <c r="C342">
        <v>2</v>
      </c>
      <c r="D342">
        <v>2</v>
      </c>
      <c r="E342">
        <v>1026</v>
      </c>
      <c r="F342" t="b">
        <v>1</v>
      </c>
      <c r="G342">
        <v>91.328000000000003</v>
      </c>
      <c r="H342">
        <v>28</v>
      </c>
      <c r="I342">
        <v>4</v>
      </c>
      <c r="J342">
        <v>1.5</v>
      </c>
      <c r="K342" t="s">
        <v>2958</v>
      </c>
      <c r="L342">
        <v>0</v>
      </c>
      <c r="N342" t="s">
        <v>2959</v>
      </c>
      <c r="O342" t="s">
        <v>2960</v>
      </c>
      <c r="Q342">
        <f>(VALUE(LEFT(SUBSTITUTE(O342,"T"," "),23)) - VALUE(LEFT(SUBSTITUTE(N342,"T"," "),23))) * 86400</f>
        <v>387.84500013571233</v>
      </c>
      <c r="R342">
        <f>I342/G342</f>
        <v>4.379817799579537E-2</v>
      </c>
      <c r="S342">
        <f>H342/G342</f>
        <v>0.30658724597056763</v>
      </c>
    </row>
    <row r="343" spans="1:19" hidden="1" x14ac:dyDescent="0.2">
      <c r="A343">
        <v>12</v>
      </c>
      <c r="B343" t="s">
        <v>25</v>
      </c>
      <c r="C343">
        <v>5</v>
      </c>
      <c r="D343">
        <v>1</v>
      </c>
      <c r="E343">
        <v>1012</v>
      </c>
      <c r="F343" t="b">
        <v>1</v>
      </c>
      <c r="G343">
        <v>38.223999999999997</v>
      </c>
      <c r="H343">
        <v>28</v>
      </c>
      <c r="I343">
        <v>1</v>
      </c>
      <c r="J343">
        <v>0.72</v>
      </c>
      <c r="K343" t="s">
        <v>1009</v>
      </c>
      <c r="L343">
        <v>0</v>
      </c>
      <c r="N343" t="s">
        <v>1010</v>
      </c>
      <c r="O343" t="s">
        <v>1011</v>
      </c>
      <c r="P343" t="s">
        <v>20</v>
      </c>
      <c r="Q343">
        <f>(VALUE(LEFT(SUBSTITUTE(O343,"T"," "),23)) - VALUE(LEFT(SUBSTITUTE(N343,"T"," "),23))) * 86400</f>
        <v>173.50999983027577</v>
      </c>
      <c r="R343">
        <f>I343/G343</f>
        <v>2.6161573880284641E-2</v>
      </c>
      <c r="S343">
        <f>H343/G343</f>
        <v>0.73252406864796993</v>
      </c>
    </row>
    <row r="344" spans="1:19" hidden="1" x14ac:dyDescent="0.2">
      <c r="A344">
        <v>15</v>
      </c>
      <c r="B344" t="s">
        <v>25</v>
      </c>
      <c r="C344">
        <v>10</v>
      </c>
      <c r="D344">
        <v>1</v>
      </c>
      <c r="E344">
        <v>1012</v>
      </c>
      <c r="F344" t="b">
        <v>1</v>
      </c>
      <c r="G344">
        <v>51.64</v>
      </c>
      <c r="H344">
        <v>22</v>
      </c>
      <c r="I344">
        <v>3</v>
      </c>
      <c r="J344">
        <v>0.6</v>
      </c>
      <c r="K344" t="s">
        <v>1018</v>
      </c>
      <c r="L344">
        <v>0</v>
      </c>
      <c r="N344" t="s">
        <v>1019</v>
      </c>
      <c r="O344" t="s">
        <v>1020</v>
      </c>
      <c r="P344" t="s">
        <v>20</v>
      </c>
      <c r="Q344">
        <f>(VALUE(LEFT(SUBSTITUTE(O344,"T"," "),23)) - VALUE(LEFT(SUBSTITUTE(N344,"T"," "),23))) * 86400</f>
        <v>260.52500009536743</v>
      </c>
      <c r="R344">
        <f>I344/G344</f>
        <v>5.8094500387296667E-2</v>
      </c>
      <c r="S344">
        <f>H344/G344</f>
        <v>0.42602633617350888</v>
      </c>
    </row>
    <row r="345" spans="1:19" hidden="1" x14ac:dyDescent="0.2">
      <c r="A345">
        <v>18</v>
      </c>
      <c r="B345" t="s">
        <v>25</v>
      </c>
      <c r="C345">
        <v>15</v>
      </c>
      <c r="D345">
        <v>1</v>
      </c>
      <c r="E345">
        <v>1012</v>
      </c>
      <c r="F345" t="b">
        <v>1</v>
      </c>
      <c r="G345">
        <v>49.444000000000003</v>
      </c>
      <c r="H345">
        <v>23</v>
      </c>
      <c r="I345">
        <v>5</v>
      </c>
      <c r="J345">
        <v>2.46</v>
      </c>
      <c r="K345" t="s">
        <v>1027</v>
      </c>
      <c r="L345">
        <v>0</v>
      </c>
      <c r="N345" t="s">
        <v>1028</v>
      </c>
      <c r="O345" t="s">
        <v>1029</v>
      </c>
      <c r="P345" t="s">
        <v>20</v>
      </c>
      <c r="Q345">
        <f>(VALUE(LEFT(SUBSTITUTE(O345,"T"," "),23)) - VALUE(LEFT(SUBSTITUTE(N345,"T"," "),23))) * 86400</f>
        <v>221.60299988463521</v>
      </c>
      <c r="R345">
        <f>I345/G345</f>
        <v>0.10112450448992799</v>
      </c>
      <c r="S345">
        <f>H345/G345</f>
        <v>0.46517272065366877</v>
      </c>
    </row>
    <row r="346" spans="1:19" hidden="1" x14ac:dyDescent="0.2">
      <c r="A346">
        <v>21</v>
      </c>
      <c r="B346" t="s">
        <v>25</v>
      </c>
      <c r="C346">
        <v>20</v>
      </c>
      <c r="D346">
        <v>1</v>
      </c>
      <c r="E346">
        <v>1012</v>
      </c>
      <c r="F346" t="b">
        <v>1</v>
      </c>
      <c r="G346">
        <v>65.372</v>
      </c>
      <c r="H346">
        <v>26</v>
      </c>
      <c r="I346">
        <v>7</v>
      </c>
      <c r="J346">
        <v>0.96</v>
      </c>
      <c r="K346" t="s">
        <v>1036</v>
      </c>
      <c r="L346">
        <v>0</v>
      </c>
      <c r="N346" t="s">
        <v>1037</v>
      </c>
      <c r="O346" t="s">
        <v>1038</v>
      </c>
      <c r="P346" t="s">
        <v>20</v>
      </c>
      <c r="Q346">
        <f>(VALUE(LEFT(SUBSTITUTE(O346,"T"," "),23)) - VALUE(LEFT(SUBSTITUTE(N346,"T"," "),23))) * 86400</f>
        <v>247.32200014404953</v>
      </c>
      <c r="R346">
        <f>I346/G346</f>
        <v>0.10707948357094781</v>
      </c>
      <c r="S346">
        <f>H346/G346</f>
        <v>0.39772379612066328</v>
      </c>
    </row>
    <row r="347" spans="1:19" hidden="1" x14ac:dyDescent="0.2">
      <c r="A347">
        <v>24</v>
      </c>
      <c r="B347" t="s">
        <v>25</v>
      </c>
      <c r="C347">
        <v>50</v>
      </c>
      <c r="D347">
        <v>1</v>
      </c>
      <c r="E347">
        <v>1012</v>
      </c>
      <c r="F347" t="b">
        <v>1</v>
      </c>
      <c r="G347">
        <v>34.576000000000001</v>
      </c>
      <c r="H347">
        <v>27</v>
      </c>
      <c r="I347">
        <v>5</v>
      </c>
      <c r="J347">
        <v>2.76</v>
      </c>
      <c r="K347" t="s">
        <v>1045</v>
      </c>
      <c r="L347">
        <v>0</v>
      </c>
      <c r="N347" t="s">
        <v>1046</v>
      </c>
      <c r="O347" t="s">
        <v>1047</v>
      </c>
      <c r="P347" t="s">
        <v>20</v>
      </c>
      <c r="Q347">
        <f>(VALUE(LEFT(SUBSTITUTE(O347,"T"," "),23)) - VALUE(LEFT(SUBSTITUTE(N347,"T"," "),23))) * 86400</f>
        <v>129.78900005109608</v>
      </c>
      <c r="R347">
        <f>I347/G347</f>
        <v>0.14460897732531236</v>
      </c>
      <c r="S347">
        <f>H347/G347</f>
        <v>0.78088847755668667</v>
      </c>
    </row>
    <row r="348" spans="1:19" hidden="1" x14ac:dyDescent="0.2">
      <c r="A348">
        <v>27</v>
      </c>
      <c r="B348" t="s">
        <v>25</v>
      </c>
      <c r="C348">
        <v>70</v>
      </c>
      <c r="D348">
        <v>1</v>
      </c>
      <c r="E348">
        <v>1012</v>
      </c>
      <c r="F348" t="b">
        <v>1</v>
      </c>
      <c r="G348">
        <v>47.683999999999997</v>
      </c>
      <c r="H348">
        <v>27</v>
      </c>
      <c r="I348">
        <v>8</v>
      </c>
      <c r="J348">
        <v>1.68</v>
      </c>
      <c r="K348" t="s">
        <v>1054</v>
      </c>
      <c r="L348">
        <v>0</v>
      </c>
      <c r="N348" t="s">
        <v>1055</v>
      </c>
      <c r="O348" t="s">
        <v>1056</v>
      </c>
      <c r="P348" t="s">
        <v>20</v>
      </c>
      <c r="Q348">
        <f>(VALUE(LEFT(SUBSTITUTE(O348,"T"," "),23)) - VALUE(LEFT(SUBSTITUTE(N348,"T"," "),23))) * 86400</f>
        <v>184.6539999358356</v>
      </c>
      <c r="R348">
        <f>I348/G348</f>
        <v>0.16777116013757237</v>
      </c>
      <c r="S348">
        <f>H348/G348</f>
        <v>0.5662276654643067</v>
      </c>
    </row>
    <row r="349" spans="1:19" hidden="1" x14ac:dyDescent="0.2">
      <c r="A349">
        <v>18</v>
      </c>
      <c r="B349" t="s">
        <v>2476</v>
      </c>
      <c r="C349">
        <v>-1</v>
      </c>
      <c r="D349">
        <v>3</v>
      </c>
      <c r="E349">
        <v>1012</v>
      </c>
      <c r="F349" t="b">
        <v>1</v>
      </c>
      <c r="G349">
        <v>37.052</v>
      </c>
      <c r="H349">
        <v>29</v>
      </c>
      <c r="I349">
        <v>7</v>
      </c>
      <c r="J349">
        <v>4.26</v>
      </c>
      <c r="K349" t="s">
        <v>2703</v>
      </c>
      <c r="L349">
        <v>0</v>
      </c>
      <c r="N349" t="s">
        <v>2704</v>
      </c>
      <c r="O349" t="s">
        <v>2705</v>
      </c>
      <c r="P349" t="s">
        <v>20</v>
      </c>
      <c r="Q349">
        <f>(VALUE(LEFT(SUBSTITUTE(O349,"T"," "),23)) - VALUE(LEFT(SUBSTITUTE(N349,"T"," "),23))) * 86400</f>
        <v>201.96800027042627</v>
      </c>
      <c r="R349">
        <f>I349/G349</f>
        <v>0.18892367483536651</v>
      </c>
      <c r="S349">
        <f>H349/G349</f>
        <v>0.78268379574651836</v>
      </c>
    </row>
    <row r="350" spans="1:19" hidden="1" x14ac:dyDescent="0.2">
      <c r="A350">
        <v>4</v>
      </c>
      <c r="B350" t="s">
        <v>16</v>
      </c>
      <c r="C350">
        <v>0</v>
      </c>
      <c r="D350">
        <v>1</v>
      </c>
      <c r="E350">
        <v>1012</v>
      </c>
      <c r="F350" t="b">
        <v>1</v>
      </c>
      <c r="G350">
        <v>70.924000000000007</v>
      </c>
      <c r="H350">
        <v>28</v>
      </c>
      <c r="I350">
        <v>0</v>
      </c>
      <c r="J350">
        <v>0</v>
      </c>
      <c r="K350" t="s">
        <v>985</v>
      </c>
      <c r="L350">
        <v>0</v>
      </c>
      <c r="N350" t="s">
        <v>986</v>
      </c>
      <c r="O350" t="s">
        <v>987</v>
      </c>
      <c r="P350" t="s">
        <v>20</v>
      </c>
      <c r="Q350">
        <f>(VALUE(LEFT(SUBSTITUTE(O350,"T"," "),23)) - VALUE(LEFT(SUBSTITUTE(N350,"T"," "),23))) * 86400</f>
        <v>274.21100009232759</v>
      </c>
      <c r="R350">
        <f>I350/G350</f>
        <v>0</v>
      </c>
      <c r="S350">
        <f>H350/G350</f>
        <v>0.39478878799842082</v>
      </c>
    </row>
    <row r="351" spans="1:19" x14ac:dyDescent="0.2">
      <c r="A351">
        <v>115</v>
      </c>
      <c r="B351" t="s">
        <v>16</v>
      </c>
      <c r="C351">
        <v>2</v>
      </c>
      <c r="D351">
        <v>5</v>
      </c>
      <c r="E351">
        <v>1026</v>
      </c>
      <c r="F351" t="b">
        <v>1</v>
      </c>
      <c r="G351">
        <v>91.08</v>
      </c>
      <c r="H351">
        <v>28</v>
      </c>
      <c r="I351">
        <v>0</v>
      </c>
      <c r="J351">
        <v>0</v>
      </c>
      <c r="K351" t="s">
        <v>1739</v>
      </c>
      <c r="L351">
        <v>0</v>
      </c>
      <c r="N351" t="s">
        <v>1740</v>
      </c>
      <c r="O351" t="s">
        <v>1741</v>
      </c>
      <c r="P351" t="s">
        <v>20</v>
      </c>
      <c r="Q351">
        <f>(VALUE(LEFT(SUBSTITUTE(O351,"T"," "),23)) - VALUE(LEFT(SUBSTITUTE(N351,"T"," "),23))) * 86400</f>
        <v>331.09700025524944</v>
      </c>
      <c r="R351">
        <f>I351/G351</f>
        <v>0</v>
      </c>
      <c r="S351">
        <f>H351/G351</f>
        <v>0.30742204655248134</v>
      </c>
    </row>
    <row r="352" spans="1:19" hidden="1" x14ac:dyDescent="0.2">
      <c r="A352">
        <v>10</v>
      </c>
      <c r="B352" t="s">
        <v>16</v>
      </c>
      <c r="C352">
        <v>5</v>
      </c>
      <c r="D352">
        <v>1</v>
      </c>
      <c r="E352">
        <v>1012</v>
      </c>
      <c r="F352" t="b">
        <v>1</v>
      </c>
      <c r="G352">
        <v>67.108000000000004</v>
      </c>
      <c r="H352">
        <v>29</v>
      </c>
      <c r="I352">
        <v>1</v>
      </c>
      <c r="J352">
        <v>0.42</v>
      </c>
      <c r="K352" t="s">
        <v>1003</v>
      </c>
      <c r="L352">
        <v>0</v>
      </c>
      <c r="N352" t="s">
        <v>1004</v>
      </c>
      <c r="O352" t="s">
        <v>1005</v>
      </c>
      <c r="P352" t="s">
        <v>20</v>
      </c>
      <c r="Q352">
        <f>(VALUE(LEFT(SUBSTITUTE(O352,"T"," "),23)) - VALUE(LEFT(SUBSTITUTE(N352,"T"," "),23))) * 86400</f>
        <v>289.88499976694584</v>
      </c>
      <c r="R352">
        <f>I352/G352</f>
        <v>1.4901353042856291E-2</v>
      </c>
      <c r="S352">
        <f>H352/G352</f>
        <v>0.4321392382428324</v>
      </c>
    </row>
    <row r="353" spans="1:19" hidden="1" x14ac:dyDescent="0.2">
      <c r="A353">
        <v>13</v>
      </c>
      <c r="B353" t="s">
        <v>16</v>
      </c>
      <c r="C353">
        <v>10</v>
      </c>
      <c r="D353">
        <v>1</v>
      </c>
      <c r="E353">
        <v>1012</v>
      </c>
      <c r="F353" t="b">
        <v>1</v>
      </c>
      <c r="G353">
        <v>62.968000000000004</v>
      </c>
      <c r="H353">
        <v>24</v>
      </c>
      <c r="I353">
        <v>4</v>
      </c>
      <c r="J353">
        <v>1.08</v>
      </c>
      <c r="K353" t="s">
        <v>1012</v>
      </c>
      <c r="L353">
        <v>0</v>
      </c>
      <c r="N353" t="s">
        <v>1013</v>
      </c>
      <c r="O353" t="s">
        <v>1014</v>
      </c>
      <c r="P353" t="s">
        <v>20</v>
      </c>
      <c r="Q353">
        <f>(VALUE(LEFT(SUBSTITUTE(O353,"T"," "),23)) - VALUE(LEFT(SUBSTITUTE(N353,"T"," "),23))) * 86400</f>
        <v>268.13599972520024</v>
      </c>
      <c r="R353">
        <f>I353/G353</f>
        <v>6.3524329818320416E-2</v>
      </c>
      <c r="S353">
        <f>H353/G353</f>
        <v>0.38114597890992247</v>
      </c>
    </row>
    <row r="354" spans="1:19" hidden="1" x14ac:dyDescent="0.2">
      <c r="A354">
        <v>16</v>
      </c>
      <c r="B354" t="s">
        <v>16</v>
      </c>
      <c r="C354">
        <v>15</v>
      </c>
      <c r="D354">
        <v>1</v>
      </c>
      <c r="E354">
        <v>1012</v>
      </c>
      <c r="F354" t="b">
        <v>1</v>
      </c>
      <c r="G354">
        <v>85.26</v>
      </c>
      <c r="H354">
        <v>23</v>
      </c>
      <c r="I354">
        <v>8</v>
      </c>
      <c r="J354">
        <v>1.5</v>
      </c>
      <c r="K354" t="s">
        <v>1021</v>
      </c>
      <c r="L354">
        <v>0</v>
      </c>
      <c r="N354" t="s">
        <v>1022</v>
      </c>
      <c r="O354" t="s">
        <v>1023</v>
      </c>
      <c r="P354" t="s">
        <v>20</v>
      </c>
      <c r="Q354">
        <f>(VALUE(LEFT(SUBSTITUTE(O354,"T"," "),23)) - VALUE(LEFT(SUBSTITUTE(N354,"T"," "),23))) * 86400</f>
        <v>289.30899957194924</v>
      </c>
      <c r="R354">
        <f>I354/G354</f>
        <v>9.3830635702556883E-2</v>
      </c>
      <c r="S354">
        <f>H354/G354</f>
        <v>0.26976307764485102</v>
      </c>
    </row>
    <row r="355" spans="1:19" hidden="1" x14ac:dyDescent="0.2">
      <c r="A355">
        <v>19</v>
      </c>
      <c r="B355" t="s">
        <v>16</v>
      </c>
      <c r="C355">
        <v>20</v>
      </c>
      <c r="D355">
        <v>1</v>
      </c>
      <c r="E355">
        <v>1012</v>
      </c>
      <c r="F355" t="b">
        <v>1</v>
      </c>
      <c r="G355">
        <v>65.3</v>
      </c>
      <c r="H355">
        <v>25</v>
      </c>
      <c r="I355">
        <v>5</v>
      </c>
      <c r="J355">
        <v>0.9</v>
      </c>
      <c r="K355" t="s">
        <v>1030</v>
      </c>
      <c r="L355">
        <v>0</v>
      </c>
      <c r="N355" t="s">
        <v>1031</v>
      </c>
      <c r="O355" t="s">
        <v>1032</v>
      </c>
      <c r="P355" t="s">
        <v>20</v>
      </c>
      <c r="Q355">
        <f>(VALUE(LEFT(SUBSTITUTE(O355,"T"," "),23)) - VALUE(LEFT(SUBSTITUTE(N355,"T"," "),23))) * 86400</f>
        <v>275.06300022359937</v>
      </c>
      <c r="R355">
        <f>I355/G355</f>
        <v>7.6569678407350697E-2</v>
      </c>
      <c r="S355">
        <f>H355/G355</f>
        <v>0.38284839203675347</v>
      </c>
    </row>
    <row r="356" spans="1:19" hidden="1" x14ac:dyDescent="0.2">
      <c r="A356">
        <v>22</v>
      </c>
      <c r="B356" t="s">
        <v>16</v>
      </c>
      <c r="C356">
        <v>50</v>
      </c>
      <c r="D356">
        <v>1</v>
      </c>
      <c r="E356">
        <v>1012</v>
      </c>
      <c r="F356" t="b">
        <v>1</v>
      </c>
      <c r="G356">
        <v>59.884</v>
      </c>
      <c r="H356">
        <v>26</v>
      </c>
      <c r="I356">
        <v>1</v>
      </c>
      <c r="J356">
        <v>0.06</v>
      </c>
      <c r="K356" t="s">
        <v>1039</v>
      </c>
      <c r="L356">
        <v>0</v>
      </c>
      <c r="N356" t="s">
        <v>1040</v>
      </c>
      <c r="O356" t="s">
        <v>1041</v>
      </c>
      <c r="P356" t="s">
        <v>20</v>
      </c>
      <c r="Q356">
        <f>(VALUE(LEFT(SUBSTITUTE(O356,"T"," "),23)) - VALUE(LEFT(SUBSTITUTE(N356,"T"," "),23))) * 86400</f>
        <v>263.13799952622503</v>
      </c>
      <c r="R356">
        <f>I356/G356</f>
        <v>1.6698951305857992E-2</v>
      </c>
      <c r="S356">
        <f>H356/G356</f>
        <v>0.43417273395230777</v>
      </c>
    </row>
    <row r="357" spans="1:19" hidden="1" x14ac:dyDescent="0.2">
      <c r="A357">
        <v>25</v>
      </c>
      <c r="B357" t="s">
        <v>16</v>
      </c>
      <c r="C357">
        <v>70</v>
      </c>
      <c r="D357">
        <v>1</v>
      </c>
      <c r="E357">
        <v>1012</v>
      </c>
      <c r="F357" t="b">
        <v>1</v>
      </c>
      <c r="G357">
        <v>78.268000000000001</v>
      </c>
      <c r="H357">
        <v>25</v>
      </c>
      <c r="I357">
        <v>5</v>
      </c>
      <c r="J357">
        <v>0.72</v>
      </c>
      <c r="K357" t="s">
        <v>1048</v>
      </c>
      <c r="L357">
        <v>0</v>
      </c>
      <c r="N357" t="s">
        <v>1049</v>
      </c>
      <c r="O357" t="s">
        <v>1050</v>
      </c>
      <c r="P357" t="s">
        <v>20</v>
      </c>
      <c r="Q357">
        <f>(VALUE(LEFT(SUBSTITUTE(O357,"T"," "),23)) - VALUE(LEFT(SUBSTITUTE(N357,"T"," "),23))) * 86400</f>
        <v>297.60899981483817</v>
      </c>
      <c r="R357">
        <f>I357/G357</f>
        <v>6.38830684315429E-2</v>
      </c>
      <c r="S357">
        <f>H357/G357</f>
        <v>0.3194153421577145</v>
      </c>
    </row>
    <row r="358" spans="1:19" hidden="1" x14ac:dyDescent="0.2">
      <c r="A358">
        <v>15</v>
      </c>
      <c r="B358" t="s">
        <v>3413</v>
      </c>
      <c r="C358">
        <v>-1</v>
      </c>
      <c r="D358">
        <v>8</v>
      </c>
      <c r="E358">
        <v>1027</v>
      </c>
      <c r="F358" t="b">
        <v>1</v>
      </c>
      <c r="G358">
        <v>35.892000000000003</v>
      </c>
      <c r="H358">
        <v>28</v>
      </c>
      <c r="I358">
        <v>4</v>
      </c>
      <c r="J358">
        <v>6.54</v>
      </c>
      <c r="K358" t="s">
        <v>3126</v>
      </c>
      <c r="L358">
        <v>0</v>
      </c>
      <c r="N358" t="s">
        <v>3127</v>
      </c>
      <c r="O358" t="s">
        <v>3128</v>
      </c>
      <c r="P358" t="s">
        <v>20</v>
      </c>
      <c r="Q358">
        <f>(VALUE(LEFT(SUBSTITUTE(O358,"T"," "),23)) - VALUE(LEFT(SUBSTITUTE(N358,"T"," "),23))) * 86400</f>
        <v>147.15000023134053</v>
      </c>
      <c r="R358">
        <f>I358/G358</f>
        <v>0.11144544745347151</v>
      </c>
      <c r="S358">
        <f>H358/G358</f>
        <v>0.78011813217430059</v>
      </c>
    </row>
    <row r="359" spans="1:19" hidden="1" x14ac:dyDescent="0.2">
      <c r="A359">
        <v>32</v>
      </c>
      <c r="B359" t="s">
        <v>21</v>
      </c>
      <c r="C359">
        <v>0</v>
      </c>
      <c r="D359">
        <v>2</v>
      </c>
      <c r="E359">
        <v>1013</v>
      </c>
      <c r="F359" t="b">
        <v>1</v>
      </c>
      <c r="G359">
        <v>94.611999999999995</v>
      </c>
      <c r="H359">
        <v>21</v>
      </c>
      <c r="I359">
        <v>3</v>
      </c>
      <c r="J359">
        <v>2.46</v>
      </c>
      <c r="K359" t="s">
        <v>1069</v>
      </c>
      <c r="L359">
        <v>0</v>
      </c>
      <c r="N359" t="s">
        <v>1070</v>
      </c>
      <c r="O359" t="s">
        <v>1071</v>
      </c>
      <c r="P359" t="s">
        <v>20</v>
      </c>
      <c r="Q359">
        <f>(VALUE(LEFT(SUBSTITUTE(O359,"T"," "),23)) - VALUE(LEFT(SUBSTITUTE(N359,"T"," "),23))) * 86400</f>
        <v>400.53799983579665</v>
      </c>
      <c r="R359">
        <f>I359/G359</f>
        <v>3.1708451359235619E-2</v>
      </c>
      <c r="S359">
        <f>H359/G359</f>
        <v>0.22195915951464931</v>
      </c>
    </row>
    <row r="360" spans="1:19" hidden="1" x14ac:dyDescent="0.2">
      <c r="A360">
        <v>111</v>
      </c>
      <c r="B360" t="s">
        <v>25</v>
      </c>
      <c r="C360">
        <v>-1</v>
      </c>
      <c r="D360">
        <v>5</v>
      </c>
      <c r="E360">
        <v>1016</v>
      </c>
      <c r="F360" t="b">
        <v>1</v>
      </c>
      <c r="G360">
        <v>38.091999999999999</v>
      </c>
      <c r="H360">
        <v>29</v>
      </c>
      <c r="I360">
        <v>6</v>
      </c>
      <c r="J360">
        <v>7.56</v>
      </c>
      <c r="K360" t="s">
        <v>1306</v>
      </c>
      <c r="L360">
        <v>0</v>
      </c>
      <c r="N360" t="s">
        <v>1307</v>
      </c>
      <c r="O360" t="s">
        <v>1308</v>
      </c>
      <c r="P360" t="s">
        <v>20</v>
      </c>
      <c r="Q360">
        <f>(VALUE(LEFT(SUBSTITUTE(O360,"T"," "),23)) - VALUE(LEFT(SUBSTITUTE(N360,"T"," "),23))) * 86400</f>
        <v>219.31200006511062</v>
      </c>
      <c r="R360">
        <f>I360/G360</f>
        <v>0.15751338863803424</v>
      </c>
      <c r="S360">
        <f>H360/G360</f>
        <v>0.76131471175049881</v>
      </c>
    </row>
    <row r="361" spans="1:19" hidden="1" x14ac:dyDescent="0.2">
      <c r="A361">
        <v>38</v>
      </c>
      <c r="B361" t="s">
        <v>21</v>
      </c>
      <c r="C361">
        <v>5</v>
      </c>
      <c r="D361">
        <v>2</v>
      </c>
      <c r="E361">
        <v>1013</v>
      </c>
      <c r="F361" t="b">
        <v>1</v>
      </c>
      <c r="G361">
        <v>46.951999999999998</v>
      </c>
      <c r="H361">
        <v>21</v>
      </c>
      <c r="I361">
        <v>1</v>
      </c>
      <c r="J361">
        <v>0.3</v>
      </c>
      <c r="K361" t="s">
        <v>1087</v>
      </c>
      <c r="L361">
        <v>0</v>
      </c>
      <c r="N361" t="s">
        <v>1088</v>
      </c>
      <c r="O361" t="s">
        <v>1089</v>
      </c>
      <c r="P361" t="s">
        <v>20</v>
      </c>
      <c r="Q361">
        <f>(VALUE(LEFT(SUBSTITUTE(O361,"T"," "),23)) - VALUE(LEFT(SUBSTITUTE(N361,"T"," "),23))) * 86400</f>
        <v>295.33999997656792</v>
      </c>
      <c r="R361">
        <f>I361/G361</f>
        <v>2.1298347248253538E-2</v>
      </c>
      <c r="S361">
        <f>H361/G361</f>
        <v>0.44726529221332428</v>
      </c>
    </row>
    <row r="362" spans="1:19" hidden="1" x14ac:dyDescent="0.2">
      <c r="A362">
        <v>41</v>
      </c>
      <c r="B362" t="s">
        <v>21</v>
      </c>
      <c r="C362">
        <v>10</v>
      </c>
      <c r="D362">
        <v>2</v>
      </c>
      <c r="E362">
        <v>1013</v>
      </c>
      <c r="F362" t="b">
        <v>1</v>
      </c>
      <c r="G362">
        <v>52.564</v>
      </c>
      <c r="H362">
        <v>21</v>
      </c>
      <c r="I362">
        <v>8</v>
      </c>
      <c r="J362">
        <v>1.32</v>
      </c>
      <c r="K362" t="s">
        <v>1096</v>
      </c>
      <c r="L362">
        <v>0</v>
      </c>
      <c r="N362" t="s">
        <v>1097</v>
      </c>
      <c r="O362" t="s">
        <v>1098</v>
      </c>
      <c r="P362" t="s">
        <v>20</v>
      </c>
      <c r="Q362">
        <f>(VALUE(LEFT(SUBSTITUTE(O362,"T"," "),23)) - VALUE(LEFT(SUBSTITUTE(N362,"T"," "),23))) * 86400</f>
        <v>218.32899958826602</v>
      </c>
      <c r="R362">
        <f>I362/G362</f>
        <v>0.15219541891789057</v>
      </c>
      <c r="S362">
        <f>H362/G362</f>
        <v>0.39951297465946273</v>
      </c>
    </row>
    <row r="363" spans="1:19" hidden="1" x14ac:dyDescent="0.2">
      <c r="A363">
        <v>44</v>
      </c>
      <c r="B363" t="s">
        <v>21</v>
      </c>
      <c r="C363">
        <v>15</v>
      </c>
      <c r="D363">
        <v>2</v>
      </c>
      <c r="E363">
        <v>1013</v>
      </c>
      <c r="F363" t="b">
        <v>1</v>
      </c>
      <c r="G363">
        <v>59.944000000000003</v>
      </c>
      <c r="H363">
        <v>26</v>
      </c>
      <c r="I363">
        <v>5</v>
      </c>
      <c r="J363">
        <v>1.2</v>
      </c>
      <c r="K363" t="s">
        <v>1105</v>
      </c>
      <c r="L363">
        <v>0</v>
      </c>
      <c r="N363" t="s">
        <v>1106</v>
      </c>
      <c r="O363" t="s">
        <v>1107</v>
      </c>
      <c r="P363" t="s">
        <v>20</v>
      </c>
      <c r="Q363">
        <f>(VALUE(LEFT(SUBSTITUTE(O363,"T"," "),23)) - VALUE(LEFT(SUBSTITUTE(N363,"T"," "),23))) * 86400</f>
        <v>335.8449999243021</v>
      </c>
      <c r="R363">
        <f>I363/G363</f>
        <v>8.3411183771520084E-2</v>
      </c>
      <c r="S363">
        <f>H363/G363</f>
        <v>0.43373815561190443</v>
      </c>
    </row>
    <row r="364" spans="1:19" hidden="1" x14ac:dyDescent="0.2">
      <c r="A364">
        <v>47</v>
      </c>
      <c r="B364" t="s">
        <v>21</v>
      </c>
      <c r="C364">
        <v>20</v>
      </c>
      <c r="D364">
        <v>2</v>
      </c>
      <c r="E364">
        <v>1013</v>
      </c>
      <c r="F364" t="b">
        <v>1</v>
      </c>
      <c r="G364">
        <v>60.552</v>
      </c>
      <c r="H364">
        <v>25</v>
      </c>
      <c r="I364">
        <v>4</v>
      </c>
      <c r="J364">
        <v>1.26</v>
      </c>
      <c r="K364" t="s">
        <v>1114</v>
      </c>
      <c r="L364">
        <v>0</v>
      </c>
      <c r="N364" t="s">
        <v>1115</v>
      </c>
      <c r="O364" t="s">
        <v>1116</v>
      </c>
      <c r="P364" t="s">
        <v>20</v>
      </c>
      <c r="Q364">
        <f>(VALUE(LEFT(SUBSTITUTE(O364,"T"," "),23)) - VALUE(LEFT(SUBSTITUTE(N364,"T"," "),23))) * 86400</f>
        <v>320.11400058399886</v>
      </c>
      <c r="R364">
        <f>I364/G364</f>
        <v>6.6058924560708152E-2</v>
      </c>
      <c r="S364">
        <f>H364/G364</f>
        <v>0.41286827850442592</v>
      </c>
    </row>
    <row r="365" spans="1:19" hidden="1" x14ac:dyDescent="0.2">
      <c r="A365">
        <v>50</v>
      </c>
      <c r="B365" t="s">
        <v>21</v>
      </c>
      <c r="C365">
        <v>50</v>
      </c>
      <c r="D365">
        <v>2</v>
      </c>
      <c r="E365">
        <v>1013</v>
      </c>
      <c r="F365" t="b">
        <v>1</v>
      </c>
      <c r="G365">
        <v>67.992000000000004</v>
      </c>
      <c r="H365">
        <v>20</v>
      </c>
      <c r="I365">
        <v>19</v>
      </c>
      <c r="J365">
        <v>2.94</v>
      </c>
      <c r="K365" t="s">
        <v>1123</v>
      </c>
      <c r="L365">
        <v>0</v>
      </c>
      <c r="N365" t="s">
        <v>1124</v>
      </c>
      <c r="O365" t="s">
        <v>1125</v>
      </c>
      <c r="P365" t="s">
        <v>20</v>
      </c>
      <c r="Q365">
        <f>(VALUE(LEFT(SUBSTITUTE(O365,"T"," "),23)) - VALUE(LEFT(SUBSTITUTE(N365,"T"," "),23))) * 86400</f>
        <v>328.81200020201504</v>
      </c>
      <c r="R365">
        <f>I365/G365</f>
        <v>0.27944464054594659</v>
      </c>
      <c r="S365">
        <f>H365/G365</f>
        <v>0.29415225320625954</v>
      </c>
    </row>
    <row r="366" spans="1:19" hidden="1" x14ac:dyDescent="0.2">
      <c r="A366">
        <v>53</v>
      </c>
      <c r="B366" t="s">
        <v>21</v>
      </c>
      <c r="C366">
        <v>70</v>
      </c>
      <c r="D366">
        <v>2</v>
      </c>
      <c r="E366">
        <v>1013</v>
      </c>
      <c r="F366" t="b">
        <v>1</v>
      </c>
      <c r="G366">
        <v>56.804000000000002</v>
      </c>
      <c r="H366">
        <v>20</v>
      </c>
      <c r="I366">
        <v>7</v>
      </c>
      <c r="J366">
        <v>1.68</v>
      </c>
      <c r="K366" t="s">
        <v>1132</v>
      </c>
      <c r="L366">
        <v>0</v>
      </c>
      <c r="N366" t="s">
        <v>1133</v>
      </c>
      <c r="O366" t="s">
        <v>1134</v>
      </c>
      <c r="P366" t="s">
        <v>20</v>
      </c>
      <c r="Q366">
        <f>(VALUE(LEFT(SUBSTITUTE(O366,"T"," "),23)) - VALUE(LEFT(SUBSTITUTE(N366,"T"," "),23))) * 86400</f>
        <v>218.83399961516261</v>
      </c>
      <c r="R366">
        <f>I366/G366</f>
        <v>0.12323075839729596</v>
      </c>
      <c r="S366">
        <f>H366/G366</f>
        <v>0.35208788113513134</v>
      </c>
    </row>
    <row r="367" spans="1:19" hidden="1" x14ac:dyDescent="0.2">
      <c r="A367">
        <v>22</v>
      </c>
      <c r="B367" t="s">
        <v>25</v>
      </c>
      <c r="C367">
        <v>-1</v>
      </c>
      <c r="D367">
        <v>3</v>
      </c>
      <c r="E367">
        <v>1012</v>
      </c>
      <c r="F367" t="b">
        <v>1</v>
      </c>
      <c r="G367">
        <v>42.167999999999999</v>
      </c>
      <c r="H367">
        <v>32</v>
      </c>
      <c r="I367">
        <v>7</v>
      </c>
      <c r="J367">
        <v>8.94</v>
      </c>
      <c r="K367" t="s">
        <v>3613</v>
      </c>
      <c r="L367">
        <v>0</v>
      </c>
      <c r="N367" t="s">
        <v>3614</v>
      </c>
      <c r="O367" t="s">
        <v>3615</v>
      </c>
      <c r="P367" t="s">
        <v>20</v>
      </c>
      <c r="Q367">
        <f>(VALUE(LEFT(SUBSTITUTE(O367,"T"," "),23)) - VALUE(LEFT(SUBSTITUTE(N367,"T"," "),23))) * 86400</f>
        <v>163.30899966415018</v>
      </c>
      <c r="R367">
        <f>I367/G367</f>
        <v>0.16600265604249667</v>
      </c>
      <c r="S367">
        <f>H367/G367</f>
        <v>0.75886928476569915</v>
      </c>
    </row>
    <row r="368" spans="1:19" hidden="1" x14ac:dyDescent="0.2">
      <c r="A368">
        <v>33</v>
      </c>
      <c r="B368" t="s">
        <v>25</v>
      </c>
      <c r="C368">
        <v>0</v>
      </c>
      <c r="D368">
        <v>2</v>
      </c>
      <c r="E368">
        <v>1013</v>
      </c>
      <c r="F368" t="b">
        <v>1</v>
      </c>
      <c r="G368">
        <v>39.832000000000001</v>
      </c>
      <c r="H368">
        <v>23</v>
      </c>
      <c r="I368">
        <v>3</v>
      </c>
      <c r="J368">
        <v>1.1399999999999999</v>
      </c>
      <c r="K368" t="s">
        <v>1072</v>
      </c>
      <c r="L368">
        <v>0</v>
      </c>
      <c r="N368" t="s">
        <v>1073</v>
      </c>
      <c r="O368" t="s">
        <v>1074</v>
      </c>
      <c r="P368" t="s">
        <v>20</v>
      </c>
      <c r="Q368">
        <f>(VALUE(LEFT(SUBSTITUTE(O368,"T"," "),23)) - VALUE(LEFT(SUBSTITUTE(N368,"T"," "),23))) * 86400</f>
        <v>213.25599979609251</v>
      </c>
      <c r="R368">
        <f>I368/G368</f>
        <v>7.5316328580036146E-2</v>
      </c>
      <c r="S368">
        <f>H368/G368</f>
        <v>0.57742518578027713</v>
      </c>
    </row>
    <row r="369" spans="1:19" x14ac:dyDescent="0.2">
      <c r="A369">
        <v>115</v>
      </c>
      <c r="B369" t="s">
        <v>16</v>
      </c>
      <c r="C369">
        <v>2</v>
      </c>
      <c r="D369">
        <v>5</v>
      </c>
      <c r="E369">
        <v>1016</v>
      </c>
      <c r="F369" t="b">
        <v>1</v>
      </c>
      <c r="G369">
        <v>73.391999999999996</v>
      </c>
      <c r="H369">
        <v>23</v>
      </c>
      <c r="I369">
        <v>1</v>
      </c>
      <c r="J369">
        <v>0.06</v>
      </c>
      <c r="K369" t="s">
        <v>1318</v>
      </c>
      <c r="L369">
        <v>0</v>
      </c>
      <c r="N369" t="s">
        <v>1319</v>
      </c>
      <c r="O369" t="s">
        <v>1320</v>
      </c>
      <c r="P369" t="s">
        <v>20</v>
      </c>
      <c r="Q369">
        <f>(VALUE(LEFT(SUBSTITUTE(O369,"T"," "),23)) - VALUE(LEFT(SUBSTITUTE(N369,"T"," "),23))) * 86400</f>
        <v>283.59199992846698</v>
      </c>
      <c r="R369">
        <f>I369/G369</f>
        <v>1.3625463265751037E-2</v>
      </c>
      <c r="S369">
        <f>H369/G369</f>
        <v>0.31338565511227384</v>
      </c>
    </row>
    <row r="370" spans="1:19" hidden="1" x14ac:dyDescent="0.2">
      <c r="A370">
        <v>39</v>
      </c>
      <c r="B370" t="s">
        <v>25</v>
      </c>
      <c r="C370">
        <v>5</v>
      </c>
      <c r="D370">
        <v>2</v>
      </c>
      <c r="E370">
        <v>1013</v>
      </c>
      <c r="F370" t="b">
        <v>1</v>
      </c>
      <c r="G370">
        <v>53.892000000000003</v>
      </c>
      <c r="H370">
        <v>23</v>
      </c>
      <c r="I370">
        <v>0</v>
      </c>
      <c r="J370">
        <v>0</v>
      </c>
      <c r="K370" t="s">
        <v>1090</v>
      </c>
      <c r="L370">
        <v>0</v>
      </c>
      <c r="N370" t="s">
        <v>1091</v>
      </c>
      <c r="O370" t="s">
        <v>1092</v>
      </c>
      <c r="P370" t="s">
        <v>20</v>
      </c>
      <c r="Q370">
        <f>(VALUE(LEFT(SUBSTITUTE(O370,"T"," "),23)) - VALUE(LEFT(SUBSTITUTE(N370,"T"," "),23))) * 86400</f>
        <v>271.40099974349141</v>
      </c>
      <c r="R370">
        <f>I370/G370</f>
        <v>0</v>
      </c>
      <c r="S370">
        <f>H370/G370</f>
        <v>0.42677948489571732</v>
      </c>
    </row>
    <row r="371" spans="1:19" hidden="1" x14ac:dyDescent="0.2">
      <c r="A371">
        <v>42</v>
      </c>
      <c r="B371" t="s">
        <v>25</v>
      </c>
      <c r="C371">
        <v>10</v>
      </c>
      <c r="D371">
        <v>2</v>
      </c>
      <c r="E371">
        <v>1013</v>
      </c>
      <c r="F371" t="b">
        <v>1</v>
      </c>
      <c r="G371">
        <v>36.287999999999997</v>
      </c>
      <c r="H371">
        <v>26</v>
      </c>
      <c r="I371">
        <v>1</v>
      </c>
      <c r="J371">
        <v>0.06</v>
      </c>
      <c r="K371" t="s">
        <v>1099</v>
      </c>
      <c r="L371">
        <v>0</v>
      </c>
      <c r="N371" t="s">
        <v>1100</v>
      </c>
      <c r="O371" t="s">
        <v>1101</v>
      </c>
      <c r="P371" t="s">
        <v>20</v>
      </c>
      <c r="Q371">
        <f>(VALUE(LEFT(SUBSTITUTE(O371,"T"," "),23)) - VALUE(LEFT(SUBSTITUTE(N371,"T"," "),23))) * 86400</f>
        <v>162.30200012214482</v>
      </c>
      <c r="R371">
        <f>I371/G371</f>
        <v>2.7557319223985893E-2</v>
      </c>
      <c r="S371">
        <f>H371/G371</f>
        <v>0.71649029982363321</v>
      </c>
    </row>
    <row r="372" spans="1:19" hidden="1" x14ac:dyDescent="0.2">
      <c r="A372">
        <v>45</v>
      </c>
      <c r="B372" t="s">
        <v>25</v>
      </c>
      <c r="C372">
        <v>15</v>
      </c>
      <c r="D372">
        <v>2</v>
      </c>
      <c r="E372">
        <v>1013</v>
      </c>
      <c r="F372" t="b">
        <v>1</v>
      </c>
      <c r="G372">
        <v>41.34</v>
      </c>
      <c r="H372">
        <v>26</v>
      </c>
      <c r="I372">
        <v>3</v>
      </c>
      <c r="J372">
        <v>0.3</v>
      </c>
      <c r="K372" t="s">
        <v>1108</v>
      </c>
      <c r="L372">
        <v>0</v>
      </c>
      <c r="N372" t="s">
        <v>1109</v>
      </c>
      <c r="O372" t="s">
        <v>1110</v>
      </c>
      <c r="P372" t="s">
        <v>20</v>
      </c>
      <c r="Q372">
        <f>(VALUE(LEFT(SUBSTITUTE(O372,"T"," "),23)) - VALUE(LEFT(SUBSTITUTE(N372,"T"," "),23))) * 86400</f>
        <v>149.84899987466633</v>
      </c>
      <c r="R372">
        <f>I372/G372</f>
        <v>7.2568940493468792E-2</v>
      </c>
      <c r="S372">
        <f>H372/G372</f>
        <v>0.62893081761006286</v>
      </c>
    </row>
    <row r="373" spans="1:19" hidden="1" x14ac:dyDescent="0.2">
      <c r="A373">
        <v>48</v>
      </c>
      <c r="B373" t="s">
        <v>25</v>
      </c>
      <c r="C373">
        <v>20</v>
      </c>
      <c r="D373">
        <v>2</v>
      </c>
      <c r="E373">
        <v>1013</v>
      </c>
      <c r="F373" t="b">
        <v>1</v>
      </c>
      <c r="G373">
        <v>42.351999999999997</v>
      </c>
      <c r="H373">
        <v>25</v>
      </c>
      <c r="I373">
        <v>6</v>
      </c>
      <c r="J373">
        <v>0.96</v>
      </c>
      <c r="K373" t="s">
        <v>1117</v>
      </c>
      <c r="L373">
        <v>0</v>
      </c>
      <c r="N373" t="s">
        <v>1118</v>
      </c>
      <c r="O373" t="s">
        <v>1119</v>
      </c>
      <c r="P373" t="s">
        <v>20</v>
      </c>
      <c r="Q373">
        <f>(VALUE(LEFT(SUBSTITUTE(O373,"T"," "),23)) - VALUE(LEFT(SUBSTITUTE(N373,"T"," "),23))) * 86400</f>
        <v>193.99400032125413</v>
      </c>
      <c r="R373">
        <f>I373/G373</f>
        <v>0.14166981488477523</v>
      </c>
      <c r="S373">
        <f>H373/G373</f>
        <v>0.59029089535323009</v>
      </c>
    </row>
    <row r="374" spans="1:19" hidden="1" x14ac:dyDescent="0.2">
      <c r="A374">
        <v>51</v>
      </c>
      <c r="B374" t="s">
        <v>25</v>
      </c>
      <c r="C374">
        <v>50</v>
      </c>
      <c r="D374">
        <v>2</v>
      </c>
      <c r="E374">
        <v>1013</v>
      </c>
      <c r="F374" t="b">
        <v>1</v>
      </c>
      <c r="G374">
        <v>45.42</v>
      </c>
      <c r="H374">
        <v>20</v>
      </c>
      <c r="I374">
        <v>6</v>
      </c>
      <c r="J374">
        <v>1.26</v>
      </c>
      <c r="K374" t="s">
        <v>1126</v>
      </c>
      <c r="L374">
        <v>0</v>
      </c>
      <c r="N374" t="s">
        <v>1127</v>
      </c>
      <c r="O374" t="s">
        <v>1128</v>
      </c>
      <c r="P374" t="s">
        <v>20</v>
      </c>
      <c r="Q374">
        <f>(VALUE(LEFT(SUBSTITUTE(O374,"T"," "),23)) - VALUE(LEFT(SUBSTITUTE(N374,"T"," "),23))) * 86400</f>
        <v>253.96000037435442</v>
      </c>
      <c r="R374">
        <f>I374/G374</f>
        <v>0.13210039630118889</v>
      </c>
      <c r="S374">
        <f>H374/G374</f>
        <v>0.44033465433729635</v>
      </c>
    </row>
    <row r="375" spans="1:19" hidden="1" x14ac:dyDescent="0.2">
      <c r="A375">
        <v>54</v>
      </c>
      <c r="B375" t="s">
        <v>25</v>
      </c>
      <c r="C375">
        <v>70</v>
      </c>
      <c r="D375">
        <v>2</v>
      </c>
      <c r="E375">
        <v>1013</v>
      </c>
      <c r="F375" t="b">
        <v>1</v>
      </c>
      <c r="G375">
        <v>47.74</v>
      </c>
      <c r="H375">
        <v>25</v>
      </c>
      <c r="I375">
        <v>6</v>
      </c>
      <c r="J375">
        <v>1.32</v>
      </c>
      <c r="K375" t="s">
        <v>1135</v>
      </c>
      <c r="L375">
        <v>0</v>
      </c>
      <c r="N375" t="s">
        <v>1136</v>
      </c>
      <c r="O375" t="s">
        <v>1137</v>
      </c>
      <c r="P375" t="s">
        <v>20</v>
      </c>
      <c r="Q375">
        <f>(VALUE(LEFT(SUBSTITUTE(O375,"T"," "),23)) - VALUE(LEFT(SUBSTITUTE(N375,"T"," "),23))) * 86400</f>
        <v>291.52799968142062</v>
      </c>
      <c r="R375">
        <f>I375/G375</f>
        <v>0.12568077084206117</v>
      </c>
      <c r="S375">
        <f>H375/G375</f>
        <v>0.52366987850858815</v>
      </c>
    </row>
    <row r="376" spans="1:19" hidden="1" x14ac:dyDescent="0.2">
      <c r="A376">
        <v>2</v>
      </c>
      <c r="B376" t="s">
        <v>2476</v>
      </c>
      <c r="C376">
        <v>-1</v>
      </c>
      <c r="D376">
        <v>1</v>
      </c>
      <c r="E376">
        <v>1010</v>
      </c>
      <c r="F376" t="b">
        <v>1</v>
      </c>
      <c r="G376">
        <v>37.008000000000003</v>
      </c>
      <c r="H376">
        <v>28</v>
      </c>
      <c r="I376">
        <v>3</v>
      </c>
      <c r="J376">
        <v>4.8600000000000003</v>
      </c>
      <c r="K376" t="s">
        <v>2655</v>
      </c>
      <c r="L376">
        <v>0</v>
      </c>
      <c r="N376" t="s">
        <v>2656</v>
      </c>
      <c r="O376" t="s">
        <v>2657</v>
      </c>
      <c r="P376" t="s">
        <v>20</v>
      </c>
      <c r="Q376">
        <f>(VALUE(LEFT(SUBSTITUTE(O376,"T"," "),23)) - VALUE(LEFT(SUBSTITUTE(N376,"T"," "),23))) * 86400</f>
        <v>155.0740004517138</v>
      </c>
      <c r="R376">
        <f>I376/G376</f>
        <v>8.106355382619973E-2</v>
      </c>
      <c r="S376">
        <f>H376/G376</f>
        <v>0.75659316904453089</v>
      </c>
    </row>
    <row r="377" spans="1:19" hidden="1" x14ac:dyDescent="0.2">
      <c r="A377">
        <v>31</v>
      </c>
      <c r="B377" t="s">
        <v>16</v>
      </c>
      <c r="C377">
        <v>0</v>
      </c>
      <c r="D377">
        <v>2</v>
      </c>
      <c r="E377">
        <v>1013</v>
      </c>
      <c r="F377" t="b">
        <v>1</v>
      </c>
      <c r="G377">
        <v>68.959999999999994</v>
      </c>
      <c r="H377">
        <v>22</v>
      </c>
      <c r="I377">
        <v>3</v>
      </c>
      <c r="J377">
        <v>0.9</v>
      </c>
      <c r="K377" t="s">
        <v>1066</v>
      </c>
      <c r="L377">
        <v>0</v>
      </c>
      <c r="N377" t="s">
        <v>1067</v>
      </c>
      <c r="O377" t="s">
        <v>1068</v>
      </c>
      <c r="P377" t="s">
        <v>20</v>
      </c>
      <c r="Q377">
        <f>(VALUE(LEFT(SUBSTITUTE(O377,"T"," "),23)) - VALUE(LEFT(SUBSTITUTE(N377,"T"," "),23))) * 86400</f>
        <v>301.75600005313754</v>
      </c>
      <c r="R377">
        <f>I377/G377</f>
        <v>4.3503480278422275E-2</v>
      </c>
      <c r="S377">
        <f>H377/G377</f>
        <v>0.31902552204176338</v>
      </c>
    </row>
    <row r="378" spans="1:19" x14ac:dyDescent="0.2">
      <c r="A378">
        <v>21</v>
      </c>
      <c r="B378" t="s">
        <v>2531</v>
      </c>
      <c r="C378">
        <v>2</v>
      </c>
      <c r="D378">
        <v>3</v>
      </c>
      <c r="E378">
        <v>1022</v>
      </c>
      <c r="F378" t="b">
        <v>1</v>
      </c>
      <c r="G378">
        <v>53.323999999999998</v>
      </c>
      <c r="H378">
        <v>17</v>
      </c>
      <c r="I378">
        <v>1</v>
      </c>
      <c r="J378">
        <v>0.06</v>
      </c>
      <c r="K378" t="s">
        <v>2832</v>
      </c>
      <c r="L378">
        <v>0</v>
      </c>
      <c r="N378" t="s">
        <v>2833</v>
      </c>
      <c r="O378" t="s">
        <v>2834</v>
      </c>
      <c r="P378" t="s">
        <v>20</v>
      </c>
      <c r="Q378">
        <f>(VALUE(LEFT(SUBSTITUTE(O378,"T"," "),23)) - VALUE(LEFT(SUBSTITUTE(N378,"T"," "),23))) * 86400</f>
        <v>375.18400023691356</v>
      </c>
      <c r="R378">
        <f>I378/G378</f>
        <v>1.8753281824319255E-2</v>
      </c>
      <c r="S378">
        <f>H378/G378</f>
        <v>0.31880579101342738</v>
      </c>
    </row>
    <row r="379" spans="1:19" hidden="1" x14ac:dyDescent="0.2">
      <c r="A379">
        <v>37</v>
      </c>
      <c r="B379" t="s">
        <v>16</v>
      </c>
      <c r="C379">
        <v>5</v>
      </c>
      <c r="D379">
        <v>2</v>
      </c>
      <c r="E379">
        <v>1013</v>
      </c>
      <c r="F379" t="b">
        <v>1</v>
      </c>
      <c r="G379">
        <v>50.707999999999998</v>
      </c>
      <c r="H379">
        <v>17</v>
      </c>
      <c r="I379">
        <v>4</v>
      </c>
      <c r="J379">
        <v>1.62</v>
      </c>
      <c r="K379" t="s">
        <v>1084</v>
      </c>
      <c r="L379">
        <v>0</v>
      </c>
      <c r="N379" t="s">
        <v>1085</v>
      </c>
      <c r="O379" t="s">
        <v>1086</v>
      </c>
      <c r="P379" t="s">
        <v>20</v>
      </c>
      <c r="Q379">
        <f>(VALUE(LEFT(SUBSTITUTE(O379,"T"," "),23)) - VALUE(LEFT(SUBSTITUTE(N379,"T"," "),23))) * 86400</f>
        <v>334.1719999210909</v>
      </c>
      <c r="R379">
        <f>I379/G379</f>
        <v>7.8883016486550453E-2</v>
      </c>
      <c r="S379">
        <f>H379/G379</f>
        <v>0.33525282006783941</v>
      </c>
    </row>
    <row r="380" spans="1:19" hidden="1" x14ac:dyDescent="0.2">
      <c r="A380">
        <v>40</v>
      </c>
      <c r="B380" t="s">
        <v>16</v>
      </c>
      <c r="C380">
        <v>10</v>
      </c>
      <c r="D380">
        <v>2</v>
      </c>
      <c r="E380">
        <v>1013</v>
      </c>
      <c r="F380" t="b">
        <v>1</v>
      </c>
      <c r="G380">
        <v>43.423999999999999</v>
      </c>
      <c r="H380">
        <v>19</v>
      </c>
      <c r="I380">
        <v>5</v>
      </c>
      <c r="J380">
        <v>1.86</v>
      </c>
      <c r="K380" t="s">
        <v>1093</v>
      </c>
      <c r="L380">
        <v>0</v>
      </c>
      <c r="N380" t="s">
        <v>1094</v>
      </c>
      <c r="O380" t="s">
        <v>1095</v>
      </c>
      <c r="P380" t="s">
        <v>20</v>
      </c>
      <c r="Q380">
        <f>(VALUE(LEFT(SUBSTITUTE(O380,"T"," "),23)) - VALUE(LEFT(SUBSTITUTE(N380,"T"," "),23))) * 86400</f>
        <v>198.34899958223104</v>
      </c>
      <c r="R380">
        <f>I380/G380</f>
        <v>0.11514369933677229</v>
      </c>
      <c r="S380">
        <f>H380/G380</f>
        <v>0.43754605747973474</v>
      </c>
    </row>
    <row r="381" spans="1:19" hidden="1" x14ac:dyDescent="0.2">
      <c r="A381">
        <v>43</v>
      </c>
      <c r="B381" t="s">
        <v>16</v>
      </c>
      <c r="C381">
        <v>15</v>
      </c>
      <c r="D381">
        <v>2</v>
      </c>
      <c r="E381">
        <v>1013</v>
      </c>
      <c r="F381" t="b">
        <v>1</v>
      </c>
      <c r="G381">
        <v>85.751999999999995</v>
      </c>
      <c r="H381">
        <v>21</v>
      </c>
      <c r="I381">
        <v>7</v>
      </c>
      <c r="J381">
        <v>1.32</v>
      </c>
      <c r="K381" t="s">
        <v>1102</v>
      </c>
      <c r="L381">
        <v>0</v>
      </c>
      <c r="N381" t="s">
        <v>1103</v>
      </c>
      <c r="O381" t="s">
        <v>1104</v>
      </c>
      <c r="P381" t="s">
        <v>20</v>
      </c>
      <c r="Q381">
        <f>(VALUE(LEFT(SUBSTITUTE(O381,"T"," "),23)) - VALUE(LEFT(SUBSTITUTE(N381,"T"," "),23))) * 86400</f>
        <v>379.44499980658293</v>
      </c>
      <c r="R381">
        <f>I381/G381</f>
        <v>8.1630749137046377E-2</v>
      </c>
      <c r="S381">
        <f>H381/G381</f>
        <v>0.2448922474111391</v>
      </c>
    </row>
    <row r="382" spans="1:19" hidden="1" x14ac:dyDescent="0.2">
      <c r="A382">
        <v>46</v>
      </c>
      <c r="B382" t="s">
        <v>16</v>
      </c>
      <c r="C382">
        <v>20</v>
      </c>
      <c r="D382">
        <v>2</v>
      </c>
      <c r="E382">
        <v>1013</v>
      </c>
      <c r="F382" t="b">
        <v>1</v>
      </c>
      <c r="G382">
        <v>77.111999999999995</v>
      </c>
      <c r="H382">
        <v>24</v>
      </c>
      <c r="I382">
        <v>11</v>
      </c>
      <c r="J382">
        <v>1.62</v>
      </c>
      <c r="K382" t="s">
        <v>1111</v>
      </c>
      <c r="L382">
        <v>0</v>
      </c>
      <c r="N382" t="s">
        <v>1112</v>
      </c>
      <c r="O382" t="s">
        <v>1113</v>
      </c>
      <c r="P382" t="s">
        <v>20</v>
      </c>
      <c r="Q382">
        <f>(VALUE(LEFT(SUBSTITUTE(O382,"T"," "),23)) - VALUE(LEFT(SUBSTITUTE(N382,"T"," "),23))) * 86400</f>
        <v>340.19699993077666</v>
      </c>
      <c r="R382">
        <f>I382/G382</f>
        <v>0.14264965245357403</v>
      </c>
      <c r="S382">
        <f>H382/G382</f>
        <v>0.31123560535325245</v>
      </c>
    </row>
    <row r="383" spans="1:19" hidden="1" x14ac:dyDescent="0.2">
      <c r="A383">
        <v>49</v>
      </c>
      <c r="B383" t="s">
        <v>16</v>
      </c>
      <c r="C383">
        <v>50</v>
      </c>
      <c r="D383">
        <v>2</v>
      </c>
      <c r="E383">
        <v>1013</v>
      </c>
      <c r="F383" t="b">
        <v>1</v>
      </c>
      <c r="G383">
        <v>36.192</v>
      </c>
      <c r="H383">
        <v>18</v>
      </c>
      <c r="I383">
        <v>9</v>
      </c>
      <c r="J383">
        <v>2.16</v>
      </c>
      <c r="K383" t="s">
        <v>1120</v>
      </c>
      <c r="L383">
        <v>0</v>
      </c>
      <c r="N383" t="s">
        <v>1121</v>
      </c>
      <c r="O383" t="s">
        <v>1122</v>
      </c>
      <c r="P383" t="s">
        <v>20</v>
      </c>
      <c r="Q383">
        <f>(VALUE(LEFT(SUBSTITUTE(O383,"T"," "),23)) - VALUE(LEFT(SUBSTITUTE(N383,"T"," "),23))) * 86400</f>
        <v>312.30499986559153</v>
      </c>
      <c r="R383">
        <f>I383/G383</f>
        <v>0.2486737400530504</v>
      </c>
      <c r="S383">
        <f>H383/G383</f>
        <v>0.4973474801061008</v>
      </c>
    </row>
    <row r="384" spans="1:19" hidden="1" x14ac:dyDescent="0.2">
      <c r="A384">
        <v>52</v>
      </c>
      <c r="B384" t="s">
        <v>16</v>
      </c>
      <c r="C384">
        <v>70</v>
      </c>
      <c r="D384">
        <v>2</v>
      </c>
      <c r="E384">
        <v>1013</v>
      </c>
      <c r="F384" t="b">
        <v>1</v>
      </c>
      <c r="G384">
        <v>59.24</v>
      </c>
      <c r="H384">
        <v>22</v>
      </c>
      <c r="I384">
        <v>7</v>
      </c>
      <c r="J384">
        <v>3.54</v>
      </c>
      <c r="K384" t="s">
        <v>1129</v>
      </c>
      <c r="L384">
        <v>0</v>
      </c>
      <c r="N384" t="s">
        <v>1130</v>
      </c>
      <c r="O384" t="s">
        <v>1131</v>
      </c>
      <c r="P384" t="s">
        <v>20</v>
      </c>
      <c r="Q384">
        <f>(VALUE(LEFT(SUBSTITUTE(O384,"T"," "),23)) - VALUE(LEFT(SUBSTITUTE(N384,"T"," "),23))) * 86400</f>
        <v>192.83299965318292</v>
      </c>
      <c r="R384">
        <f>I384/G384</f>
        <v>0.11816340310600945</v>
      </c>
      <c r="S384">
        <f>H384/G384</f>
        <v>0.37137069547602969</v>
      </c>
    </row>
    <row r="385" spans="1:19" hidden="1" x14ac:dyDescent="0.2">
      <c r="A385">
        <v>7</v>
      </c>
      <c r="B385" t="s">
        <v>3413</v>
      </c>
      <c r="C385">
        <v>-1</v>
      </c>
      <c r="D385">
        <v>4</v>
      </c>
      <c r="E385">
        <v>1003</v>
      </c>
      <c r="F385" t="b">
        <v>1</v>
      </c>
      <c r="G385">
        <v>40.98</v>
      </c>
      <c r="H385">
        <v>31</v>
      </c>
      <c r="I385">
        <v>1</v>
      </c>
      <c r="J385">
        <v>1.92</v>
      </c>
      <c r="K385" t="s">
        <v>2983</v>
      </c>
      <c r="L385">
        <v>0</v>
      </c>
      <c r="N385" t="s">
        <v>2984</v>
      </c>
      <c r="O385" t="s">
        <v>2985</v>
      </c>
      <c r="P385" t="s">
        <v>20</v>
      </c>
      <c r="Q385">
        <f>(VALUE(LEFT(SUBSTITUTE(O385,"T"," "),23)) - VALUE(LEFT(SUBSTITUTE(N385,"T"," "),23))) * 86400</f>
        <v>174.94799997657537</v>
      </c>
      <c r="R385">
        <f>I385/G385</f>
        <v>2.440214738897023E-2</v>
      </c>
      <c r="S385">
        <f>H385/G385</f>
        <v>0.75646656905807719</v>
      </c>
    </row>
    <row r="386" spans="1:19" hidden="1" x14ac:dyDescent="0.2">
      <c r="A386">
        <v>59</v>
      </c>
      <c r="B386" t="s">
        <v>21</v>
      </c>
      <c r="C386">
        <v>0</v>
      </c>
      <c r="D386">
        <v>3</v>
      </c>
      <c r="E386">
        <v>1014</v>
      </c>
      <c r="F386" t="b">
        <v>1</v>
      </c>
      <c r="G386">
        <v>127.30800000000001</v>
      </c>
      <c r="H386">
        <v>24</v>
      </c>
      <c r="I386">
        <v>6</v>
      </c>
      <c r="J386">
        <v>1.86</v>
      </c>
      <c r="K386" t="s">
        <v>1150</v>
      </c>
      <c r="L386">
        <v>0</v>
      </c>
      <c r="N386" t="s">
        <v>1151</v>
      </c>
      <c r="O386" t="s">
        <v>1152</v>
      </c>
      <c r="P386" t="s">
        <v>20</v>
      </c>
      <c r="Q386">
        <f>(VALUE(LEFT(SUBSTITUTE(O386,"T"," "),23)) - VALUE(LEFT(SUBSTITUTE(N386,"T"," "),23))) * 86400</f>
        <v>614.48900001123548</v>
      </c>
      <c r="R386">
        <f>I386/G386</f>
        <v>4.7129795456687718E-2</v>
      </c>
      <c r="S386">
        <f>H386/G386</f>
        <v>0.18851918182675087</v>
      </c>
    </row>
    <row r="387" spans="1:19" hidden="1" x14ac:dyDescent="0.2">
      <c r="A387">
        <v>20</v>
      </c>
      <c r="B387" t="s">
        <v>2476</v>
      </c>
      <c r="C387">
        <v>0</v>
      </c>
      <c r="D387">
        <v>3</v>
      </c>
      <c r="E387">
        <v>1002</v>
      </c>
      <c r="F387" t="b">
        <v>1</v>
      </c>
      <c r="G387">
        <v>61.612000000000002</v>
      </c>
      <c r="H387">
        <v>23</v>
      </c>
      <c r="I387">
        <v>4</v>
      </c>
      <c r="J387">
        <v>2.2799999999999998</v>
      </c>
      <c r="K387" t="s">
        <v>2589</v>
      </c>
      <c r="L387">
        <v>0</v>
      </c>
      <c r="N387" t="s">
        <v>2590</v>
      </c>
      <c r="O387" t="s">
        <v>2591</v>
      </c>
      <c r="P387" t="s">
        <v>20</v>
      </c>
      <c r="Q387">
        <f>(VALUE(LEFT(SUBSTITUTE(O387,"T"," "),23)) - VALUE(LEFT(SUBSTITUTE(N387,"T"," "),23))) * 86400</f>
        <v>374.74900020752102</v>
      </c>
      <c r="R387">
        <f>I387/G387</f>
        <v>6.4922417710835553E-2</v>
      </c>
      <c r="S387">
        <f>H387/G387</f>
        <v>0.37330390183730439</v>
      </c>
    </row>
    <row r="388" spans="1:19" hidden="1" x14ac:dyDescent="0.2">
      <c r="A388">
        <v>65</v>
      </c>
      <c r="B388" t="s">
        <v>21</v>
      </c>
      <c r="C388">
        <v>5</v>
      </c>
      <c r="D388">
        <v>3</v>
      </c>
      <c r="E388">
        <v>1014</v>
      </c>
      <c r="F388" t="b">
        <v>1</v>
      </c>
      <c r="G388">
        <v>62.432000000000002</v>
      </c>
      <c r="H388">
        <v>32</v>
      </c>
      <c r="I388">
        <v>2</v>
      </c>
      <c r="J388">
        <v>0.6</v>
      </c>
      <c r="K388" t="s">
        <v>1168</v>
      </c>
      <c r="L388">
        <v>0</v>
      </c>
      <c r="N388" t="s">
        <v>1169</v>
      </c>
      <c r="O388" t="s">
        <v>1170</v>
      </c>
      <c r="P388" t="s">
        <v>20</v>
      </c>
      <c r="Q388">
        <f>(VALUE(LEFT(SUBSTITUTE(O388,"T"," "),23)) - VALUE(LEFT(SUBSTITUTE(N388,"T"," "),23))) * 86400</f>
        <v>268.12400019261986</v>
      </c>
      <c r="R388">
        <f>I388/G388</f>
        <v>3.2034853921066121E-2</v>
      </c>
      <c r="S388">
        <f>H388/G388</f>
        <v>0.51255766273705794</v>
      </c>
    </row>
    <row r="389" spans="1:19" hidden="1" x14ac:dyDescent="0.2">
      <c r="A389">
        <v>68</v>
      </c>
      <c r="B389" t="s">
        <v>21</v>
      </c>
      <c r="C389">
        <v>10</v>
      </c>
      <c r="D389">
        <v>3</v>
      </c>
      <c r="E389">
        <v>1014</v>
      </c>
      <c r="F389" t="b">
        <v>1</v>
      </c>
      <c r="G389">
        <v>79.335999999999999</v>
      </c>
      <c r="H389">
        <v>29</v>
      </c>
      <c r="I389">
        <v>4</v>
      </c>
      <c r="J389">
        <v>0.54</v>
      </c>
      <c r="K389" t="s">
        <v>1177</v>
      </c>
      <c r="L389">
        <v>0</v>
      </c>
      <c r="N389" t="s">
        <v>1178</v>
      </c>
      <c r="O389" t="s">
        <v>1179</v>
      </c>
      <c r="P389" t="s">
        <v>20</v>
      </c>
      <c r="Q389">
        <f>(VALUE(LEFT(SUBSTITUTE(O389,"T"," "),23)) - VALUE(LEFT(SUBSTITUTE(N389,"T"," "),23))) * 86400</f>
        <v>390.98400003276765</v>
      </c>
      <c r="R389">
        <f>I389/G389</f>
        <v>5.041847332862761E-2</v>
      </c>
      <c r="S389">
        <f>H389/G389</f>
        <v>0.36553393163255016</v>
      </c>
    </row>
    <row r="390" spans="1:19" hidden="1" x14ac:dyDescent="0.2">
      <c r="A390">
        <v>71</v>
      </c>
      <c r="B390" t="s">
        <v>21</v>
      </c>
      <c r="C390">
        <v>15</v>
      </c>
      <c r="D390">
        <v>3</v>
      </c>
      <c r="E390">
        <v>1014</v>
      </c>
      <c r="F390" t="b">
        <v>1</v>
      </c>
      <c r="G390">
        <v>134.02000000000001</v>
      </c>
      <c r="H390">
        <v>30</v>
      </c>
      <c r="I390">
        <v>16</v>
      </c>
      <c r="J390">
        <v>2.34</v>
      </c>
      <c r="K390" t="s">
        <v>1186</v>
      </c>
      <c r="L390">
        <v>0</v>
      </c>
      <c r="N390" t="s">
        <v>1187</v>
      </c>
      <c r="O390" t="s">
        <v>1188</v>
      </c>
      <c r="P390" t="s">
        <v>20</v>
      </c>
      <c r="Q390">
        <f>(VALUE(LEFT(SUBSTITUTE(O390,"T"," "),23)) - VALUE(LEFT(SUBSTITUTE(N390,"T"," "),23))) * 86400</f>
        <v>569.3570002913475</v>
      </c>
      <c r="R390">
        <f>I390/G390</f>
        <v>0.11938516639307566</v>
      </c>
      <c r="S390">
        <f>H390/G390</f>
        <v>0.22384718698701683</v>
      </c>
    </row>
    <row r="391" spans="1:19" hidden="1" x14ac:dyDescent="0.2">
      <c r="A391">
        <v>74</v>
      </c>
      <c r="B391" t="s">
        <v>21</v>
      </c>
      <c r="C391">
        <v>20</v>
      </c>
      <c r="D391">
        <v>3</v>
      </c>
      <c r="E391">
        <v>1014</v>
      </c>
      <c r="F391" t="b">
        <v>1</v>
      </c>
      <c r="G391">
        <v>76.147999999999996</v>
      </c>
      <c r="H391">
        <v>30</v>
      </c>
      <c r="I391">
        <v>7</v>
      </c>
      <c r="J391">
        <v>3.06</v>
      </c>
      <c r="K391" t="s">
        <v>1195</v>
      </c>
      <c r="L391">
        <v>0</v>
      </c>
      <c r="N391" t="s">
        <v>1196</v>
      </c>
      <c r="O391" t="s">
        <v>1197</v>
      </c>
      <c r="P391" t="s">
        <v>20</v>
      </c>
      <c r="Q391">
        <f>(VALUE(LEFT(SUBSTITUTE(O391,"T"," "),23)) - VALUE(LEFT(SUBSTITUTE(N391,"T"," "),23))) * 86400</f>
        <v>355.06799966096878</v>
      </c>
      <c r="R391">
        <f>I391/G391</f>
        <v>9.1926248883752698E-2</v>
      </c>
      <c r="S391">
        <f>H391/G391</f>
        <v>0.39396963807322583</v>
      </c>
    </row>
    <row r="392" spans="1:19" hidden="1" x14ac:dyDescent="0.2">
      <c r="A392">
        <v>77</v>
      </c>
      <c r="B392" t="s">
        <v>21</v>
      </c>
      <c r="C392">
        <v>50</v>
      </c>
      <c r="D392">
        <v>3</v>
      </c>
      <c r="E392">
        <v>1014</v>
      </c>
      <c r="F392" t="b">
        <v>1</v>
      </c>
      <c r="G392">
        <v>59.472000000000001</v>
      </c>
      <c r="H392">
        <v>31</v>
      </c>
      <c r="I392">
        <v>9</v>
      </c>
      <c r="J392">
        <v>0.84</v>
      </c>
      <c r="K392" t="s">
        <v>1204</v>
      </c>
      <c r="L392">
        <v>0</v>
      </c>
      <c r="N392" t="s">
        <v>1205</v>
      </c>
      <c r="O392" t="s">
        <v>1206</v>
      </c>
      <c r="P392" t="s">
        <v>20</v>
      </c>
      <c r="Q392">
        <f>(VALUE(LEFT(SUBSTITUTE(O392,"T"," "),23)) - VALUE(LEFT(SUBSTITUTE(N392,"T"," "),23))) * 86400</f>
        <v>261.44099982921034</v>
      </c>
      <c r="R392">
        <f>I392/G392</f>
        <v>0.1513317191283293</v>
      </c>
      <c r="S392">
        <f>H392/G392</f>
        <v>0.52125369921980091</v>
      </c>
    </row>
    <row r="393" spans="1:19" hidden="1" x14ac:dyDescent="0.2">
      <c r="A393">
        <v>80</v>
      </c>
      <c r="B393" t="s">
        <v>21</v>
      </c>
      <c r="C393">
        <v>70</v>
      </c>
      <c r="D393">
        <v>3</v>
      </c>
      <c r="E393">
        <v>1014</v>
      </c>
      <c r="F393" t="b">
        <v>1</v>
      </c>
      <c r="G393">
        <v>52.783999999999999</v>
      </c>
      <c r="H393">
        <v>31</v>
      </c>
      <c r="I393">
        <v>9</v>
      </c>
      <c r="J393">
        <v>0.96</v>
      </c>
      <c r="K393" t="s">
        <v>1213</v>
      </c>
      <c r="L393">
        <v>0</v>
      </c>
      <c r="N393" t="s">
        <v>1214</v>
      </c>
      <c r="O393" t="s">
        <v>1215</v>
      </c>
      <c r="P393" t="s">
        <v>20</v>
      </c>
      <c r="Q393">
        <f>(VALUE(LEFT(SUBSTITUTE(O393,"T"," "),23)) - VALUE(LEFT(SUBSTITUTE(N393,"T"," "),23))) * 86400</f>
        <v>272.96700035221875</v>
      </c>
      <c r="R393">
        <f>I393/G393</f>
        <v>0.17050621400424371</v>
      </c>
      <c r="S393">
        <f>H393/G393</f>
        <v>0.5872991815701728</v>
      </c>
    </row>
    <row r="394" spans="1:19" hidden="1" x14ac:dyDescent="0.2">
      <c r="A394">
        <v>15</v>
      </c>
      <c r="B394" t="s">
        <v>3413</v>
      </c>
      <c r="C394">
        <v>-1</v>
      </c>
      <c r="D394">
        <v>8</v>
      </c>
      <c r="E394">
        <v>1007</v>
      </c>
      <c r="F394" t="b">
        <v>1</v>
      </c>
      <c r="G394">
        <v>42.344000000000001</v>
      </c>
      <c r="H394">
        <v>32</v>
      </c>
      <c r="I394">
        <v>11</v>
      </c>
      <c r="J394">
        <v>12.24</v>
      </c>
      <c r="K394" t="s">
        <v>3007</v>
      </c>
      <c r="L394">
        <v>0</v>
      </c>
      <c r="N394" t="s">
        <v>3008</v>
      </c>
      <c r="O394" t="s">
        <v>3009</v>
      </c>
      <c r="P394" t="s">
        <v>20</v>
      </c>
      <c r="Q394">
        <f>(VALUE(LEFT(SUBSTITUTE(O394,"T"," "),23)) - VALUE(LEFT(SUBSTITUTE(N394,"T"," "),23))) * 86400</f>
        <v>217.18000033870339</v>
      </c>
      <c r="R394">
        <f>I394/G394</f>
        <v>0.25977706404685436</v>
      </c>
      <c r="S394">
        <f>H394/G394</f>
        <v>0.75571509540903081</v>
      </c>
    </row>
    <row r="395" spans="1:19" hidden="1" x14ac:dyDescent="0.2">
      <c r="A395">
        <v>60</v>
      </c>
      <c r="B395" t="s">
        <v>25</v>
      </c>
      <c r="C395">
        <v>0</v>
      </c>
      <c r="D395">
        <v>3</v>
      </c>
      <c r="E395">
        <v>1014</v>
      </c>
      <c r="F395" t="b">
        <v>1</v>
      </c>
      <c r="G395">
        <v>49.116</v>
      </c>
      <c r="H395">
        <v>31</v>
      </c>
      <c r="I395">
        <v>0</v>
      </c>
      <c r="J395">
        <v>0</v>
      </c>
      <c r="K395" t="s">
        <v>1153</v>
      </c>
      <c r="L395">
        <v>0</v>
      </c>
      <c r="N395" t="s">
        <v>1154</v>
      </c>
      <c r="O395" t="s">
        <v>1155</v>
      </c>
      <c r="P395" t="s">
        <v>20</v>
      </c>
      <c r="Q395">
        <f>(VALUE(LEFT(SUBSTITUTE(O395,"T"," "),23)) - VALUE(LEFT(SUBSTITUTE(N395,"T"," "),23))) * 86400</f>
        <v>220.85899994708598</v>
      </c>
      <c r="R395">
        <f>I395/G395</f>
        <v>0</v>
      </c>
      <c r="S395">
        <f>H395/G395</f>
        <v>0.63115888916035512</v>
      </c>
    </row>
    <row r="396" spans="1:19" x14ac:dyDescent="0.2">
      <c r="A396">
        <v>7</v>
      </c>
      <c r="B396" t="s">
        <v>16</v>
      </c>
      <c r="C396">
        <v>2</v>
      </c>
      <c r="D396">
        <v>1</v>
      </c>
      <c r="E396">
        <v>1017</v>
      </c>
      <c r="F396" t="b">
        <v>1</v>
      </c>
      <c r="G396">
        <v>73.62</v>
      </c>
      <c r="H396">
        <v>24</v>
      </c>
      <c r="I396">
        <v>0</v>
      </c>
      <c r="J396">
        <v>0</v>
      </c>
      <c r="K396" t="s">
        <v>1387</v>
      </c>
      <c r="L396">
        <v>0</v>
      </c>
      <c r="N396" t="s">
        <v>2019</v>
      </c>
      <c r="O396" t="s">
        <v>2020</v>
      </c>
      <c r="P396" t="s">
        <v>20</v>
      </c>
      <c r="Q396">
        <f>(VALUE(LEFT(SUBSTITUTE(O396,"T"," "),23)) - VALUE(LEFT(SUBSTITUTE(N396,"T"," "),23))) * 86400</f>
        <v>396.20599946938455</v>
      </c>
      <c r="R396">
        <f>I396/G396</f>
        <v>0</v>
      </c>
      <c r="S396">
        <f>H396/G396</f>
        <v>0.32599837000814996</v>
      </c>
    </row>
    <row r="397" spans="1:19" hidden="1" x14ac:dyDescent="0.2">
      <c r="A397">
        <v>66</v>
      </c>
      <c r="B397" t="s">
        <v>25</v>
      </c>
      <c r="C397">
        <v>5</v>
      </c>
      <c r="D397">
        <v>3</v>
      </c>
      <c r="E397">
        <v>1014</v>
      </c>
      <c r="F397" t="b">
        <v>1</v>
      </c>
      <c r="G397">
        <v>42.98</v>
      </c>
      <c r="H397">
        <v>26</v>
      </c>
      <c r="I397">
        <v>3</v>
      </c>
      <c r="J397">
        <v>0.66</v>
      </c>
      <c r="K397" t="s">
        <v>1171</v>
      </c>
      <c r="L397">
        <v>0</v>
      </c>
      <c r="N397" t="s">
        <v>1172</v>
      </c>
      <c r="O397" t="s">
        <v>1173</v>
      </c>
      <c r="P397" t="s">
        <v>20</v>
      </c>
      <c r="Q397">
        <f>(VALUE(LEFT(SUBSTITUTE(O397,"T"," "),23)) - VALUE(LEFT(SUBSTITUTE(N397,"T"," "),23))) * 86400</f>
        <v>182.10599964950234</v>
      </c>
      <c r="R397">
        <f>I397/G397</f>
        <v>6.9799906933457431E-2</v>
      </c>
      <c r="S397">
        <f>H397/G397</f>
        <v>0.60493252675663101</v>
      </c>
    </row>
    <row r="398" spans="1:19" hidden="1" x14ac:dyDescent="0.2">
      <c r="A398">
        <v>69</v>
      </c>
      <c r="B398" t="s">
        <v>25</v>
      </c>
      <c r="C398">
        <v>10</v>
      </c>
      <c r="D398">
        <v>3</v>
      </c>
      <c r="E398">
        <v>1014</v>
      </c>
      <c r="F398" t="b">
        <v>1</v>
      </c>
      <c r="G398">
        <v>48.923999999999999</v>
      </c>
      <c r="H398">
        <v>28</v>
      </c>
      <c r="I398">
        <v>3</v>
      </c>
      <c r="J398">
        <v>0.6</v>
      </c>
      <c r="K398" t="s">
        <v>1180</v>
      </c>
      <c r="L398">
        <v>0</v>
      </c>
      <c r="N398" t="s">
        <v>1181</v>
      </c>
      <c r="O398" t="s">
        <v>1182</v>
      </c>
      <c r="P398" t="s">
        <v>20</v>
      </c>
      <c r="Q398">
        <f>(VALUE(LEFT(SUBSTITUTE(O398,"T"," "),23)) - VALUE(LEFT(SUBSTITUTE(N398,"T"," "),23))) * 86400</f>
        <v>228.72200044803321</v>
      </c>
      <c r="R398">
        <f>I398/G398</f>
        <v>6.1319597743438807E-2</v>
      </c>
      <c r="S398">
        <f>H398/G398</f>
        <v>0.57231624560542882</v>
      </c>
    </row>
    <row r="399" spans="1:19" hidden="1" x14ac:dyDescent="0.2">
      <c r="A399">
        <v>72</v>
      </c>
      <c r="B399" t="s">
        <v>25</v>
      </c>
      <c r="C399">
        <v>15</v>
      </c>
      <c r="D399">
        <v>3</v>
      </c>
      <c r="E399">
        <v>1014</v>
      </c>
      <c r="F399" t="b">
        <v>1</v>
      </c>
      <c r="G399">
        <v>53.271999999999998</v>
      </c>
      <c r="H399">
        <v>30</v>
      </c>
      <c r="I399">
        <v>2</v>
      </c>
      <c r="J399">
        <v>0.36</v>
      </c>
      <c r="K399" t="s">
        <v>1189</v>
      </c>
      <c r="L399">
        <v>0</v>
      </c>
      <c r="N399" t="s">
        <v>1190</v>
      </c>
      <c r="O399" t="s">
        <v>1191</v>
      </c>
      <c r="P399" t="s">
        <v>20</v>
      </c>
      <c r="Q399">
        <f>(VALUE(LEFT(SUBSTITUTE(O399,"T"," "),23)) - VALUE(LEFT(SUBSTITUTE(N399,"T"," "),23))) * 86400</f>
        <v>231.72700011637062</v>
      </c>
      <c r="R399">
        <f>I399/G399</f>
        <v>3.7543174650848478E-2</v>
      </c>
      <c r="S399">
        <f>H399/G399</f>
        <v>0.5631476197627272</v>
      </c>
    </row>
    <row r="400" spans="1:19" hidden="1" x14ac:dyDescent="0.2">
      <c r="A400">
        <v>75</v>
      </c>
      <c r="B400" t="s">
        <v>25</v>
      </c>
      <c r="C400">
        <v>20</v>
      </c>
      <c r="D400">
        <v>3</v>
      </c>
      <c r="E400">
        <v>1014</v>
      </c>
      <c r="F400" t="b">
        <v>1</v>
      </c>
      <c r="G400">
        <v>42.896000000000001</v>
      </c>
      <c r="H400">
        <v>28</v>
      </c>
      <c r="I400">
        <v>9</v>
      </c>
      <c r="J400">
        <v>1.74</v>
      </c>
      <c r="K400" t="s">
        <v>1198</v>
      </c>
      <c r="L400">
        <v>0</v>
      </c>
      <c r="N400" t="s">
        <v>1199</v>
      </c>
      <c r="O400" t="s">
        <v>1200</v>
      </c>
      <c r="P400" t="s">
        <v>20</v>
      </c>
      <c r="Q400">
        <f>(VALUE(LEFT(SUBSTITUTE(O400,"T"," "),23)) - VALUE(LEFT(SUBSTITUTE(N400,"T"," "),23))) * 86400</f>
        <v>196.13099964335561</v>
      </c>
      <c r="R400">
        <f>I400/G400</f>
        <v>0.20980977247295785</v>
      </c>
      <c r="S400">
        <f>H400/G400</f>
        <v>0.65274151436031336</v>
      </c>
    </row>
    <row r="401" spans="1:19" hidden="1" x14ac:dyDescent="0.2">
      <c r="A401">
        <v>78</v>
      </c>
      <c r="B401" t="s">
        <v>25</v>
      </c>
      <c r="C401">
        <v>50</v>
      </c>
      <c r="D401">
        <v>3</v>
      </c>
      <c r="E401">
        <v>1014</v>
      </c>
      <c r="F401" t="b">
        <v>1</v>
      </c>
      <c r="G401">
        <v>49.384</v>
      </c>
      <c r="H401">
        <v>29</v>
      </c>
      <c r="I401">
        <v>13</v>
      </c>
      <c r="J401">
        <v>1.86</v>
      </c>
      <c r="K401" t="s">
        <v>1207</v>
      </c>
      <c r="L401">
        <v>0</v>
      </c>
      <c r="N401" t="s">
        <v>1208</v>
      </c>
      <c r="O401" t="s">
        <v>1209</v>
      </c>
      <c r="P401" t="s">
        <v>20</v>
      </c>
      <c r="Q401">
        <f>(VALUE(LEFT(SUBSTITUTE(O401,"T"," "),23)) - VALUE(LEFT(SUBSTITUTE(N401,"T"," "),23))) * 86400</f>
        <v>224.29800010286272</v>
      </c>
      <c r="R401">
        <f>I401/G401</f>
        <v>0.26324315567795237</v>
      </c>
      <c r="S401">
        <f>H401/G401</f>
        <v>0.58723473189697073</v>
      </c>
    </row>
    <row r="402" spans="1:19" hidden="1" x14ac:dyDescent="0.2">
      <c r="A402">
        <v>81</v>
      </c>
      <c r="B402" t="s">
        <v>25</v>
      </c>
      <c r="C402">
        <v>70</v>
      </c>
      <c r="D402">
        <v>3</v>
      </c>
      <c r="E402">
        <v>1014</v>
      </c>
      <c r="F402" t="b">
        <v>1</v>
      </c>
      <c r="G402">
        <v>46.624000000000002</v>
      </c>
      <c r="H402">
        <v>29</v>
      </c>
      <c r="I402">
        <v>4</v>
      </c>
      <c r="J402">
        <v>0.96</v>
      </c>
      <c r="K402" t="s">
        <v>1216</v>
      </c>
      <c r="L402">
        <v>0</v>
      </c>
      <c r="N402" t="s">
        <v>1217</v>
      </c>
      <c r="O402" t="s">
        <v>1218</v>
      </c>
      <c r="P402" t="s">
        <v>20</v>
      </c>
      <c r="Q402">
        <f>(VALUE(LEFT(SUBSTITUTE(O402,"T"," "),23)) - VALUE(LEFT(SUBSTITUTE(N402,"T"," "),23))) * 86400</f>
        <v>228.51500033866614</v>
      </c>
      <c r="R402">
        <f>I402/G402</f>
        <v>8.5792724776938917E-2</v>
      </c>
      <c r="S402">
        <f>H402/G402</f>
        <v>0.62199725463280708</v>
      </c>
    </row>
    <row r="403" spans="1:19" hidden="1" x14ac:dyDescent="0.2">
      <c r="A403">
        <v>30</v>
      </c>
      <c r="B403" t="s">
        <v>25</v>
      </c>
      <c r="C403">
        <v>-1</v>
      </c>
      <c r="D403">
        <v>2</v>
      </c>
      <c r="E403">
        <v>1018</v>
      </c>
      <c r="F403" t="b">
        <v>1</v>
      </c>
      <c r="G403">
        <v>43.884</v>
      </c>
      <c r="H403">
        <v>33</v>
      </c>
      <c r="I403">
        <v>7</v>
      </c>
      <c r="J403">
        <v>6.18</v>
      </c>
      <c r="K403" t="s">
        <v>2078</v>
      </c>
      <c r="L403">
        <v>0</v>
      </c>
      <c r="N403" t="s">
        <v>2079</v>
      </c>
      <c r="O403" t="s">
        <v>2080</v>
      </c>
      <c r="P403" t="s">
        <v>20</v>
      </c>
      <c r="Q403">
        <f>(VALUE(LEFT(SUBSTITUTE(O403,"T"," "),23)) - VALUE(LEFT(SUBSTITUTE(N403,"T"," "),23))) * 86400</f>
        <v>79.74000012036413</v>
      </c>
      <c r="R403">
        <f>I403/G403</f>
        <v>0.15951143924892899</v>
      </c>
      <c r="S403">
        <f>H403/G403</f>
        <v>0.7519824993163795</v>
      </c>
    </row>
    <row r="404" spans="1:19" hidden="1" x14ac:dyDescent="0.2">
      <c r="A404">
        <v>58</v>
      </c>
      <c r="B404" t="s">
        <v>16</v>
      </c>
      <c r="C404">
        <v>0</v>
      </c>
      <c r="D404">
        <v>3</v>
      </c>
      <c r="E404">
        <v>1014</v>
      </c>
      <c r="F404" t="b">
        <v>1</v>
      </c>
      <c r="G404">
        <v>97.096000000000004</v>
      </c>
      <c r="H404">
        <v>28</v>
      </c>
      <c r="I404">
        <v>3</v>
      </c>
      <c r="J404">
        <v>1.02</v>
      </c>
      <c r="K404" t="s">
        <v>1147</v>
      </c>
      <c r="L404">
        <v>0</v>
      </c>
      <c r="N404" t="s">
        <v>1148</v>
      </c>
      <c r="O404" t="s">
        <v>1149</v>
      </c>
      <c r="P404" t="s">
        <v>20</v>
      </c>
      <c r="Q404">
        <f>(VALUE(LEFT(SUBSTITUTE(O404,"T"," "),23)) - VALUE(LEFT(SUBSTITUTE(N404,"T"," "),23))) * 86400</f>
        <v>376.21199958957732</v>
      </c>
      <c r="R404">
        <f>I404/G404</f>
        <v>3.0897256323638461E-2</v>
      </c>
      <c r="S404">
        <f>H404/G404</f>
        <v>0.28837439235395895</v>
      </c>
    </row>
    <row r="405" spans="1:19" x14ac:dyDescent="0.2">
      <c r="A405">
        <v>8</v>
      </c>
      <c r="B405" t="s">
        <v>21</v>
      </c>
      <c r="C405">
        <v>2</v>
      </c>
      <c r="D405">
        <v>1</v>
      </c>
      <c r="E405">
        <v>1010</v>
      </c>
      <c r="F405" t="b">
        <v>1</v>
      </c>
      <c r="G405">
        <v>88.436000000000007</v>
      </c>
      <c r="H405">
        <v>29</v>
      </c>
      <c r="I405">
        <v>2</v>
      </c>
      <c r="J405">
        <v>1.1399999999999999</v>
      </c>
      <c r="K405" t="s">
        <v>131</v>
      </c>
      <c r="L405">
        <v>0</v>
      </c>
      <c r="N405" t="s">
        <v>132</v>
      </c>
      <c r="O405" t="s">
        <v>133</v>
      </c>
      <c r="P405" t="s">
        <v>20</v>
      </c>
      <c r="Q405">
        <f>(VALUE(LEFT(SUBSTITUTE(O405,"T"," "),23)) - VALUE(LEFT(SUBSTITUTE(N405,"T"," "),23))) * 86400</f>
        <v>356.46400018595159</v>
      </c>
      <c r="R405">
        <f>I405/G405</f>
        <v>2.261522456917997E-2</v>
      </c>
      <c r="S405">
        <f>H405/G405</f>
        <v>0.32792075625310957</v>
      </c>
    </row>
    <row r="406" spans="1:19" hidden="1" x14ac:dyDescent="0.2">
      <c r="A406">
        <v>64</v>
      </c>
      <c r="B406" t="s">
        <v>16</v>
      </c>
      <c r="C406">
        <v>5</v>
      </c>
      <c r="D406">
        <v>3</v>
      </c>
      <c r="E406">
        <v>1014</v>
      </c>
      <c r="F406" t="b">
        <v>1</v>
      </c>
      <c r="G406">
        <v>88.736000000000004</v>
      </c>
      <c r="H406">
        <v>29</v>
      </c>
      <c r="I406">
        <v>2</v>
      </c>
      <c r="J406">
        <v>0.3</v>
      </c>
      <c r="K406" t="s">
        <v>1165</v>
      </c>
      <c r="L406">
        <v>0</v>
      </c>
      <c r="N406" t="s">
        <v>1166</v>
      </c>
      <c r="O406" t="s">
        <v>1167</v>
      </c>
      <c r="P406" t="s">
        <v>20</v>
      </c>
      <c r="Q406">
        <f>(VALUE(LEFT(SUBSTITUTE(O406,"T"," "),23)) - VALUE(LEFT(SUBSTITUTE(N406,"T"," "),23))) * 86400</f>
        <v>401.76599998958409</v>
      </c>
      <c r="R406">
        <f>I406/G406</f>
        <v>2.2538766678687341E-2</v>
      </c>
      <c r="S406">
        <f>H406/G406</f>
        <v>0.32681211684096645</v>
      </c>
    </row>
    <row r="407" spans="1:19" hidden="1" x14ac:dyDescent="0.2">
      <c r="A407">
        <v>67</v>
      </c>
      <c r="B407" t="s">
        <v>16</v>
      </c>
      <c r="C407">
        <v>10</v>
      </c>
      <c r="D407">
        <v>3</v>
      </c>
      <c r="E407">
        <v>1014</v>
      </c>
      <c r="F407" t="b">
        <v>1</v>
      </c>
      <c r="G407">
        <v>80.86</v>
      </c>
      <c r="H407">
        <v>31</v>
      </c>
      <c r="I407">
        <v>2</v>
      </c>
      <c r="J407">
        <v>0.66</v>
      </c>
      <c r="K407" t="s">
        <v>1174</v>
      </c>
      <c r="L407">
        <v>0</v>
      </c>
      <c r="N407" t="s">
        <v>1175</v>
      </c>
      <c r="O407" t="s">
        <v>1176</v>
      </c>
      <c r="P407" t="s">
        <v>20</v>
      </c>
      <c r="Q407">
        <f>(VALUE(LEFT(SUBSTITUTE(O407,"T"," "),23)) - VALUE(LEFT(SUBSTITUTE(N407,"T"," "),23))) * 86400</f>
        <v>365.91799990274012</v>
      </c>
      <c r="R407">
        <f>I407/G407</f>
        <v>2.4734108335394508E-2</v>
      </c>
      <c r="S407">
        <f>H407/G407</f>
        <v>0.3833786791986149</v>
      </c>
    </row>
    <row r="408" spans="1:19" hidden="1" x14ac:dyDescent="0.2">
      <c r="A408">
        <v>70</v>
      </c>
      <c r="B408" t="s">
        <v>16</v>
      </c>
      <c r="C408">
        <v>15</v>
      </c>
      <c r="D408">
        <v>3</v>
      </c>
      <c r="E408">
        <v>1014</v>
      </c>
      <c r="F408" t="b">
        <v>1</v>
      </c>
      <c r="G408">
        <v>86.424000000000007</v>
      </c>
      <c r="H408">
        <v>30</v>
      </c>
      <c r="I408">
        <v>10</v>
      </c>
      <c r="J408">
        <v>2.2200000000000002</v>
      </c>
      <c r="K408" t="s">
        <v>1183</v>
      </c>
      <c r="L408">
        <v>0</v>
      </c>
      <c r="N408" t="s">
        <v>1184</v>
      </c>
      <c r="O408" t="s">
        <v>1185</v>
      </c>
      <c r="P408" t="s">
        <v>20</v>
      </c>
      <c r="Q408">
        <f>(VALUE(LEFT(SUBSTITUTE(O408,"T"," "),23)) - VALUE(LEFT(SUBSTITUTE(N408,"T"," "),23))) * 86400</f>
        <v>322.10599968675524</v>
      </c>
      <c r="R408">
        <f>I408/G408</f>
        <v>0.11570859946311209</v>
      </c>
      <c r="S408">
        <f>H408/G408</f>
        <v>0.34712579838933627</v>
      </c>
    </row>
    <row r="409" spans="1:19" hidden="1" x14ac:dyDescent="0.2">
      <c r="A409">
        <v>73</v>
      </c>
      <c r="B409" t="s">
        <v>16</v>
      </c>
      <c r="C409">
        <v>20</v>
      </c>
      <c r="D409">
        <v>3</v>
      </c>
      <c r="E409">
        <v>1014</v>
      </c>
      <c r="F409" t="b">
        <v>1</v>
      </c>
      <c r="G409">
        <v>86.727999999999994</v>
      </c>
      <c r="H409">
        <v>28</v>
      </c>
      <c r="I409">
        <v>4</v>
      </c>
      <c r="J409">
        <v>0.36</v>
      </c>
      <c r="K409" t="s">
        <v>1192</v>
      </c>
      <c r="L409">
        <v>0</v>
      </c>
      <c r="N409" t="s">
        <v>1193</v>
      </c>
      <c r="O409" t="s">
        <v>1194</v>
      </c>
      <c r="P409" t="s">
        <v>20</v>
      </c>
      <c r="Q409">
        <f>(VALUE(LEFT(SUBSTITUTE(O409,"T"," "),23)) - VALUE(LEFT(SUBSTITUTE(N409,"T"," "),23))) * 86400</f>
        <v>300.55099942255765</v>
      </c>
      <c r="R409">
        <f>I409/G409</f>
        <v>4.6121206530762848E-2</v>
      </c>
      <c r="S409">
        <f>H409/G409</f>
        <v>0.32284844571533994</v>
      </c>
    </row>
    <row r="410" spans="1:19" hidden="1" x14ac:dyDescent="0.2">
      <c r="A410">
        <v>76</v>
      </c>
      <c r="B410" t="s">
        <v>16</v>
      </c>
      <c r="C410">
        <v>50</v>
      </c>
      <c r="D410">
        <v>3</v>
      </c>
      <c r="E410">
        <v>1014</v>
      </c>
      <c r="F410" t="b">
        <v>1</v>
      </c>
      <c r="G410">
        <v>70.971999999999994</v>
      </c>
      <c r="H410">
        <v>29</v>
      </c>
      <c r="I410">
        <v>5</v>
      </c>
      <c r="J410">
        <v>0.78</v>
      </c>
      <c r="K410" t="s">
        <v>1201</v>
      </c>
      <c r="L410">
        <v>0</v>
      </c>
      <c r="N410" t="s">
        <v>1202</v>
      </c>
      <c r="O410" t="s">
        <v>1203</v>
      </c>
      <c r="P410" t="s">
        <v>20</v>
      </c>
      <c r="Q410">
        <f>(VALUE(LEFT(SUBSTITUTE(O410,"T"," "),23)) - VALUE(LEFT(SUBSTITUTE(N410,"T"," "),23))) * 86400</f>
        <v>303.59900014009327</v>
      </c>
      <c r="R410">
        <f>I410/G410</f>
        <v>7.0450318435439335E-2</v>
      </c>
      <c r="S410">
        <f>H410/G410</f>
        <v>0.40861184692554814</v>
      </c>
    </row>
    <row r="411" spans="1:19" hidden="1" x14ac:dyDescent="0.2">
      <c r="A411">
        <v>79</v>
      </c>
      <c r="B411" t="s">
        <v>16</v>
      </c>
      <c r="C411">
        <v>70</v>
      </c>
      <c r="D411">
        <v>3</v>
      </c>
      <c r="E411">
        <v>1014</v>
      </c>
      <c r="F411" t="b">
        <v>1</v>
      </c>
      <c r="G411">
        <v>60.332000000000001</v>
      </c>
      <c r="H411">
        <v>29</v>
      </c>
      <c r="I411">
        <v>5</v>
      </c>
      <c r="J411">
        <v>0.96</v>
      </c>
      <c r="K411" t="s">
        <v>1210</v>
      </c>
      <c r="L411">
        <v>0</v>
      </c>
      <c r="N411" t="s">
        <v>1211</v>
      </c>
      <c r="O411" t="s">
        <v>1212</v>
      </c>
      <c r="P411" t="s">
        <v>20</v>
      </c>
      <c r="Q411">
        <f>(VALUE(LEFT(SUBSTITUTE(O411,"T"," "),23)) - VALUE(LEFT(SUBSTITUTE(N411,"T"," "),23))) * 86400</f>
        <v>222.01199987903237</v>
      </c>
      <c r="R411">
        <f>I411/G411</f>
        <v>8.2874759663196976E-2</v>
      </c>
      <c r="S411">
        <f>H411/G411</f>
        <v>0.48067360604654247</v>
      </c>
    </row>
    <row r="412" spans="1:19" hidden="1" x14ac:dyDescent="0.2">
      <c r="A412">
        <v>42</v>
      </c>
      <c r="B412" t="s">
        <v>25</v>
      </c>
      <c r="C412">
        <v>-1</v>
      </c>
      <c r="D412">
        <v>5</v>
      </c>
      <c r="E412">
        <v>1014</v>
      </c>
      <c r="F412" t="b">
        <v>1</v>
      </c>
      <c r="G412">
        <v>39.896000000000001</v>
      </c>
      <c r="H412">
        <v>30</v>
      </c>
      <c r="I412">
        <v>4</v>
      </c>
      <c r="J412">
        <v>3.54</v>
      </c>
      <c r="K412" t="s">
        <v>3673</v>
      </c>
      <c r="L412">
        <v>0</v>
      </c>
      <c r="N412" t="s">
        <v>3674</v>
      </c>
      <c r="O412" t="s">
        <v>3675</v>
      </c>
      <c r="P412" t="s">
        <v>20</v>
      </c>
      <c r="Q412">
        <f>(VALUE(LEFT(SUBSTITUTE(O412,"T"," "),23)) - VALUE(LEFT(SUBSTITUTE(N412,"T"," "),23))) * 86400</f>
        <v>155.10100002866238</v>
      </c>
      <c r="R412">
        <f>I412/G412</f>
        <v>0.10026067776218167</v>
      </c>
      <c r="S412">
        <f>H412/G412</f>
        <v>0.75195508321636251</v>
      </c>
    </row>
    <row r="413" spans="1:19" hidden="1" x14ac:dyDescent="0.2">
      <c r="A413">
        <v>86</v>
      </c>
      <c r="B413" t="s">
        <v>21</v>
      </c>
      <c r="C413">
        <v>0</v>
      </c>
      <c r="D413">
        <v>4</v>
      </c>
      <c r="E413">
        <v>1015</v>
      </c>
      <c r="F413" t="b">
        <v>1</v>
      </c>
      <c r="G413">
        <v>54.643999999999998</v>
      </c>
      <c r="H413">
        <v>23</v>
      </c>
      <c r="I413">
        <v>0</v>
      </c>
      <c r="J413">
        <v>0</v>
      </c>
      <c r="K413" t="s">
        <v>1231</v>
      </c>
      <c r="L413">
        <v>0</v>
      </c>
      <c r="N413" t="s">
        <v>1232</v>
      </c>
      <c r="O413" t="s">
        <v>1233</v>
      </c>
      <c r="P413" t="s">
        <v>20</v>
      </c>
      <c r="Q413">
        <f>(VALUE(LEFT(SUBSTITUTE(O413,"T"," "),23)) - VALUE(LEFT(SUBSTITUTE(N413,"T"," "),23))) * 86400</f>
        <v>313.18999996874481</v>
      </c>
      <c r="R413">
        <f>I413/G413</f>
        <v>0</v>
      </c>
      <c r="S413">
        <f>H413/G413</f>
        <v>0.4209062294121953</v>
      </c>
    </row>
    <row r="414" spans="1:19" hidden="1" x14ac:dyDescent="0.2">
      <c r="A414">
        <v>24</v>
      </c>
      <c r="B414" t="s">
        <v>2476</v>
      </c>
      <c r="C414">
        <v>5</v>
      </c>
      <c r="D414">
        <v>3</v>
      </c>
      <c r="E414">
        <v>1002</v>
      </c>
      <c r="F414" t="b">
        <v>1</v>
      </c>
      <c r="G414">
        <v>151.12</v>
      </c>
      <c r="H414">
        <v>25</v>
      </c>
      <c r="I414">
        <v>5</v>
      </c>
      <c r="J414">
        <v>0.66</v>
      </c>
      <c r="K414" t="s">
        <v>2601</v>
      </c>
      <c r="L414">
        <v>0</v>
      </c>
      <c r="N414" t="s">
        <v>2602</v>
      </c>
      <c r="O414" t="s">
        <v>2603</v>
      </c>
      <c r="P414" t="s">
        <v>20</v>
      </c>
      <c r="Q414">
        <f>(VALUE(LEFT(SUBSTITUTE(O414,"T"," "),23)) - VALUE(LEFT(SUBSTITUTE(N414,"T"," "),23))) * 86400</f>
        <v>807.99200017936528</v>
      </c>
      <c r="R414">
        <f>I414/G414</f>
        <v>3.3086289041821065E-2</v>
      </c>
      <c r="S414">
        <f>H414/G414</f>
        <v>0.16543144520910535</v>
      </c>
    </row>
    <row r="415" spans="1:19" hidden="1" x14ac:dyDescent="0.2">
      <c r="A415">
        <v>92</v>
      </c>
      <c r="B415" t="s">
        <v>21</v>
      </c>
      <c r="C415">
        <v>5</v>
      </c>
      <c r="D415">
        <v>4</v>
      </c>
      <c r="E415">
        <v>1015</v>
      </c>
      <c r="F415" t="b">
        <v>1</v>
      </c>
      <c r="G415">
        <v>119.26</v>
      </c>
      <c r="H415">
        <v>23</v>
      </c>
      <c r="I415">
        <v>6</v>
      </c>
      <c r="J415">
        <v>2.2799999999999998</v>
      </c>
      <c r="K415" t="s">
        <v>1249</v>
      </c>
      <c r="L415">
        <v>0</v>
      </c>
      <c r="N415" t="s">
        <v>1250</v>
      </c>
      <c r="O415" t="s">
        <v>1251</v>
      </c>
      <c r="P415" t="s">
        <v>20</v>
      </c>
      <c r="Q415">
        <f>(VALUE(LEFT(SUBSTITUTE(O415,"T"," "),23)) - VALUE(LEFT(SUBSTITUTE(N415,"T"," "),23))) * 86400</f>
        <v>567.26099979132414</v>
      </c>
      <c r="R415">
        <f>I415/G415</f>
        <v>5.0310246520207949E-2</v>
      </c>
      <c r="S415">
        <f>H415/G415</f>
        <v>0.19285594499413047</v>
      </c>
    </row>
    <row r="416" spans="1:19" hidden="1" x14ac:dyDescent="0.2">
      <c r="A416">
        <v>95</v>
      </c>
      <c r="B416" t="s">
        <v>21</v>
      </c>
      <c r="C416">
        <v>10</v>
      </c>
      <c r="D416">
        <v>4</v>
      </c>
      <c r="E416">
        <v>1015</v>
      </c>
      <c r="F416" t="b">
        <v>1</v>
      </c>
      <c r="G416">
        <v>89.98</v>
      </c>
      <c r="H416">
        <v>24</v>
      </c>
      <c r="I416">
        <v>7</v>
      </c>
      <c r="J416">
        <v>1.74</v>
      </c>
      <c r="K416" t="s">
        <v>1258</v>
      </c>
      <c r="L416">
        <v>0</v>
      </c>
      <c r="N416" t="s">
        <v>1259</v>
      </c>
      <c r="O416" t="s">
        <v>1260</v>
      </c>
      <c r="P416" t="s">
        <v>20</v>
      </c>
      <c r="Q416">
        <f>(VALUE(LEFT(SUBSTITUTE(O416,"T"," "),23)) - VALUE(LEFT(SUBSTITUTE(N416,"T"," "),23))) * 86400</f>
        <v>388.26299977954477</v>
      </c>
      <c r="R416">
        <f>I416/G416</f>
        <v>7.7795065570126692E-2</v>
      </c>
      <c r="S416">
        <f>H416/G416</f>
        <v>0.26672593909757725</v>
      </c>
    </row>
    <row r="417" spans="1:19" hidden="1" x14ac:dyDescent="0.2">
      <c r="A417">
        <v>98</v>
      </c>
      <c r="B417" t="s">
        <v>21</v>
      </c>
      <c r="C417">
        <v>15</v>
      </c>
      <c r="D417">
        <v>4</v>
      </c>
      <c r="E417">
        <v>1015</v>
      </c>
      <c r="F417" t="b">
        <v>1</v>
      </c>
      <c r="G417">
        <v>93.727999999999994</v>
      </c>
      <c r="H417">
        <v>23</v>
      </c>
      <c r="I417">
        <v>13</v>
      </c>
      <c r="J417">
        <v>4.26</v>
      </c>
      <c r="K417" t="s">
        <v>1267</v>
      </c>
      <c r="L417">
        <v>0</v>
      </c>
      <c r="N417" t="s">
        <v>1268</v>
      </c>
      <c r="O417" t="s">
        <v>1269</v>
      </c>
      <c r="P417" t="s">
        <v>20</v>
      </c>
      <c r="Q417">
        <f>(VALUE(LEFT(SUBSTITUTE(O417,"T"," "),23)) - VALUE(LEFT(SUBSTITUTE(N417,"T"," "),23))) * 86400</f>
        <v>403.4189997240901</v>
      </c>
      <c r="R417">
        <f>I417/G417</f>
        <v>0.13869921474906113</v>
      </c>
      <c r="S417">
        <f>H417/G417</f>
        <v>0.24539091840218505</v>
      </c>
    </row>
    <row r="418" spans="1:19" hidden="1" x14ac:dyDescent="0.2">
      <c r="A418">
        <v>101</v>
      </c>
      <c r="B418" t="s">
        <v>21</v>
      </c>
      <c r="C418">
        <v>20</v>
      </c>
      <c r="D418">
        <v>4</v>
      </c>
      <c r="E418">
        <v>1015</v>
      </c>
      <c r="F418" t="b">
        <v>1</v>
      </c>
      <c r="G418">
        <v>41.707999999999998</v>
      </c>
      <c r="H418">
        <v>25</v>
      </c>
      <c r="I418">
        <v>7</v>
      </c>
      <c r="J418">
        <v>1.62</v>
      </c>
      <c r="K418" t="s">
        <v>1276</v>
      </c>
      <c r="L418">
        <v>0</v>
      </c>
      <c r="N418" t="s">
        <v>1277</v>
      </c>
      <c r="O418" t="s">
        <v>1278</v>
      </c>
      <c r="P418" t="s">
        <v>20</v>
      </c>
      <c r="Q418">
        <f>(VALUE(LEFT(SUBSTITUTE(O418,"T"," "),23)) - VALUE(LEFT(SUBSTITUTE(N418,"T"," "),23))) * 86400</f>
        <v>258.29600016586483</v>
      </c>
      <c r="R418">
        <f>I418/G418</f>
        <v>0.16783350915891437</v>
      </c>
      <c r="S418">
        <f>H418/G418</f>
        <v>0.59940538985326564</v>
      </c>
    </row>
    <row r="419" spans="1:19" hidden="1" x14ac:dyDescent="0.2">
      <c r="A419">
        <v>104</v>
      </c>
      <c r="B419" t="s">
        <v>21</v>
      </c>
      <c r="C419">
        <v>50</v>
      </c>
      <c r="D419">
        <v>4</v>
      </c>
      <c r="E419">
        <v>1015</v>
      </c>
      <c r="F419" t="b">
        <v>1</v>
      </c>
      <c r="G419">
        <v>57.235999999999997</v>
      </c>
      <c r="H419">
        <v>26</v>
      </c>
      <c r="I419">
        <v>10</v>
      </c>
      <c r="J419">
        <v>2.4</v>
      </c>
      <c r="K419" t="s">
        <v>1285</v>
      </c>
      <c r="L419">
        <v>0</v>
      </c>
      <c r="N419" t="s">
        <v>1286</v>
      </c>
      <c r="O419" t="s">
        <v>1287</v>
      </c>
      <c r="P419" t="s">
        <v>20</v>
      </c>
      <c r="Q419">
        <f>(VALUE(LEFT(SUBSTITUTE(O419,"T"," "),23)) - VALUE(LEFT(SUBSTITUTE(N419,"T"," "),23))) * 86400</f>
        <v>234.38899973407388</v>
      </c>
      <c r="R419">
        <f>I419/G419</f>
        <v>0.17471521420085262</v>
      </c>
      <c r="S419">
        <f>H419/G419</f>
        <v>0.45425955692221681</v>
      </c>
    </row>
    <row r="420" spans="1:19" hidden="1" x14ac:dyDescent="0.2">
      <c r="A420">
        <v>107</v>
      </c>
      <c r="B420" t="s">
        <v>21</v>
      </c>
      <c r="C420">
        <v>70</v>
      </c>
      <c r="D420">
        <v>4</v>
      </c>
      <c r="E420">
        <v>1015</v>
      </c>
      <c r="F420" t="b">
        <v>1</v>
      </c>
      <c r="G420">
        <v>98.596000000000004</v>
      </c>
      <c r="H420">
        <v>27</v>
      </c>
      <c r="I420">
        <v>10</v>
      </c>
      <c r="J420">
        <v>2.04</v>
      </c>
      <c r="K420" t="s">
        <v>1294</v>
      </c>
      <c r="L420">
        <v>0</v>
      </c>
      <c r="N420" t="s">
        <v>1295</v>
      </c>
      <c r="O420" t="s">
        <v>1296</v>
      </c>
      <c r="P420" t="s">
        <v>20</v>
      </c>
      <c r="Q420">
        <f>(VALUE(LEFT(SUBSTITUTE(O420,"T"," "),23)) - VALUE(LEFT(SUBSTITUTE(N420,"T"," "),23))) * 86400</f>
        <v>411.43300021067262</v>
      </c>
      <c r="R420">
        <f>I420/G420</f>
        <v>0.1014239928597509</v>
      </c>
      <c r="S420">
        <f>H420/G420</f>
        <v>0.27384478072132745</v>
      </c>
    </row>
    <row r="421" spans="1:19" hidden="1" x14ac:dyDescent="0.2">
      <c r="A421">
        <v>57</v>
      </c>
      <c r="B421" t="s">
        <v>25</v>
      </c>
      <c r="C421">
        <v>-1</v>
      </c>
      <c r="D421">
        <v>3</v>
      </c>
      <c r="E421">
        <v>1024</v>
      </c>
      <c r="F421" t="b">
        <v>1</v>
      </c>
      <c r="G421">
        <v>41.3</v>
      </c>
      <c r="H421">
        <v>31</v>
      </c>
      <c r="I421">
        <v>6</v>
      </c>
      <c r="J421">
        <v>4.92</v>
      </c>
      <c r="K421" t="s">
        <v>1565</v>
      </c>
      <c r="L421">
        <v>0</v>
      </c>
      <c r="N421" t="s">
        <v>1566</v>
      </c>
      <c r="O421" t="s">
        <v>1567</v>
      </c>
      <c r="P421" t="s">
        <v>20</v>
      </c>
      <c r="Q421">
        <f>(VALUE(LEFT(SUBSTITUTE(O421,"T"," "),23)) - VALUE(LEFT(SUBSTITUTE(N421,"T"," "),23))) * 86400</f>
        <v>189.76800043601543</v>
      </c>
      <c r="R421">
        <f>I421/G421</f>
        <v>0.14527845036319614</v>
      </c>
      <c r="S421">
        <f>H421/G421</f>
        <v>0.75060532687651338</v>
      </c>
    </row>
    <row r="422" spans="1:19" hidden="1" x14ac:dyDescent="0.2">
      <c r="A422">
        <v>87</v>
      </c>
      <c r="B422" t="s">
        <v>25</v>
      </c>
      <c r="C422">
        <v>0</v>
      </c>
      <c r="D422">
        <v>4</v>
      </c>
      <c r="E422">
        <v>1015</v>
      </c>
      <c r="F422" t="b">
        <v>1</v>
      </c>
      <c r="G422">
        <v>58.18</v>
      </c>
      <c r="H422">
        <v>25</v>
      </c>
      <c r="I422">
        <v>1</v>
      </c>
      <c r="J422">
        <v>0.6</v>
      </c>
      <c r="K422" t="s">
        <v>1234</v>
      </c>
      <c r="L422">
        <v>0</v>
      </c>
      <c r="N422" t="s">
        <v>1235</v>
      </c>
      <c r="O422" t="s">
        <v>1236</v>
      </c>
      <c r="P422" t="s">
        <v>20</v>
      </c>
      <c r="Q422">
        <f>(VALUE(LEFT(SUBSTITUTE(O422,"T"," "),23)) - VALUE(LEFT(SUBSTITUTE(N422,"T"," "),23))) * 86400</f>
        <v>292.75499966461211</v>
      </c>
      <c r="R422">
        <f>I422/G422</f>
        <v>1.7188037126160193E-2</v>
      </c>
      <c r="S422">
        <f>H422/G422</f>
        <v>0.42970092815400479</v>
      </c>
    </row>
    <row r="423" spans="1:19" hidden="1" x14ac:dyDescent="0.2">
      <c r="A423">
        <v>19</v>
      </c>
      <c r="B423" t="s">
        <v>3413</v>
      </c>
      <c r="C423">
        <v>-1</v>
      </c>
      <c r="D423">
        <v>10</v>
      </c>
      <c r="E423">
        <v>1029</v>
      </c>
      <c r="F423" t="b">
        <v>1</v>
      </c>
      <c r="G423">
        <v>38.747999999999998</v>
      </c>
      <c r="H423">
        <v>29</v>
      </c>
      <c r="I423">
        <v>5</v>
      </c>
      <c r="J423">
        <v>3.78</v>
      </c>
      <c r="K423" t="s">
        <v>3138</v>
      </c>
      <c r="L423">
        <v>0</v>
      </c>
      <c r="N423" t="s">
        <v>3139</v>
      </c>
      <c r="O423" t="s">
        <v>3140</v>
      </c>
      <c r="P423" t="s">
        <v>20</v>
      </c>
      <c r="Q423">
        <f>(VALUE(LEFT(SUBSTITUTE(O423,"T"," "),23)) - VALUE(LEFT(SUBSTITUTE(N423,"T"," "),23))) * 86400</f>
        <v>149.11500038579106</v>
      </c>
      <c r="R423">
        <f>I423/G423</f>
        <v>0.12903891813771035</v>
      </c>
      <c r="S423">
        <f>H423/G423</f>
        <v>0.74842572519871997</v>
      </c>
    </row>
    <row r="424" spans="1:19" hidden="1" x14ac:dyDescent="0.2">
      <c r="A424">
        <v>93</v>
      </c>
      <c r="B424" t="s">
        <v>25</v>
      </c>
      <c r="C424">
        <v>5</v>
      </c>
      <c r="D424">
        <v>4</v>
      </c>
      <c r="E424">
        <v>1015</v>
      </c>
      <c r="F424" t="b">
        <v>1</v>
      </c>
      <c r="G424">
        <v>40.136000000000003</v>
      </c>
      <c r="H424">
        <v>26</v>
      </c>
      <c r="I424">
        <v>1</v>
      </c>
      <c r="J424">
        <v>0.42</v>
      </c>
      <c r="K424" t="s">
        <v>1252</v>
      </c>
      <c r="L424">
        <v>0</v>
      </c>
      <c r="N424" t="s">
        <v>1253</v>
      </c>
      <c r="O424" t="s">
        <v>1254</v>
      </c>
      <c r="P424" t="s">
        <v>20</v>
      </c>
      <c r="Q424">
        <f>(VALUE(LEFT(SUBSTITUTE(O424,"T"," "),23)) - VALUE(LEFT(SUBSTITUTE(N424,"T"," "),23))) * 86400</f>
        <v>155.37799950689077</v>
      </c>
      <c r="R424">
        <f>I424/G424</f>
        <v>2.491528802072952E-2</v>
      </c>
      <c r="S424">
        <f>H424/G424</f>
        <v>0.64779748853896746</v>
      </c>
    </row>
    <row r="425" spans="1:19" hidden="1" x14ac:dyDescent="0.2">
      <c r="A425">
        <v>96</v>
      </c>
      <c r="B425" t="s">
        <v>25</v>
      </c>
      <c r="C425">
        <v>10</v>
      </c>
      <c r="D425">
        <v>4</v>
      </c>
      <c r="E425">
        <v>1015</v>
      </c>
      <c r="F425" t="b">
        <v>1</v>
      </c>
      <c r="G425">
        <v>47.884</v>
      </c>
      <c r="H425">
        <v>25</v>
      </c>
      <c r="I425">
        <v>3</v>
      </c>
      <c r="J425">
        <v>1.2</v>
      </c>
      <c r="K425" t="s">
        <v>1261</v>
      </c>
      <c r="L425">
        <v>0</v>
      </c>
      <c r="N425" t="s">
        <v>1262</v>
      </c>
      <c r="O425" t="s">
        <v>1263</v>
      </c>
      <c r="P425" t="s">
        <v>20</v>
      </c>
      <c r="Q425">
        <f>(VALUE(LEFT(SUBSTITUTE(O425,"T"," "),23)) - VALUE(LEFT(SUBSTITUTE(N425,"T"," "),23))) * 86400</f>
        <v>262.74100032169372</v>
      </c>
      <c r="R425">
        <f>I425/G425</f>
        <v>6.2651407568290032E-2</v>
      </c>
      <c r="S425">
        <f>H425/G425</f>
        <v>0.5220950630690836</v>
      </c>
    </row>
    <row r="426" spans="1:19" hidden="1" x14ac:dyDescent="0.2">
      <c r="A426">
        <v>99</v>
      </c>
      <c r="B426" t="s">
        <v>25</v>
      </c>
      <c r="C426">
        <v>15</v>
      </c>
      <c r="D426">
        <v>4</v>
      </c>
      <c r="E426">
        <v>1015</v>
      </c>
      <c r="F426" t="b">
        <v>1</v>
      </c>
      <c r="G426">
        <v>45.628</v>
      </c>
      <c r="H426">
        <v>25</v>
      </c>
      <c r="I426">
        <v>3</v>
      </c>
      <c r="J426">
        <v>1.1399999999999999</v>
      </c>
      <c r="K426" t="s">
        <v>1270</v>
      </c>
      <c r="L426">
        <v>0</v>
      </c>
      <c r="N426" t="s">
        <v>1271</v>
      </c>
      <c r="O426" t="s">
        <v>1272</v>
      </c>
      <c r="P426" t="s">
        <v>20</v>
      </c>
      <c r="Q426">
        <f>(VALUE(LEFT(SUBSTITUTE(O426,"T"," "),23)) - VALUE(LEFT(SUBSTITUTE(N426,"T"," "),23))) * 86400</f>
        <v>207.13499975390732</v>
      </c>
      <c r="R426">
        <f>I426/G426</f>
        <v>6.5749101428947132E-2</v>
      </c>
      <c r="S426">
        <f>H426/G426</f>
        <v>0.54790917857455945</v>
      </c>
    </row>
    <row r="427" spans="1:19" hidden="1" x14ac:dyDescent="0.2">
      <c r="A427">
        <v>102</v>
      </c>
      <c r="B427" t="s">
        <v>25</v>
      </c>
      <c r="C427">
        <v>20</v>
      </c>
      <c r="D427">
        <v>4</v>
      </c>
      <c r="E427">
        <v>1015</v>
      </c>
      <c r="F427" t="b">
        <v>1</v>
      </c>
      <c r="G427">
        <v>48.72</v>
      </c>
      <c r="H427">
        <v>22</v>
      </c>
      <c r="I427">
        <v>3</v>
      </c>
      <c r="J427">
        <v>2.82</v>
      </c>
      <c r="K427" t="s">
        <v>1279</v>
      </c>
      <c r="L427">
        <v>0</v>
      </c>
      <c r="N427" t="s">
        <v>1280</v>
      </c>
      <c r="O427" t="s">
        <v>1281</v>
      </c>
      <c r="P427" t="s">
        <v>20</v>
      </c>
      <c r="Q427">
        <f>(VALUE(LEFT(SUBSTITUTE(O427,"T"," "),23)) - VALUE(LEFT(SUBSTITUTE(N427,"T"," "),23))) * 86400</f>
        <v>194.61799990385771</v>
      </c>
      <c r="R427">
        <f>I427/G427</f>
        <v>6.1576354679802957E-2</v>
      </c>
      <c r="S427">
        <f>H427/G427</f>
        <v>0.45155993431855501</v>
      </c>
    </row>
    <row r="428" spans="1:19" hidden="1" x14ac:dyDescent="0.2">
      <c r="A428">
        <v>105</v>
      </c>
      <c r="B428" t="s">
        <v>25</v>
      </c>
      <c r="C428">
        <v>50</v>
      </c>
      <c r="D428">
        <v>4</v>
      </c>
      <c r="E428">
        <v>1015</v>
      </c>
      <c r="F428" t="b">
        <v>1</v>
      </c>
      <c r="G428">
        <v>55.968000000000004</v>
      </c>
      <c r="H428">
        <v>27</v>
      </c>
      <c r="I428">
        <v>6</v>
      </c>
      <c r="J428">
        <v>2.58</v>
      </c>
      <c r="K428" t="s">
        <v>1288</v>
      </c>
      <c r="L428">
        <v>0</v>
      </c>
      <c r="N428" t="s">
        <v>1289</v>
      </c>
      <c r="O428" t="s">
        <v>1290</v>
      </c>
      <c r="P428" t="s">
        <v>20</v>
      </c>
      <c r="Q428">
        <f>(VALUE(LEFT(SUBSTITUTE(O428,"T"," "),23)) - VALUE(LEFT(SUBSTITUTE(N428,"T"," "),23))) * 86400</f>
        <v>233.65599978715181</v>
      </c>
      <c r="R428">
        <f>I428/G428</f>
        <v>0.1072041166380789</v>
      </c>
      <c r="S428">
        <f>H428/G428</f>
        <v>0.482418524871355</v>
      </c>
    </row>
    <row r="429" spans="1:19" hidden="1" x14ac:dyDescent="0.2">
      <c r="A429">
        <v>108</v>
      </c>
      <c r="B429" t="s">
        <v>25</v>
      </c>
      <c r="C429">
        <v>70</v>
      </c>
      <c r="D429">
        <v>4</v>
      </c>
      <c r="E429">
        <v>1015</v>
      </c>
      <c r="F429" t="b">
        <v>1</v>
      </c>
      <c r="G429">
        <v>39.667999999999999</v>
      </c>
      <c r="H429">
        <v>29</v>
      </c>
      <c r="I429">
        <v>2</v>
      </c>
      <c r="J429">
        <v>0.18</v>
      </c>
      <c r="K429" t="s">
        <v>1297</v>
      </c>
      <c r="L429">
        <v>0</v>
      </c>
      <c r="N429" t="s">
        <v>1298</v>
      </c>
      <c r="O429" t="s">
        <v>1299</v>
      </c>
      <c r="P429" t="s">
        <v>20</v>
      </c>
      <c r="Q429">
        <f>(VALUE(LEFT(SUBSTITUTE(O429,"T"," "),23)) - VALUE(LEFT(SUBSTITUTE(N429,"T"," "),23))) * 86400</f>
        <v>179.72899961750954</v>
      </c>
      <c r="R429">
        <f>I429/G429</f>
        <v>5.041847332862761E-2</v>
      </c>
      <c r="S429">
        <f>H429/G429</f>
        <v>0.73106786326510032</v>
      </c>
    </row>
    <row r="430" spans="1:19" hidden="1" x14ac:dyDescent="0.2">
      <c r="A430">
        <v>5</v>
      </c>
      <c r="B430" t="s">
        <v>3413</v>
      </c>
      <c r="C430">
        <v>-1</v>
      </c>
      <c r="D430">
        <v>3</v>
      </c>
      <c r="E430">
        <v>1022</v>
      </c>
      <c r="F430" t="b">
        <v>1</v>
      </c>
      <c r="G430">
        <v>32.195999999999998</v>
      </c>
      <c r="H430">
        <v>24</v>
      </c>
      <c r="I430">
        <v>4</v>
      </c>
      <c r="J430">
        <v>3.54</v>
      </c>
      <c r="K430" t="s">
        <v>3096</v>
      </c>
      <c r="L430">
        <v>0</v>
      </c>
      <c r="N430" t="s">
        <v>3097</v>
      </c>
      <c r="O430" t="s">
        <v>3098</v>
      </c>
      <c r="P430" t="s">
        <v>20</v>
      </c>
      <c r="Q430">
        <f>(VALUE(LEFT(SUBSTITUTE(O430,"T"," "),23)) - VALUE(LEFT(SUBSTITUTE(N430,"T"," "),23))) * 86400</f>
        <v>140.73599986732006</v>
      </c>
      <c r="R430">
        <f>I430/G430</f>
        <v>0.12423903590508138</v>
      </c>
      <c r="S430">
        <f>H430/G430</f>
        <v>0.74543421543048827</v>
      </c>
    </row>
    <row r="431" spans="1:19" hidden="1" x14ac:dyDescent="0.2">
      <c r="A431">
        <v>85</v>
      </c>
      <c r="B431" t="s">
        <v>16</v>
      </c>
      <c r="C431">
        <v>0</v>
      </c>
      <c r="D431">
        <v>4</v>
      </c>
      <c r="E431">
        <v>1015</v>
      </c>
      <c r="F431" t="b">
        <v>1</v>
      </c>
      <c r="G431">
        <v>63.292000000000002</v>
      </c>
      <c r="H431">
        <v>21</v>
      </c>
      <c r="I431">
        <v>3</v>
      </c>
      <c r="J431">
        <v>0.54</v>
      </c>
      <c r="K431" t="s">
        <v>1228</v>
      </c>
      <c r="L431">
        <v>0</v>
      </c>
      <c r="N431" t="s">
        <v>1229</v>
      </c>
      <c r="O431" t="s">
        <v>1230</v>
      </c>
      <c r="P431" t="s">
        <v>20</v>
      </c>
      <c r="Q431">
        <f>(VALUE(LEFT(SUBSTITUTE(O431,"T"," "),23)) - VALUE(LEFT(SUBSTITUTE(N431,"T"," "),23))) * 86400</f>
        <v>356.17899997159839</v>
      </c>
      <c r="R431">
        <f>I431/G431</f>
        <v>4.7399355368766986E-2</v>
      </c>
      <c r="S431">
        <f>H431/G431</f>
        <v>0.3317954875813689</v>
      </c>
    </row>
    <row r="432" spans="1:19" x14ac:dyDescent="0.2">
      <c r="A432">
        <v>88</v>
      </c>
      <c r="B432" t="s">
        <v>16</v>
      </c>
      <c r="C432">
        <v>2</v>
      </c>
      <c r="D432">
        <v>4</v>
      </c>
      <c r="E432">
        <v>1015</v>
      </c>
      <c r="F432" t="b">
        <v>1</v>
      </c>
      <c r="G432">
        <v>72.760000000000005</v>
      </c>
      <c r="H432">
        <v>24</v>
      </c>
      <c r="I432">
        <v>3</v>
      </c>
      <c r="J432">
        <v>0.42</v>
      </c>
      <c r="K432" t="s">
        <v>1237</v>
      </c>
      <c r="L432">
        <v>0</v>
      </c>
      <c r="N432" t="s">
        <v>1238</v>
      </c>
      <c r="O432" t="s">
        <v>1239</v>
      </c>
      <c r="P432" t="s">
        <v>20</v>
      </c>
      <c r="Q432">
        <f>(VALUE(LEFT(SUBSTITUTE(O432,"T"," "),23)) - VALUE(LEFT(SUBSTITUTE(N432,"T"," "),23))) * 86400</f>
        <v>283.74600042589009</v>
      </c>
      <c r="R432">
        <f>I432/G432</f>
        <v>4.1231445849367783E-2</v>
      </c>
      <c r="S432">
        <f>H432/G432</f>
        <v>0.32985156679494226</v>
      </c>
    </row>
    <row r="433" spans="1:19" hidden="1" x14ac:dyDescent="0.2">
      <c r="A433">
        <v>91</v>
      </c>
      <c r="B433" t="s">
        <v>16</v>
      </c>
      <c r="C433">
        <v>5</v>
      </c>
      <c r="D433">
        <v>4</v>
      </c>
      <c r="E433">
        <v>1015</v>
      </c>
      <c r="F433" t="b">
        <v>1</v>
      </c>
      <c r="G433">
        <v>94.671999999999997</v>
      </c>
      <c r="H433">
        <v>23</v>
      </c>
      <c r="I433">
        <v>7</v>
      </c>
      <c r="J433">
        <v>1.56</v>
      </c>
      <c r="K433" t="s">
        <v>1246</v>
      </c>
      <c r="L433">
        <v>0</v>
      </c>
      <c r="N433" t="s">
        <v>1247</v>
      </c>
      <c r="O433" t="s">
        <v>1248</v>
      </c>
      <c r="P433" t="s">
        <v>20</v>
      </c>
      <c r="Q433">
        <f>(VALUE(LEFT(SUBSTITUTE(O433,"T"," "),23)) - VALUE(LEFT(SUBSTITUTE(N433,"T"," "),23))) * 86400</f>
        <v>364.34100056067109</v>
      </c>
      <c r="R433">
        <f>I433/G433</f>
        <v>7.3939496366401888E-2</v>
      </c>
      <c r="S433">
        <f>H433/G433</f>
        <v>0.24294405948960623</v>
      </c>
    </row>
    <row r="434" spans="1:19" hidden="1" x14ac:dyDescent="0.2">
      <c r="A434">
        <v>94</v>
      </c>
      <c r="B434" t="s">
        <v>16</v>
      </c>
      <c r="C434">
        <v>10</v>
      </c>
      <c r="D434">
        <v>4</v>
      </c>
      <c r="E434">
        <v>1015</v>
      </c>
      <c r="F434" t="b">
        <v>1</v>
      </c>
      <c r="G434">
        <v>66.975999999999999</v>
      </c>
      <c r="H434">
        <v>20</v>
      </c>
      <c r="I434">
        <v>0</v>
      </c>
      <c r="J434">
        <v>0</v>
      </c>
      <c r="K434" t="s">
        <v>1255</v>
      </c>
      <c r="L434">
        <v>0</v>
      </c>
      <c r="N434" t="s">
        <v>1256</v>
      </c>
      <c r="O434" t="s">
        <v>1257</v>
      </c>
      <c r="P434" t="s">
        <v>20</v>
      </c>
      <c r="Q434">
        <f>(VALUE(LEFT(SUBSTITUTE(O434,"T"," "),23)) - VALUE(LEFT(SUBSTITUTE(N434,"T"," "),23))) * 86400</f>
        <v>238.88000019360334</v>
      </c>
      <c r="R434">
        <f>I434/G434</f>
        <v>0</v>
      </c>
      <c r="S434">
        <f>H434/G434</f>
        <v>0.29861442904921165</v>
      </c>
    </row>
    <row r="435" spans="1:19" hidden="1" x14ac:dyDescent="0.2">
      <c r="A435">
        <v>97</v>
      </c>
      <c r="B435" t="s">
        <v>16</v>
      </c>
      <c r="C435">
        <v>15</v>
      </c>
      <c r="D435">
        <v>4</v>
      </c>
      <c r="E435">
        <v>1015</v>
      </c>
      <c r="F435" t="b">
        <v>1</v>
      </c>
      <c r="G435">
        <v>94.683999999999997</v>
      </c>
      <c r="H435">
        <v>22</v>
      </c>
      <c r="I435">
        <v>9</v>
      </c>
      <c r="J435">
        <v>2.58</v>
      </c>
      <c r="K435" t="s">
        <v>1264</v>
      </c>
      <c r="L435">
        <v>0</v>
      </c>
      <c r="N435" t="s">
        <v>1265</v>
      </c>
      <c r="O435" t="s">
        <v>1266</v>
      </c>
      <c r="P435" t="s">
        <v>20</v>
      </c>
      <c r="Q435">
        <f>(VALUE(LEFT(SUBSTITUTE(O435,"T"," "),23)) - VALUE(LEFT(SUBSTITUTE(N435,"T"," "),23))) * 86400</f>
        <v>324.59799984935671</v>
      </c>
      <c r="R435">
        <f>I435/G435</f>
        <v>9.5053018461408484E-2</v>
      </c>
      <c r="S435">
        <f>H435/G435</f>
        <v>0.23235182290566517</v>
      </c>
    </row>
    <row r="436" spans="1:19" hidden="1" x14ac:dyDescent="0.2">
      <c r="A436">
        <v>100</v>
      </c>
      <c r="B436" t="s">
        <v>16</v>
      </c>
      <c r="C436">
        <v>20</v>
      </c>
      <c r="D436">
        <v>4</v>
      </c>
      <c r="E436">
        <v>1015</v>
      </c>
      <c r="F436" t="b">
        <v>1</v>
      </c>
      <c r="G436">
        <v>63.616</v>
      </c>
      <c r="H436">
        <v>22</v>
      </c>
      <c r="I436">
        <v>13</v>
      </c>
      <c r="J436">
        <v>1.98</v>
      </c>
      <c r="K436" t="s">
        <v>1273</v>
      </c>
      <c r="L436">
        <v>0</v>
      </c>
      <c r="N436" t="s">
        <v>1274</v>
      </c>
      <c r="O436" t="s">
        <v>1275</v>
      </c>
      <c r="P436" t="s">
        <v>20</v>
      </c>
      <c r="Q436">
        <f>(VALUE(LEFT(SUBSTITUTE(O436,"T"," "),23)) - VALUE(LEFT(SUBSTITUTE(N436,"T"," "),23))) * 86400</f>
        <v>293.32600026391447</v>
      </c>
      <c r="R436">
        <f>I436/G436</f>
        <v>0.20435110663983905</v>
      </c>
      <c r="S436">
        <f>H436/G436</f>
        <v>0.34582494969818911</v>
      </c>
    </row>
    <row r="437" spans="1:19" hidden="1" x14ac:dyDescent="0.2">
      <c r="A437">
        <v>103</v>
      </c>
      <c r="B437" t="s">
        <v>16</v>
      </c>
      <c r="C437">
        <v>50</v>
      </c>
      <c r="D437">
        <v>4</v>
      </c>
      <c r="E437">
        <v>1015</v>
      </c>
      <c r="F437" t="b">
        <v>1</v>
      </c>
      <c r="G437">
        <v>70.703999999999994</v>
      </c>
      <c r="H437">
        <v>21</v>
      </c>
      <c r="I437">
        <v>8</v>
      </c>
      <c r="J437">
        <v>1.68</v>
      </c>
      <c r="K437" t="s">
        <v>1282</v>
      </c>
      <c r="L437">
        <v>0</v>
      </c>
      <c r="N437" t="s">
        <v>1283</v>
      </c>
      <c r="O437" t="s">
        <v>1284</v>
      </c>
      <c r="P437" t="s">
        <v>20</v>
      </c>
      <c r="Q437">
        <f>(VALUE(LEFT(SUBSTITUTE(O437,"T"," "),23)) - VALUE(LEFT(SUBSTITUTE(N437,"T"," "),23))) * 86400</f>
        <v>305.42400029953569</v>
      </c>
      <c r="R437">
        <f>I437/G437</f>
        <v>0.11314777098891153</v>
      </c>
      <c r="S437">
        <f>H437/G437</f>
        <v>0.29701289884589277</v>
      </c>
    </row>
    <row r="438" spans="1:19" hidden="1" x14ac:dyDescent="0.2">
      <c r="A438">
        <v>106</v>
      </c>
      <c r="B438" t="s">
        <v>16</v>
      </c>
      <c r="C438">
        <v>70</v>
      </c>
      <c r="D438">
        <v>4</v>
      </c>
      <c r="E438">
        <v>1015</v>
      </c>
      <c r="F438" t="b">
        <v>1</v>
      </c>
      <c r="G438">
        <v>76.924000000000007</v>
      </c>
      <c r="H438">
        <v>23</v>
      </c>
      <c r="I438">
        <v>8</v>
      </c>
      <c r="J438">
        <v>1.86</v>
      </c>
      <c r="K438" t="s">
        <v>1291</v>
      </c>
      <c r="L438">
        <v>0</v>
      </c>
      <c r="N438" t="s">
        <v>1292</v>
      </c>
      <c r="O438" t="s">
        <v>1293</v>
      </c>
      <c r="P438" t="s">
        <v>20</v>
      </c>
      <c r="Q438">
        <f>(VALUE(LEFT(SUBSTITUTE(O438,"T"," "),23)) - VALUE(LEFT(SUBSTITUTE(N438,"T"," "),23))) * 86400</f>
        <v>294.87899991218001</v>
      </c>
      <c r="R438">
        <f>I438/G438</f>
        <v>0.10399875201497581</v>
      </c>
      <c r="S438">
        <f>H438/G438</f>
        <v>0.29899641204305544</v>
      </c>
    </row>
    <row r="439" spans="1:19" hidden="1" x14ac:dyDescent="0.2">
      <c r="A439">
        <v>5</v>
      </c>
      <c r="B439" t="s">
        <v>2476</v>
      </c>
      <c r="C439">
        <v>-1</v>
      </c>
      <c r="D439">
        <v>3</v>
      </c>
      <c r="E439">
        <v>1009</v>
      </c>
      <c r="F439" t="b">
        <v>1</v>
      </c>
      <c r="G439">
        <v>37.584000000000003</v>
      </c>
      <c r="H439">
        <v>28</v>
      </c>
      <c r="I439">
        <v>8</v>
      </c>
      <c r="J439">
        <v>5.88</v>
      </c>
      <c r="K439" t="s">
        <v>2489</v>
      </c>
      <c r="L439">
        <v>-9</v>
      </c>
      <c r="N439" t="s">
        <v>2490</v>
      </c>
      <c r="O439" t="s">
        <v>2491</v>
      </c>
      <c r="P439" t="s">
        <v>20</v>
      </c>
      <c r="Q439">
        <f>(VALUE(LEFT(SUBSTITUTE(O439,"T"," "),23)) - VALUE(LEFT(SUBSTITUTE(N439,"T"," "),23))) * 86400</f>
        <v>197.79299965593964</v>
      </c>
      <c r="R439">
        <f>I439/G439</f>
        <v>0.21285653469561513</v>
      </c>
      <c r="S439">
        <f>H439/G439</f>
        <v>0.74499787143465301</v>
      </c>
    </row>
    <row r="440" spans="1:19" hidden="1" x14ac:dyDescent="0.2">
      <c r="A440">
        <v>113</v>
      </c>
      <c r="B440" t="s">
        <v>21</v>
      </c>
      <c r="C440">
        <v>0</v>
      </c>
      <c r="D440">
        <v>5</v>
      </c>
      <c r="E440">
        <v>1016</v>
      </c>
      <c r="F440" t="b">
        <v>1</v>
      </c>
      <c r="G440">
        <v>78.284000000000006</v>
      </c>
      <c r="H440">
        <v>27</v>
      </c>
      <c r="I440">
        <v>4</v>
      </c>
      <c r="J440">
        <v>3.3</v>
      </c>
      <c r="K440" t="s">
        <v>1312</v>
      </c>
      <c r="L440">
        <v>0</v>
      </c>
      <c r="N440" t="s">
        <v>1313</v>
      </c>
      <c r="O440" t="s">
        <v>1314</v>
      </c>
      <c r="P440" t="s">
        <v>20</v>
      </c>
      <c r="Q440">
        <f>(VALUE(LEFT(SUBSTITUTE(O440,"T"," "),23)) - VALUE(LEFT(SUBSTITUTE(N440,"T"," "),23))) * 86400</f>
        <v>328.27999996952713</v>
      </c>
      <c r="R440">
        <f>I440/G440</f>
        <v>5.1096009401665726E-2</v>
      </c>
      <c r="S440">
        <f>H440/G440</f>
        <v>0.34489806346124363</v>
      </c>
    </row>
    <row r="441" spans="1:19" x14ac:dyDescent="0.2">
      <c r="A441">
        <v>7</v>
      </c>
      <c r="B441" t="s">
        <v>16</v>
      </c>
      <c r="C441">
        <v>2</v>
      </c>
      <c r="D441">
        <v>1</v>
      </c>
      <c r="E441">
        <v>1012</v>
      </c>
      <c r="F441" t="b">
        <v>1</v>
      </c>
      <c r="G441">
        <v>86.6</v>
      </c>
      <c r="H441">
        <v>29</v>
      </c>
      <c r="I441">
        <v>1</v>
      </c>
      <c r="J441">
        <v>0.06</v>
      </c>
      <c r="K441" t="s">
        <v>994</v>
      </c>
      <c r="L441">
        <v>0</v>
      </c>
      <c r="N441" t="s">
        <v>995</v>
      </c>
      <c r="O441" t="s">
        <v>996</v>
      </c>
      <c r="P441" t="s">
        <v>20</v>
      </c>
      <c r="Q441">
        <f>(VALUE(LEFT(SUBSTITUTE(O441,"T"," "),23)) - VALUE(LEFT(SUBSTITUTE(N441,"T"," "),23))) * 86400</f>
        <v>364.61200027260929</v>
      </c>
      <c r="R441">
        <f>I441/G441</f>
        <v>1.1547344110854504E-2</v>
      </c>
      <c r="S441">
        <f>H441/G441</f>
        <v>0.3348729792147806</v>
      </c>
    </row>
    <row r="442" spans="1:19" hidden="1" x14ac:dyDescent="0.2">
      <c r="A442">
        <v>119</v>
      </c>
      <c r="B442" t="s">
        <v>21</v>
      </c>
      <c r="C442">
        <v>5</v>
      </c>
      <c r="D442">
        <v>5</v>
      </c>
      <c r="E442">
        <v>1016</v>
      </c>
      <c r="F442" t="b">
        <v>1</v>
      </c>
      <c r="G442">
        <v>88.751999999999995</v>
      </c>
      <c r="H442">
        <v>29</v>
      </c>
      <c r="I442">
        <v>3</v>
      </c>
      <c r="J442">
        <v>1.26</v>
      </c>
      <c r="K442" t="s">
        <v>1330</v>
      </c>
      <c r="L442">
        <v>0</v>
      </c>
      <c r="N442" t="s">
        <v>1331</v>
      </c>
      <c r="O442" t="s">
        <v>1332</v>
      </c>
      <c r="P442" t="s">
        <v>20</v>
      </c>
      <c r="Q442">
        <f>(VALUE(LEFT(SUBSTITUTE(O442,"T"," "),23)) - VALUE(LEFT(SUBSTITUTE(N442,"T"," "),23))) * 86400</f>
        <v>424.47599989827722</v>
      </c>
      <c r="R442">
        <f>I442/G442</f>
        <v>3.3802055164954034E-2</v>
      </c>
      <c r="S442">
        <f>H442/G442</f>
        <v>0.32675319992788898</v>
      </c>
    </row>
    <row r="443" spans="1:19" hidden="1" x14ac:dyDescent="0.2">
      <c r="A443">
        <v>122</v>
      </c>
      <c r="B443" t="s">
        <v>21</v>
      </c>
      <c r="C443">
        <v>10</v>
      </c>
      <c r="D443">
        <v>5</v>
      </c>
      <c r="E443">
        <v>1016</v>
      </c>
      <c r="F443" t="b">
        <v>1</v>
      </c>
      <c r="G443">
        <v>92.736000000000004</v>
      </c>
      <c r="H443">
        <v>28</v>
      </c>
      <c r="I443">
        <v>3</v>
      </c>
      <c r="J443">
        <v>0.54</v>
      </c>
      <c r="K443" t="s">
        <v>1339</v>
      </c>
      <c r="L443">
        <v>0</v>
      </c>
      <c r="N443" t="s">
        <v>1340</v>
      </c>
      <c r="O443" t="s">
        <v>1341</v>
      </c>
      <c r="P443" t="s">
        <v>20</v>
      </c>
      <c r="Q443">
        <f>(VALUE(LEFT(SUBSTITUTE(O443,"T"," "),23)) - VALUE(LEFT(SUBSTITUTE(N443,"T"," "),23))) * 86400</f>
        <v>388.84100031573325</v>
      </c>
      <c r="R443">
        <f>I443/G443</f>
        <v>3.2349896480331264E-2</v>
      </c>
      <c r="S443">
        <f>H443/G443</f>
        <v>0.30193236714975846</v>
      </c>
    </row>
    <row r="444" spans="1:19" hidden="1" x14ac:dyDescent="0.2">
      <c r="A444">
        <v>125</v>
      </c>
      <c r="B444" t="s">
        <v>21</v>
      </c>
      <c r="C444">
        <v>15</v>
      </c>
      <c r="D444">
        <v>5</v>
      </c>
      <c r="E444">
        <v>1016</v>
      </c>
      <c r="F444" t="b">
        <v>1</v>
      </c>
      <c r="G444">
        <v>114.536</v>
      </c>
      <c r="H444">
        <v>27</v>
      </c>
      <c r="I444">
        <v>21</v>
      </c>
      <c r="J444">
        <v>3.12</v>
      </c>
      <c r="K444" t="s">
        <v>1348</v>
      </c>
      <c r="L444">
        <v>0</v>
      </c>
      <c r="N444" t="s">
        <v>1349</v>
      </c>
      <c r="O444" t="s">
        <v>1350</v>
      </c>
      <c r="P444" t="s">
        <v>20</v>
      </c>
      <c r="Q444">
        <f>(VALUE(LEFT(SUBSTITUTE(O444,"T"," "),23)) - VALUE(LEFT(SUBSTITUTE(N444,"T"," "),23))) * 86400</f>
        <v>480.40900030173361</v>
      </c>
      <c r="R444">
        <f>I444/G444</f>
        <v>0.18334846685758188</v>
      </c>
      <c r="S444">
        <f>H444/G444</f>
        <v>0.23573374310260528</v>
      </c>
    </row>
    <row r="445" spans="1:19" hidden="1" x14ac:dyDescent="0.2">
      <c r="A445">
        <v>128</v>
      </c>
      <c r="B445" t="s">
        <v>21</v>
      </c>
      <c r="C445">
        <v>20</v>
      </c>
      <c r="D445">
        <v>5</v>
      </c>
      <c r="E445">
        <v>1016</v>
      </c>
      <c r="F445" t="b">
        <v>1</v>
      </c>
      <c r="G445">
        <v>78.703999999999994</v>
      </c>
      <c r="H445">
        <v>28</v>
      </c>
      <c r="I445">
        <v>7</v>
      </c>
      <c r="J445">
        <v>1.86</v>
      </c>
      <c r="K445" t="s">
        <v>1357</v>
      </c>
      <c r="L445">
        <v>0</v>
      </c>
      <c r="N445" t="s">
        <v>1358</v>
      </c>
      <c r="O445" t="s">
        <v>1359</v>
      </c>
      <c r="P445" t="s">
        <v>20</v>
      </c>
      <c r="Q445">
        <f>(VALUE(LEFT(SUBSTITUTE(O445,"T"," "),23)) - VALUE(LEFT(SUBSTITUTE(N445,"T"," "),23))) * 86400</f>
        <v>377.84200042951852</v>
      </c>
      <c r="R445">
        <f>I445/G445</f>
        <v>8.894084163447856E-2</v>
      </c>
      <c r="S445">
        <f>H445/G445</f>
        <v>0.35576336653791424</v>
      </c>
    </row>
    <row r="446" spans="1:19" hidden="1" x14ac:dyDescent="0.2">
      <c r="A446">
        <v>131</v>
      </c>
      <c r="B446" t="s">
        <v>21</v>
      </c>
      <c r="C446">
        <v>50</v>
      </c>
      <c r="D446">
        <v>5</v>
      </c>
      <c r="E446">
        <v>1016</v>
      </c>
      <c r="F446" t="b">
        <v>1</v>
      </c>
      <c r="G446">
        <v>65.835999999999999</v>
      </c>
      <c r="H446">
        <v>30</v>
      </c>
      <c r="I446">
        <v>10</v>
      </c>
      <c r="J446">
        <v>3</v>
      </c>
      <c r="K446" t="s">
        <v>1366</v>
      </c>
      <c r="L446">
        <v>0</v>
      </c>
      <c r="N446" t="s">
        <v>1367</v>
      </c>
      <c r="O446" t="s">
        <v>1368</v>
      </c>
      <c r="P446" t="s">
        <v>20</v>
      </c>
      <c r="Q446">
        <f>(VALUE(LEFT(SUBSTITUTE(O446,"T"," "),23)) - VALUE(LEFT(SUBSTITUTE(N446,"T"," "),23))) * 86400</f>
        <v>279.80900018010288</v>
      </c>
      <c r="R446">
        <f>I446/G446</f>
        <v>0.1518925815663163</v>
      </c>
      <c r="S446">
        <f>H446/G446</f>
        <v>0.45567774469894889</v>
      </c>
    </row>
    <row r="447" spans="1:19" hidden="1" x14ac:dyDescent="0.2">
      <c r="A447">
        <v>134</v>
      </c>
      <c r="B447" t="s">
        <v>21</v>
      </c>
      <c r="C447">
        <v>70</v>
      </c>
      <c r="D447">
        <v>5</v>
      </c>
      <c r="E447">
        <v>1016</v>
      </c>
      <c r="F447" t="b">
        <v>1</v>
      </c>
      <c r="G447">
        <v>55.88</v>
      </c>
      <c r="H447">
        <v>28</v>
      </c>
      <c r="I447">
        <v>5</v>
      </c>
      <c r="J447">
        <v>0.84</v>
      </c>
      <c r="K447" t="s">
        <v>1375</v>
      </c>
      <c r="L447">
        <v>0</v>
      </c>
      <c r="N447" t="s">
        <v>1376</v>
      </c>
      <c r="O447" t="s">
        <v>1377</v>
      </c>
      <c r="P447" t="s">
        <v>20</v>
      </c>
      <c r="Q447">
        <f>(VALUE(LEFT(SUBSTITUTE(O447,"T"," "),23)) - VALUE(LEFT(SUBSTITUTE(N447,"T"," "),23))) * 86400</f>
        <v>307.25200034212321</v>
      </c>
      <c r="R447">
        <f>I447/G447</f>
        <v>8.9477451682176093E-2</v>
      </c>
      <c r="S447">
        <f>H447/G447</f>
        <v>0.50107372942018613</v>
      </c>
    </row>
    <row r="448" spans="1:19" hidden="1" x14ac:dyDescent="0.2">
      <c r="A448">
        <v>3</v>
      </c>
      <c r="B448" t="s">
        <v>3413</v>
      </c>
      <c r="C448">
        <v>-1</v>
      </c>
      <c r="D448">
        <v>2</v>
      </c>
      <c r="E448">
        <v>1011</v>
      </c>
      <c r="F448" t="b">
        <v>1</v>
      </c>
      <c r="G448">
        <v>37.840000000000003</v>
      </c>
      <c r="H448">
        <v>28</v>
      </c>
      <c r="I448">
        <v>5</v>
      </c>
      <c r="J448">
        <v>5.16</v>
      </c>
      <c r="K448" t="s">
        <v>3030</v>
      </c>
      <c r="L448">
        <v>0</v>
      </c>
      <c r="N448" t="s">
        <v>3031</v>
      </c>
      <c r="O448" t="s">
        <v>3032</v>
      </c>
      <c r="P448" t="s">
        <v>20</v>
      </c>
      <c r="Q448">
        <f>(VALUE(LEFT(SUBSTITUTE(O448,"T"," "),23)) - VALUE(LEFT(SUBSTITUTE(N448,"T"," "),23))) * 86400</f>
        <v>166.00899947807193</v>
      </c>
      <c r="R448">
        <f>I448/G448</f>
        <v>0.1321353065539112</v>
      </c>
      <c r="S448">
        <f>H448/G448</f>
        <v>0.73995771670190269</v>
      </c>
    </row>
    <row r="449" spans="1:19" hidden="1" x14ac:dyDescent="0.2">
      <c r="A449">
        <v>114</v>
      </c>
      <c r="B449" t="s">
        <v>25</v>
      </c>
      <c r="C449">
        <v>0</v>
      </c>
      <c r="D449">
        <v>5</v>
      </c>
      <c r="E449">
        <v>1016</v>
      </c>
      <c r="F449" t="b">
        <v>1</v>
      </c>
      <c r="G449">
        <v>43.116</v>
      </c>
      <c r="H449">
        <v>29</v>
      </c>
      <c r="I449">
        <v>1</v>
      </c>
      <c r="J449">
        <v>0.12</v>
      </c>
      <c r="K449" t="s">
        <v>1315</v>
      </c>
      <c r="L449">
        <v>0</v>
      </c>
      <c r="N449" t="s">
        <v>1316</v>
      </c>
      <c r="O449" t="s">
        <v>1317</v>
      </c>
      <c r="P449" t="s">
        <v>20</v>
      </c>
      <c r="Q449">
        <f>(VALUE(LEFT(SUBSTITUTE(O449,"T"," "),23)) - VALUE(LEFT(SUBSTITUTE(N449,"T"," "),23))) * 86400</f>
        <v>199.41700010094792</v>
      </c>
      <c r="R449">
        <f>I449/G449</f>
        <v>2.3193246126727896E-2</v>
      </c>
      <c r="S449">
        <f>H449/G449</f>
        <v>0.67260413767510896</v>
      </c>
    </row>
    <row r="450" spans="1:19" x14ac:dyDescent="0.2">
      <c r="A450">
        <v>35</v>
      </c>
      <c r="B450" t="s">
        <v>21</v>
      </c>
      <c r="C450">
        <v>2</v>
      </c>
      <c r="D450">
        <v>2</v>
      </c>
      <c r="E450">
        <v>1023</v>
      </c>
      <c r="F450" t="b">
        <v>1</v>
      </c>
      <c r="G450">
        <v>77.623999999999995</v>
      </c>
      <c r="H450">
        <v>26</v>
      </c>
      <c r="I450">
        <v>5</v>
      </c>
      <c r="J450">
        <v>2.46</v>
      </c>
      <c r="K450" t="s">
        <v>1499</v>
      </c>
      <c r="L450">
        <v>0</v>
      </c>
      <c r="N450" t="s">
        <v>1500</v>
      </c>
      <c r="O450" t="s">
        <v>1501</v>
      </c>
      <c r="P450" t="s">
        <v>20</v>
      </c>
      <c r="Q450">
        <f>(VALUE(LEFT(SUBSTITUTE(O450,"T"," "),23)) - VALUE(LEFT(SUBSTITUTE(N450,"T"," "),23))) * 86400</f>
        <v>307.45199988596141</v>
      </c>
      <c r="R450">
        <f>I450/G450</f>
        <v>6.441306812326085E-2</v>
      </c>
      <c r="S450">
        <f>H450/G450</f>
        <v>0.33494795424095641</v>
      </c>
    </row>
    <row r="451" spans="1:19" hidden="1" x14ac:dyDescent="0.2">
      <c r="A451">
        <v>120</v>
      </c>
      <c r="B451" t="s">
        <v>25</v>
      </c>
      <c r="C451">
        <v>5</v>
      </c>
      <c r="D451">
        <v>5</v>
      </c>
      <c r="E451">
        <v>1016</v>
      </c>
      <c r="F451" t="b">
        <v>1</v>
      </c>
      <c r="G451">
        <v>38.991999999999997</v>
      </c>
      <c r="H451">
        <v>29</v>
      </c>
      <c r="I451">
        <v>2</v>
      </c>
      <c r="J451">
        <v>0.42</v>
      </c>
      <c r="K451" t="s">
        <v>1333</v>
      </c>
      <c r="L451">
        <v>0</v>
      </c>
      <c r="N451" t="s">
        <v>1334</v>
      </c>
      <c r="O451" t="s">
        <v>1335</v>
      </c>
      <c r="P451" t="s">
        <v>20</v>
      </c>
      <c r="Q451">
        <f>(VALUE(LEFT(SUBSTITUTE(O451,"T"," "),23)) - VALUE(LEFT(SUBSTITUTE(N451,"T"," "),23))) * 86400</f>
        <v>171.84999953024089</v>
      </c>
      <c r="R451">
        <f>I451/G451</f>
        <v>5.129257283545343E-2</v>
      </c>
      <c r="S451">
        <f>H451/G451</f>
        <v>0.74374230611407477</v>
      </c>
    </row>
    <row r="452" spans="1:19" hidden="1" x14ac:dyDescent="0.2">
      <c r="A452">
        <v>123</v>
      </c>
      <c r="B452" t="s">
        <v>25</v>
      </c>
      <c r="C452">
        <v>10</v>
      </c>
      <c r="D452">
        <v>5</v>
      </c>
      <c r="E452">
        <v>1016</v>
      </c>
      <c r="F452" t="b">
        <v>1</v>
      </c>
      <c r="G452">
        <v>50.915999999999997</v>
      </c>
      <c r="H452">
        <v>31</v>
      </c>
      <c r="I452">
        <v>5</v>
      </c>
      <c r="J452">
        <v>0.84</v>
      </c>
      <c r="K452" t="s">
        <v>1342</v>
      </c>
      <c r="L452">
        <v>0</v>
      </c>
      <c r="N452" t="s">
        <v>1343</v>
      </c>
      <c r="O452" t="s">
        <v>1344</v>
      </c>
      <c r="P452" t="s">
        <v>20</v>
      </c>
      <c r="Q452">
        <f>(VALUE(LEFT(SUBSTITUTE(O452,"T"," "),23)) - VALUE(LEFT(SUBSTITUTE(N452,"T"," "),23))) * 86400</f>
        <v>202.31899979989976</v>
      </c>
      <c r="R452">
        <f>I452/G452</f>
        <v>9.8200958441354388E-2</v>
      </c>
      <c r="S452">
        <f>H452/G452</f>
        <v>0.60884594233639722</v>
      </c>
    </row>
    <row r="453" spans="1:19" hidden="1" x14ac:dyDescent="0.2">
      <c r="A453">
        <v>126</v>
      </c>
      <c r="B453" t="s">
        <v>25</v>
      </c>
      <c r="C453">
        <v>15</v>
      </c>
      <c r="D453">
        <v>5</v>
      </c>
      <c r="E453">
        <v>1016</v>
      </c>
      <c r="F453" t="b">
        <v>1</v>
      </c>
      <c r="G453">
        <v>42.363999999999997</v>
      </c>
      <c r="H453">
        <v>31</v>
      </c>
      <c r="I453">
        <v>4</v>
      </c>
      <c r="J453">
        <v>1.02</v>
      </c>
      <c r="K453" t="s">
        <v>1351</v>
      </c>
      <c r="L453">
        <v>0</v>
      </c>
      <c r="N453" t="s">
        <v>1352</v>
      </c>
      <c r="O453" t="s">
        <v>1353</v>
      </c>
      <c r="P453" t="s">
        <v>20</v>
      </c>
      <c r="Q453">
        <f>(VALUE(LEFT(SUBSTITUTE(O453,"T"," "),23)) - VALUE(LEFT(SUBSTITUTE(N453,"T"," "),23))) * 86400</f>
        <v>186.54700038023293</v>
      </c>
      <c r="R453">
        <f>I453/G453</f>
        <v>9.4419790388065347E-2</v>
      </c>
      <c r="S453">
        <f>H453/G453</f>
        <v>0.73175337550750641</v>
      </c>
    </row>
    <row r="454" spans="1:19" hidden="1" x14ac:dyDescent="0.2">
      <c r="A454">
        <v>129</v>
      </c>
      <c r="B454" t="s">
        <v>25</v>
      </c>
      <c r="C454">
        <v>20</v>
      </c>
      <c r="D454">
        <v>5</v>
      </c>
      <c r="E454">
        <v>1016</v>
      </c>
      <c r="F454" t="b">
        <v>1</v>
      </c>
      <c r="G454">
        <v>53.448</v>
      </c>
      <c r="H454">
        <v>33</v>
      </c>
      <c r="I454">
        <v>7</v>
      </c>
      <c r="J454">
        <v>0.6</v>
      </c>
      <c r="K454" t="s">
        <v>1360</v>
      </c>
      <c r="L454">
        <v>0</v>
      </c>
      <c r="N454" t="s">
        <v>1361</v>
      </c>
      <c r="O454" t="s">
        <v>1362</v>
      </c>
      <c r="P454" t="s">
        <v>20</v>
      </c>
      <c r="Q454">
        <f>(VALUE(LEFT(SUBSTITUTE(O454,"T"," "),23)) - VALUE(LEFT(SUBSTITUTE(N454,"T"," "),23))) * 86400</f>
        <v>255.38100013509393</v>
      </c>
      <c r="R454">
        <f>I454/G454</f>
        <v>0.13096841790151176</v>
      </c>
      <c r="S454">
        <f>H454/G454</f>
        <v>0.6174225415356982</v>
      </c>
    </row>
    <row r="455" spans="1:19" hidden="1" x14ac:dyDescent="0.2">
      <c r="A455">
        <v>132</v>
      </c>
      <c r="B455" t="s">
        <v>25</v>
      </c>
      <c r="C455">
        <v>50</v>
      </c>
      <c r="D455">
        <v>5</v>
      </c>
      <c r="E455">
        <v>1016</v>
      </c>
      <c r="F455" t="b">
        <v>1</v>
      </c>
      <c r="G455">
        <v>33.375999999999998</v>
      </c>
      <c r="H455">
        <v>32</v>
      </c>
      <c r="I455">
        <v>6</v>
      </c>
      <c r="J455">
        <v>0.48</v>
      </c>
      <c r="K455" t="s">
        <v>1369</v>
      </c>
      <c r="L455">
        <v>0</v>
      </c>
      <c r="N455" t="s">
        <v>1370</v>
      </c>
      <c r="O455" t="s">
        <v>1371</v>
      </c>
      <c r="P455" t="s">
        <v>20</v>
      </c>
      <c r="Q455">
        <f>(VALUE(LEFT(SUBSTITUTE(O455,"T"," "),23)) - VALUE(LEFT(SUBSTITUTE(N455,"T"," "),23))) * 86400</f>
        <v>193.65299998316914</v>
      </c>
      <c r="R455">
        <f>I455/G455</f>
        <v>0.17976989453499523</v>
      </c>
      <c r="S455">
        <f>H455/G455</f>
        <v>0.95877277085330781</v>
      </c>
    </row>
    <row r="456" spans="1:19" hidden="1" x14ac:dyDescent="0.2">
      <c r="A456">
        <v>135</v>
      </c>
      <c r="B456" t="s">
        <v>25</v>
      </c>
      <c r="C456">
        <v>70</v>
      </c>
      <c r="D456">
        <v>5</v>
      </c>
      <c r="E456">
        <v>1016</v>
      </c>
      <c r="F456" t="b">
        <v>1</v>
      </c>
      <c r="G456">
        <v>33.42</v>
      </c>
      <c r="H456">
        <v>32</v>
      </c>
      <c r="I456">
        <v>6</v>
      </c>
      <c r="J456">
        <v>0.48</v>
      </c>
      <c r="K456" t="s">
        <v>1378</v>
      </c>
      <c r="L456">
        <v>0</v>
      </c>
      <c r="N456" t="s">
        <v>1379</v>
      </c>
      <c r="O456" t="s">
        <v>1380</v>
      </c>
      <c r="P456" t="s">
        <v>20</v>
      </c>
      <c r="Q456">
        <f>(VALUE(LEFT(SUBSTITUTE(O456,"T"," "),23)) - VALUE(LEFT(SUBSTITUTE(N456,"T"," "),23))) * 86400</f>
        <v>146.95800016634166</v>
      </c>
      <c r="R456">
        <f>I456/G456</f>
        <v>0.17953321364452424</v>
      </c>
      <c r="S456">
        <f>H456/G456</f>
        <v>0.95751047277079593</v>
      </c>
    </row>
    <row r="457" spans="1:19" hidden="1" x14ac:dyDescent="0.2">
      <c r="A457">
        <v>13</v>
      </c>
      <c r="B457" t="s">
        <v>3413</v>
      </c>
      <c r="C457">
        <v>-1</v>
      </c>
      <c r="D457">
        <v>7</v>
      </c>
      <c r="E457">
        <v>1006</v>
      </c>
      <c r="F457" t="b">
        <v>1</v>
      </c>
      <c r="G457">
        <v>38.136000000000003</v>
      </c>
      <c r="H457">
        <v>28</v>
      </c>
      <c r="I457">
        <v>4</v>
      </c>
      <c r="J457">
        <v>8.8800000000000008</v>
      </c>
      <c r="K457" t="s">
        <v>3001</v>
      </c>
      <c r="L457">
        <v>0</v>
      </c>
      <c r="N457" t="s">
        <v>3002</v>
      </c>
      <c r="O457" t="s">
        <v>3003</v>
      </c>
      <c r="P457" t="s">
        <v>20</v>
      </c>
      <c r="Q457">
        <f>(VALUE(LEFT(SUBSTITUTE(O457,"T"," "),23)) - VALUE(LEFT(SUBSTITUTE(N457,"T"," "),23))) * 86400</f>
        <v>141.32199988234788</v>
      </c>
      <c r="R457">
        <f>I457/G457</f>
        <v>0.10488777008600797</v>
      </c>
      <c r="S457">
        <f>H457/G457</f>
        <v>0.73421439060205573</v>
      </c>
    </row>
    <row r="458" spans="1:19" hidden="1" x14ac:dyDescent="0.2">
      <c r="A458">
        <v>112</v>
      </c>
      <c r="B458" t="s">
        <v>16</v>
      </c>
      <c r="C458">
        <v>0</v>
      </c>
      <c r="D458">
        <v>5</v>
      </c>
      <c r="E458">
        <v>1016</v>
      </c>
      <c r="F458" t="b">
        <v>1</v>
      </c>
      <c r="G458">
        <v>129.84</v>
      </c>
      <c r="H458">
        <v>25</v>
      </c>
      <c r="I458">
        <v>0</v>
      </c>
      <c r="J458">
        <v>0</v>
      </c>
      <c r="K458" t="s">
        <v>1309</v>
      </c>
      <c r="L458">
        <v>0</v>
      </c>
      <c r="N458" t="s">
        <v>1310</v>
      </c>
      <c r="O458" t="s">
        <v>1311</v>
      </c>
      <c r="P458" t="s">
        <v>20</v>
      </c>
      <c r="Q458">
        <f>(VALUE(LEFT(SUBSTITUTE(O458,"T"," "),23)) - VALUE(LEFT(SUBSTITUTE(N458,"T"," "),23))) * 86400</f>
        <v>593.74800031073391</v>
      </c>
      <c r="R458">
        <f>I458/G458</f>
        <v>0</v>
      </c>
      <c r="S458">
        <f>H458/G458</f>
        <v>0.19254467036352432</v>
      </c>
    </row>
    <row r="459" spans="1:19" x14ac:dyDescent="0.2">
      <c r="A459">
        <v>7</v>
      </c>
      <c r="B459" t="s">
        <v>16</v>
      </c>
      <c r="C459">
        <v>2</v>
      </c>
      <c r="D459">
        <v>1</v>
      </c>
      <c r="E459">
        <v>1027</v>
      </c>
      <c r="F459" t="b">
        <v>1</v>
      </c>
      <c r="G459">
        <v>77.524000000000001</v>
      </c>
      <c r="H459">
        <v>26</v>
      </c>
      <c r="I459">
        <v>4</v>
      </c>
      <c r="J459">
        <v>0.36</v>
      </c>
      <c r="K459" t="s">
        <v>2252</v>
      </c>
      <c r="L459">
        <v>0</v>
      </c>
      <c r="N459" t="s">
        <v>2253</v>
      </c>
      <c r="O459" t="s">
        <v>2254</v>
      </c>
      <c r="P459" t="s">
        <v>20</v>
      </c>
      <c r="Q459">
        <f>(VALUE(LEFT(SUBSTITUTE(O459,"T"," "),23)) - VALUE(LEFT(SUBSTITUTE(N459,"T"," "),23))) * 86400</f>
        <v>290.54099977947772</v>
      </c>
      <c r="R459">
        <f>I459/G459</f>
        <v>5.1596924823280529E-2</v>
      </c>
      <c r="S459">
        <f>H459/G459</f>
        <v>0.33538001135132345</v>
      </c>
    </row>
    <row r="460" spans="1:19" hidden="1" x14ac:dyDescent="0.2">
      <c r="A460">
        <v>118</v>
      </c>
      <c r="B460" t="s">
        <v>16</v>
      </c>
      <c r="C460">
        <v>5</v>
      </c>
      <c r="D460">
        <v>5</v>
      </c>
      <c r="E460">
        <v>1016</v>
      </c>
      <c r="F460" t="b">
        <v>1</v>
      </c>
      <c r="G460">
        <v>112.13200000000001</v>
      </c>
      <c r="H460">
        <v>25</v>
      </c>
      <c r="I460">
        <v>3</v>
      </c>
      <c r="J460">
        <v>1.08</v>
      </c>
      <c r="K460" t="s">
        <v>1327</v>
      </c>
      <c r="L460">
        <v>0</v>
      </c>
      <c r="N460" t="s">
        <v>1328</v>
      </c>
      <c r="O460" t="s">
        <v>1329</v>
      </c>
      <c r="P460" t="s">
        <v>20</v>
      </c>
      <c r="Q460">
        <f>(VALUE(LEFT(SUBSTITUTE(O460,"T"," "),23)) - VALUE(LEFT(SUBSTITUTE(N460,"T"," "),23))) * 86400</f>
        <v>435.42799993883818</v>
      </c>
      <c r="R460">
        <f>I460/G460</f>
        <v>2.6754182570541862E-2</v>
      </c>
      <c r="S460">
        <f>H460/G460</f>
        <v>0.22295152142118216</v>
      </c>
    </row>
    <row r="461" spans="1:19" hidden="1" x14ac:dyDescent="0.2">
      <c r="A461">
        <v>121</v>
      </c>
      <c r="B461" t="s">
        <v>16</v>
      </c>
      <c r="C461">
        <v>10</v>
      </c>
      <c r="D461">
        <v>5</v>
      </c>
      <c r="E461">
        <v>1016</v>
      </c>
      <c r="F461" t="b">
        <v>1</v>
      </c>
      <c r="G461">
        <v>84.828000000000003</v>
      </c>
      <c r="H461">
        <v>28</v>
      </c>
      <c r="I461">
        <v>8</v>
      </c>
      <c r="J461">
        <v>3.06</v>
      </c>
      <c r="K461" t="s">
        <v>1336</v>
      </c>
      <c r="L461">
        <v>0</v>
      </c>
      <c r="N461" t="s">
        <v>1337</v>
      </c>
      <c r="O461" t="s">
        <v>1338</v>
      </c>
      <c r="P461" t="s">
        <v>20</v>
      </c>
      <c r="Q461">
        <f>(VALUE(LEFT(SUBSTITUTE(O461,"T"," "),23)) - VALUE(LEFT(SUBSTITUTE(N461,"T"," "),23))) * 86400</f>
        <v>361.96399990003556</v>
      </c>
      <c r="R461">
        <f>I461/G461</f>
        <v>9.4308483048050173E-2</v>
      </c>
      <c r="S461">
        <f>H461/G461</f>
        <v>0.33007969066817561</v>
      </c>
    </row>
    <row r="462" spans="1:19" hidden="1" x14ac:dyDescent="0.2">
      <c r="A462">
        <v>124</v>
      </c>
      <c r="B462" t="s">
        <v>16</v>
      </c>
      <c r="C462">
        <v>15</v>
      </c>
      <c r="D462">
        <v>5</v>
      </c>
      <c r="E462">
        <v>1016</v>
      </c>
      <c r="F462" t="b">
        <v>1</v>
      </c>
      <c r="G462">
        <v>60.116</v>
      </c>
      <c r="H462">
        <v>25</v>
      </c>
      <c r="I462">
        <v>1</v>
      </c>
      <c r="J462">
        <v>0.24</v>
      </c>
      <c r="K462" t="s">
        <v>1345</v>
      </c>
      <c r="L462">
        <v>0</v>
      </c>
      <c r="N462" t="s">
        <v>1346</v>
      </c>
      <c r="O462" t="s">
        <v>1347</v>
      </c>
      <c r="P462" t="s">
        <v>20</v>
      </c>
      <c r="Q462">
        <f>(VALUE(LEFT(SUBSTITUTE(O462,"T"," "),23)) - VALUE(LEFT(SUBSTITUTE(N462,"T"," "),23))) * 86400</f>
        <v>226.8059998517856</v>
      </c>
      <c r="R462">
        <f>I462/G462</f>
        <v>1.6634506620533635E-2</v>
      </c>
      <c r="S462">
        <f>H462/G462</f>
        <v>0.41586266551334089</v>
      </c>
    </row>
    <row r="463" spans="1:19" hidden="1" x14ac:dyDescent="0.2">
      <c r="A463">
        <v>127</v>
      </c>
      <c r="B463" t="s">
        <v>16</v>
      </c>
      <c r="C463">
        <v>20</v>
      </c>
      <c r="D463">
        <v>5</v>
      </c>
      <c r="E463">
        <v>1016</v>
      </c>
      <c r="F463" t="b">
        <v>1</v>
      </c>
      <c r="G463">
        <v>92.111999999999995</v>
      </c>
      <c r="H463">
        <v>26</v>
      </c>
      <c r="I463">
        <v>6</v>
      </c>
      <c r="J463">
        <v>1.02</v>
      </c>
      <c r="K463" t="s">
        <v>1354</v>
      </c>
      <c r="L463">
        <v>0</v>
      </c>
      <c r="N463" t="s">
        <v>1355</v>
      </c>
      <c r="O463" t="s">
        <v>1356</v>
      </c>
      <c r="P463" t="s">
        <v>20</v>
      </c>
      <c r="Q463">
        <f>(VALUE(LEFT(SUBSTITUTE(O463,"T"," "),23)) - VALUE(LEFT(SUBSTITUTE(N463,"T"," "),23))) * 86400</f>
        <v>352.16700013261288</v>
      </c>
      <c r="R463">
        <f>I463/G463</f>
        <v>6.5138092756644089E-2</v>
      </c>
      <c r="S463">
        <f>H463/G463</f>
        <v>0.28226506861212436</v>
      </c>
    </row>
    <row r="464" spans="1:19" hidden="1" x14ac:dyDescent="0.2">
      <c r="A464">
        <v>130</v>
      </c>
      <c r="B464" t="s">
        <v>16</v>
      </c>
      <c r="C464">
        <v>50</v>
      </c>
      <c r="D464">
        <v>5</v>
      </c>
      <c r="E464">
        <v>1016</v>
      </c>
      <c r="F464" t="b">
        <v>1</v>
      </c>
      <c r="G464">
        <v>67.444000000000003</v>
      </c>
      <c r="H464">
        <v>25</v>
      </c>
      <c r="I464">
        <v>4</v>
      </c>
      <c r="J464">
        <v>1.68</v>
      </c>
      <c r="K464" t="s">
        <v>1363</v>
      </c>
      <c r="L464">
        <v>0</v>
      </c>
      <c r="N464" t="s">
        <v>1364</v>
      </c>
      <c r="O464" t="s">
        <v>1365</v>
      </c>
      <c r="P464" t="s">
        <v>20</v>
      </c>
      <c r="Q464">
        <f>(VALUE(LEFT(SUBSTITUTE(O464,"T"," "),23)) - VALUE(LEFT(SUBSTITUTE(N464,"T"," "),23))) * 86400</f>
        <v>375.27600021567196</v>
      </c>
      <c r="R464">
        <f>I464/G464</f>
        <v>5.9308463317715436E-2</v>
      </c>
      <c r="S464">
        <f>H464/G464</f>
        <v>0.37067789573572146</v>
      </c>
    </row>
    <row r="465" spans="1:19" hidden="1" x14ac:dyDescent="0.2">
      <c r="A465">
        <v>133</v>
      </c>
      <c r="B465" t="s">
        <v>16</v>
      </c>
      <c r="C465">
        <v>70</v>
      </c>
      <c r="D465">
        <v>5</v>
      </c>
      <c r="E465">
        <v>1016</v>
      </c>
      <c r="F465" t="b">
        <v>1</v>
      </c>
      <c r="G465">
        <v>71.111999999999995</v>
      </c>
      <c r="H465">
        <v>24</v>
      </c>
      <c r="I465">
        <v>12</v>
      </c>
      <c r="J465">
        <v>2.82</v>
      </c>
      <c r="K465" t="s">
        <v>1372</v>
      </c>
      <c r="L465">
        <v>0</v>
      </c>
      <c r="N465" t="s">
        <v>1373</v>
      </c>
      <c r="O465" t="s">
        <v>1374</v>
      </c>
      <c r="P465" t="s">
        <v>20</v>
      </c>
      <c r="Q465">
        <f>(VALUE(LEFT(SUBSTITUTE(O465,"T"," "),23)) - VALUE(LEFT(SUBSTITUTE(N465,"T"," "),23))) * 86400</f>
        <v>319.53699958976358</v>
      </c>
      <c r="R465">
        <f>I465/G465</f>
        <v>0.16874789065136686</v>
      </c>
      <c r="S465">
        <f>H465/G465</f>
        <v>0.33749578130273372</v>
      </c>
    </row>
    <row r="466" spans="1:19" hidden="1" x14ac:dyDescent="0.2">
      <c r="A466">
        <v>34</v>
      </c>
      <c r="B466" t="s">
        <v>2476</v>
      </c>
      <c r="C466">
        <v>-1</v>
      </c>
      <c r="D466">
        <v>5</v>
      </c>
      <c r="E466">
        <v>1014</v>
      </c>
      <c r="F466" t="b">
        <v>1</v>
      </c>
      <c r="G466">
        <v>42.231999999999999</v>
      </c>
      <c r="H466">
        <v>31</v>
      </c>
      <c r="I466">
        <v>14</v>
      </c>
      <c r="J466">
        <v>13.74</v>
      </c>
      <c r="K466" t="s">
        <v>2751</v>
      </c>
      <c r="L466">
        <v>0</v>
      </c>
      <c r="N466" t="s">
        <v>2752</v>
      </c>
      <c r="O466" t="s">
        <v>2753</v>
      </c>
      <c r="P466" t="s">
        <v>20</v>
      </c>
      <c r="Q466">
        <f>(VALUE(LEFT(SUBSTITUTE(O466,"T"," "),23)) - VALUE(LEFT(SUBSTITUTE(N466,"T"," "),23))) * 86400</f>
        <v>336.44500044174492</v>
      </c>
      <c r="R466">
        <f>I466/G466</f>
        <v>0.33150217844288693</v>
      </c>
      <c r="S466">
        <f>H466/G466</f>
        <v>0.73404053798067814</v>
      </c>
    </row>
    <row r="467" spans="1:19" hidden="1" x14ac:dyDescent="0.2">
      <c r="A467">
        <v>5</v>
      </c>
      <c r="B467" t="s">
        <v>21</v>
      </c>
      <c r="C467">
        <v>0</v>
      </c>
      <c r="D467">
        <v>1</v>
      </c>
      <c r="E467">
        <v>1017</v>
      </c>
      <c r="F467" t="b">
        <v>1</v>
      </c>
      <c r="G467">
        <v>48.152000000000001</v>
      </c>
      <c r="H467">
        <v>26</v>
      </c>
      <c r="I467">
        <v>1</v>
      </c>
      <c r="J467">
        <v>1.8</v>
      </c>
      <c r="K467" t="s">
        <v>1385</v>
      </c>
      <c r="L467">
        <v>0</v>
      </c>
      <c r="N467" t="s">
        <v>2015</v>
      </c>
      <c r="O467" t="s">
        <v>2016</v>
      </c>
      <c r="P467" t="s">
        <v>20</v>
      </c>
      <c r="Q467">
        <f>(VALUE(LEFT(SUBSTITUTE(O467,"T"," "),23)) - VALUE(LEFT(SUBSTITUTE(N467,"T"," "),23))) * 86400</f>
        <v>360.08999955374748</v>
      </c>
      <c r="R467">
        <f>I467/G467</f>
        <v>2.0767569363681675E-2</v>
      </c>
      <c r="S467">
        <f>H467/G467</f>
        <v>0.5399568034557235</v>
      </c>
    </row>
    <row r="468" spans="1:19" x14ac:dyDescent="0.2">
      <c r="A468">
        <v>89</v>
      </c>
      <c r="B468" t="s">
        <v>21</v>
      </c>
      <c r="C468">
        <v>2</v>
      </c>
      <c r="D468">
        <v>4</v>
      </c>
      <c r="E468">
        <v>1015</v>
      </c>
      <c r="F468" t="b">
        <v>1</v>
      </c>
      <c r="G468">
        <v>68.215999999999994</v>
      </c>
      <c r="H468">
        <v>23</v>
      </c>
      <c r="I468">
        <v>1</v>
      </c>
      <c r="J468">
        <v>0.06</v>
      </c>
      <c r="K468" t="s">
        <v>1240</v>
      </c>
      <c r="L468">
        <v>0</v>
      </c>
      <c r="N468" t="s">
        <v>1241</v>
      </c>
      <c r="O468" t="s">
        <v>1242</v>
      </c>
      <c r="P468" t="s">
        <v>20</v>
      </c>
      <c r="Q468">
        <f>(VALUE(LEFT(SUBSTITUTE(O468,"T"," "),23)) - VALUE(LEFT(SUBSTITUTE(N468,"T"," "),23))) * 86400</f>
        <v>314.15499988943338</v>
      </c>
      <c r="R468">
        <f>I468/G468</f>
        <v>1.4659317462178962E-2</v>
      </c>
      <c r="S468">
        <f>H468/G468</f>
        <v>0.33716430163011613</v>
      </c>
    </row>
    <row r="469" spans="1:19" hidden="1" x14ac:dyDescent="0.2">
      <c r="A469">
        <v>11</v>
      </c>
      <c r="B469" t="s">
        <v>21</v>
      </c>
      <c r="C469">
        <v>5</v>
      </c>
      <c r="D469">
        <v>1</v>
      </c>
      <c r="E469">
        <v>1017</v>
      </c>
      <c r="F469" t="b">
        <v>1</v>
      </c>
      <c r="G469">
        <v>85.244</v>
      </c>
      <c r="H469">
        <v>27</v>
      </c>
      <c r="I469">
        <v>1</v>
      </c>
      <c r="J469">
        <v>0.12</v>
      </c>
      <c r="K469" t="s">
        <v>1391</v>
      </c>
      <c r="L469">
        <v>0</v>
      </c>
      <c r="N469" t="s">
        <v>2027</v>
      </c>
      <c r="O469" t="s">
        <v>2028</v>
      </c>
      <c r="P469" t="s">
        <v>20</v>
      </c>
      <c r="Q469">
        <f>(VALUE(LEFT(SUBSTITUTE(O469,"T"," "),23)) - VALUE(LEFT(SUBSTITUTE(N469,"T"," "),23))) * 86400</f>
        <v>401.60300047136843</v>
      </c>
      <c r="R469">
        <f>I469/G469</f>
        <v>1.1731030922997513E-2</v>
      </c>
      <c r="S469">
        <f>H469/G469</f>
        <v>0.31673783492093283</v>
      </c>
    </row>
    <row r="470" spans="1:19" hidden="1" x14ac:dyDescent="0.2">
      <c r="A470">
        <v>14</v>
      </c>
      <c r="B470" t="s">
        <v>21</v>
      </c>
      <c r="C470">
        <v>10</v>
      </c>
      <c r="D470">
        <v>1</v>
      </c>
      <c r="E470">
        <v>1017</v>
      </c>
      <c r="F470" t="b">
        <v>1</v>
      </c>
      <c r="G470">
        <v>38.944000000000003</v>
      </c>
      <c r="H470">
        <v>27</v>
      </c>
      <c r="I470">
        <v>2</v>
      </c>
      <c r="J470">
        <v>0.12</v>
      </c>
      <c r="K470" t="s">
        <v>1394</v>
      </c>
      <c r="L470">
        <v>0</v>
      </c>
      <c r="N470" t="s">
        <v>2033</v>
      </c>
      <c r="O470" t="s">
        <v>2034</v>
      </c>
      <c r="P470" t="s">
        <v>20</v>
      </c>
      <c r="Q470">
        <f>(VALUE(LEFT(SUBSTITUTE(O470,"T"," "),23)) - VALUE(LEFT(SUBSTITUTE(N470,"T"," "),23))) * 86400</f>
        <v>141.08099963050336</v>
      </c>
      <c r="R470">
        <f>I470/G470</f>
        <v>5.135579293344289E-2</v>
      </c>
      <c r="S470">
        <f>H470/G470</f>
        <v>0.69330320460147898</v>
      </c>
    </row>
    <row r="471" spans="1:19" hidden="1" x14ac:dyDescent="0.2">
      <c r="A471">
        <v>17</v>
      </c>
      <c r="B471" t="s">
        <v>21</v>
      </c>
      <c r="C471">
        <v>15</v>
      </c>
      <c r="D471">
        <v>1</v>
      </c>
      <c r="E471">
        <v>1017</v>
      </c>
      <c r="F471" t="b">
        <v>1</v>
      </c>
      <c r="G471">
        <v>90.68</v>
      </c>
      <c r="H471">
        <v>26</v>
      </c>
      <c r="I471">
        <v>2</v>
      </c>
      <c r="J471">
        <v>0.48</v>
      </c>
      <c r="K471" t="s">
        <v>2039</v>
      </c>
      <c r="L471">
        <v>0</v>
      </c>
      <c r="N471" t="s">
        <v>2040</v>
      </c>
      <c r="O471" t="s">
        <v>2041</v>
      </c>
      <c r="P471" t="s">
        <v>20</v>
      </c>
      <c r="Q471">
        <f>(VALUE(LEFT(SUBSTITUTE(O471,"T"," "),23)) - VALUE(LEFT(SUBSTITUTE(N471,"T"," "),23))) * 86400</f>
        <v>287.56500002928078</v>
      </c>
      <c r="R471">
        <f>I471/G471</f>
        <v>2.2055580061755623E-2</v>
      </c>
      <c r="S471">
        <f>H471/G471</f>
        <v>0.28672254080282311</v>
      </c>
    </row>
    <row r="472" spans="1:19" hidden="1" x14ac:dyDescent="0.2">
      <c r="A472">
        <v>20</v>
      </c>
      <c r="B472" t="s">
        <v>21</v>
      </c>
      <c r="C472">
        <v>20</v>
      </c>
      <c r="D472">
        <v>1</v>
      </c>
      <c r="E472">
        <v>1017</v>
      </c>
      <c r="F472" t="b">
        <v>1</v>
      </c>
      <c r="G472">
        <v>51.515999999999998</v>
      </c>
      <c r="H472">
        <v>26</v>
      </c>
      <c r="I472">
        <v>3</v>
      </c>
      <c r="J472">
        <v>0.66</v>
      </c>
      <c r="K472" t="s">
        <v>2048</v>
      </c>
      <c r="L472">
        <v>0</v>
      </c>
      <c r="N472" t="s">
        <v>2049</v>
      </c>
      <c r="O472" t="s">
        <v>2050</v>
      </c>
      <c r="P472" t="s">
        <v>20</v>
      </c>
      <c r="Q472">
        <f>(VALUE(LEFT(SUBSTITUTE(O472,"T"," "),23)) - VALUE(LEFT(SUBSTITUTE(N472,"T"," "),23))) * 86400</f>
        <v>175.96399979665875</v>
      </c>
      <c r="R472">
        <f>I472/G472</f>
        <v>5.8234334963894713E-2</v>
      </c>
      <c r="S472">
        <f>H472/G472</f>
        <v>0.50469756968708757</v>
      </c>
    </row>
    <row r="473" spans="1:19" hidden="1" x14ac:dyDescent="0.2">
      <c r="A473">
        <v>23</v>
      </c>
      <c r="B473" t="s">
        <v>21</v>
      </c>
      <c r="C473">
        <v>50</v>
      </c>
      <c r="D473">
        <v>1</v>
      </c>
      <c r="E473">
        <v>1017</v>
      </c>
      <c r="F473" t="b">
        <v>1</v>
      </c>
      <c r="G473">
        <v>72.94</v>
      </c>
      <c r="H473">
        <v>28</v>
      </c>
      <c r="I473">
        <v>7</v>
      </c>
      <c r="J473">
        <v>3.06</v>
      </c>
      <c r="K473" t="s">
        <v>2057</v>
      </c>
      <c r="L473">
        <v>0</v>
      </c>
      <c r="N473" t="s">
        <v>2058</v>
      </c>
      <c r="O473" t="s">
        <v>2059</v>
      </c>
      <c r="P473" t="s">
        <v>20</v>
      </c>
      <c r="Q473">
        <f>(VALUE(LEFT(SUBSTITUTE(O473,"T"," "),23)) - VALUE(LEFT(SUBSTITUTE(N473,"T"," "),23))) * 86400</f>
        <v>224.47600029408932</v>
      </c>
      <c r="R473">
        <f>I473/G473</f>
        <v>9.5969289827255277E-2</v>
      </c>
      <c r="S473">
        <f>H473/G473</f>
        <v>0.38387715930902111</v>
      </c>
    </row>
    <row r="474" spans="1:19" hidden="1" x14ac:dyDescent="0.2">
      <c r="A474">
        <v>26</v>
      </c>
      <c r="B474" t="s">
        <v>21</v>
      </c>
      <c r="C474">
        <v>70</v>
      </c>
      <c r="D474">
        <v>1</v>
      </c>
      <c r="E474">
        <v>1017</v>
      </c>
      <c r="F474" t="b">
        <v>1</v>
      </c>
      <c r="G474">
        <v>84.468000000000004</v>
      </c>
      <c r="H474">
        <v>26</v>
      </c>
      <c r="I474">
        <v>7</v>
      </c>
      <c r="J474">
        <v>1.98</v>
      </c>
      <c r="K474" t="s">
        <v>2066</v>
      </c>
      <c r="L474">
        <v>0</v>
      </c>
      <c r="N474" t="s">
        <v>2067</v>
      </c>
      <c r="O474" t="s">
        <v>2068</v>
      </c>
      <c r="P474" t="s">
        <v>20</v>
      </c>
      <c r="Q474">
        <f>(VALUE(LEFT(SUBSTITUTE(O474,"T"," "),23)) - VALUE(LEFT(SUBSTITUTE(N474,"T"," "),23))) * 86400</f>
        <v>200.61700050719082</v>
      </c>
      <c r="R474">
        <f>I474/G474</f>
        <v>8.2871620021783388E-2</v>
      </c>
      <c r="S474">
        <f>H474/G474</f>
        <v>0.30780887436662402</v>
      </c>
    </row>
    <row r="475" spans="1:19" hidden="1" x14ac:dyDescent="0.2">
      <c r="A475">
        <v>22</v>
      </c>
      <c r="B475" t="s">
        <v>25</v>
      </c>
      <c r="C475">
        <v>-1</v>
      </c>
      <c r="D475">
        <v>3</v>
      </c>
      <c r="E475">
        <v>1002</v>
      </c>
      <c r="F475" t="b">
        <v>1</v>
      </c>
      <c r="G475">
        <v>41.015999999999998</v>
      </c>
      <c r="H475">
        <v>30</v>
      </c>
      <c r="I475">
        <v>5</v>
      </c>
      <c r="J475">
        <v>6.24</v>
      </c>
      <c r="K475" t="s">
        <v>3478</v>
      </c>
      <c r="L475">
        <v>0</v>
      </c>
      <c r="N475" t="s">
        <v>3479</v>
      </c>
      <c r="O475" t="s">
        <v>3480</v>
      </c>
      <c r="P475" t="s">
        <v>20</v>
      </c>
      <c r="Q475">
        <f>(VALUE(LEFT(SUBSTITUTE(O475,"T"," "),23)) - VALUE(LEFT(SUBSTITUTE(N475,"T"," "),23))) * 86400</f>
        <v>157.54800005815923</v>
      </c>
      <c r="R475">
        <f>I475/G475</f>
        <v>0.12190364735712893</v>
      </c>
      <c r="S475">
        <f>H475/G475</f>
        <v>0.73142188414277354</v>
      </c>
    </row>
    <row r="476" spans="1:19" hidden="1" x14ac:dyDescent="0.2">
      <c r="A476">
        <v>6</v>
      </c>
      <c r="B476" t="s">
        <v>25</v>
      </c>
      <c r="C476">
        <v>0</v>
      </c>
      <c r="D476">
        <v>1</v>
      </c>
      <c r="E476">
        <v>1017</v>
      </c>
      <c r="F476" t="b">
        <v>1</v>
      </c>
      <c r="G476">
        <v>55.527999999999999</v>
      </c>
      <c r="H476">
        <v>28</v>
      </c>
      <c r="I476">
        <v>0</v>
      </c>
      <c r="J476">
        <v>0</v>
      </c>
      <c r="K476" t="s">
        <v>1386</v>
      </c>
      <c r="L476">
        <v>0</v>
      </c>
      <c r="N476" t="s">
        <v>2017</v>
      </c>
      <c r="O476" t="s">
        <v>2018</v>
      </c>
      <c r="P476" t="s">
        <v>20</v>
      </c>
      <c r="Q476">
        <f>(VALUE(LEFT(SUBSTITUTE(O476,"T"," "),23)) - VALUE(LEFT(SUBSTITUTE(N476,"T"," "),23))) * 86400</f>
        <v>293.72700015082955</v>
      </c>
      <c r="R476">
        <f>I476/G476</f>
        <v>0</v>
      </c>
      <c r="S476">
        <f>H476/G476</f>
        <v>0.5042501080535946</v>
      </c>
    </row>
    <row r="477" spans="1:19" hidden="1" x14ac:dyDescent="0.2">
      <c r="A477">
        <v>28</v>
      </c>
      <c r="B477" t="s">
        <v>2476</v>
      </c>
      <c r="C477">
        <v>0</v>
      </c>
      <c r="D477">
        <v>4</v>
      </c>
      <c r="E477">
        <v>1003</v>
      </c>
      <c r="F477" t="b">
        <v>1</v>
      </c>
      <c r="G477">
        <v>61.811999999999998</v>
      </c>
      <c r="H477">
        <v>28</v>
      </c>
      <c r="I477">
        <v>0</v>
      </c>
      <c r="J477">
        <v>0</v>
      </c>
      <c r="K477" t="s">
        <v>2613</v>
      </c>
      <c r="L477">
        <v>0</v>
      </c>
      <c r="N477" t="s">
        <v>2614</v>
      </c>
      <c r="O477" t="s">
        <v>2615</v>
      </c>
      <c r="P477" t="s">
        <v>20</v>
      </c>
      <c r="Q477">
        <f>(VALUE(LEFT(SUBSTITUTE(O477,"T"," "),23)) - VALUE(LEFT(SUBSTITUTE(N477,"T"," "),23))) * 86400</f>
        <v>304.94199979584664</v>
      </c>
      <c r="R477">
        <f>I477/G477</f>
        <v>0</v>
      </c>
      <c r="S477">
        <f>H477/G477</f>
        <v>0.45298647511810008</v>
      </c>
    </row>
    <row r="478" spans="1:19" hidden="1" x14ac:dyDescent="0.2">
      <c r="A478">
        <v>12</v>
      </c>
      <c r="B478" t="s">
        <v>25</v>
      </c>
      <c r="C478">
        <v>5</v>
      </c>
      <c r="D478">
        <v>1</v>
      </c>
      <c r="E478">
        <v>1017</v>
      </c>
      <c r="F478" t="b">
        <v>1</v>
      </c>
      <c r="G478">
        <v>49.088000000000001</v>
      </c>
      <c r="H478">
        <v>24</v>
      </c>
      <c r="I478">
        <v>1</v>
      </c>
      <c r="J478">
        <v>0.3</v>
      </c>
      <c r="K478" t="s">
        <v>1392</v>
      </c>
      <c r="L478">
        <v>0</v>
      </c>
      <c r="N478" t="s">
        <v>2029</v>
      </c>
      <c r="O478" t="s">
        <v>2030</v>
      </c>
      <c r="P478" t="s">
        <v>20</v>
      </c>
      <c r="Q478">
        <f>(VALUE(LEFT(SUBSTITUTE(O478,"T"," "),23)) - VALUE(LEFT(SUBSTITUTE(N478,"T"," "),23))) * 86400</f>
        <v>176.61800009664148</v>
      </c>
      <c r="R478">
        <f>I478/G478</f>
        <v>2.0371577574967405E-2</v>
      </c>
      <c r="S478">
        <f>H478/G478</f>
        <v>0.4889178617992177</v>
      </c>
    </row>
    <row r="479" spans="1:19" hidden="1" x14ac:dyDescent="0.2">
      <c r="A479">
        <v>15</v>
      </c>
      <c r="B479" t="s">
        <v>25</v>
      </c>
      <c r="C479">
        <v>10</v>
      </c>
      <c r="D479">
        <v>1</v>
      </c>
      <c r="E479">
        <v>1017</v>
      </c>
      <c r="F479" t="b">
        <v>1</v>
      </c>
      <c r="G479">
        <v>46.524000000000001</v>
      </c>
      <c r="H479">
        <v>26</v>
      </c>
      <c r="I479">
        <v>3</v>
      </c>
      <c r="J479">
        <v>0.48</v>
      </c>
      <c r="K479" t="s">
        <v>1395</v>
      </c>
      <c r="L479">
        <v>0</v>
      </c>
      <c r="N479" t="s">
        <v>2035</v>
      </c>
      <c r="O479" t="s">
        <v>2036</v>
      </c>
      <c r="P479" t="s">
        <v>20</v>
      </c>
      <c r="Q479">
        <f>(VALUE(LEFT(SUBSTITUTE(O479,"T"," "),23)) - VALUE(LEFT(SUBSTITUTE(N479,"T"," "),23))) * 86400</f>
        <v>170.05699980072677</v>
      </c>
      <c r="R479">
        <f>I479/G479</f>
        <v>6.4482847562548365E-2</v>
      </c>
      <c r="S479">
        <f>H479/G479</f>
        <v>0.55885134554208582</v>
      </c>
    </row>
    <row r="480" spans="1:19" hidden="1" x14ac:dyDescent="0.2">
      <c r="A480">
        <v>18</v>
      </c>
      <c r="B480" t="s">
        <v>25</v>
      </c>
      <c r="C480">
        <v>15</v>
      </c>
      <c r="D480">
        <v>1</v>
      </c>
      <c r="E480">
        <v>1017</v>
      </c>
      <c r="F480" t="b">
        <v>1</v>
      </c>
      <c r="G480">
        <v>45.591999999999999</v>
      </c>
      <c r="H480">
        <v>28</v>
      </c>
      <c r="I480">
        <v>1</v>
      </c>
      <c r="J480">
        <v>0.12</v>
      </c>
      <c r="K480" t="s">
        <v>2042</v>
      </c>
      <c r="L480">
        <v>0</v>
      </c>
      <c r="N480" t="s">
        <v>2043</v>
      </c>
      <c r="O480" t="s">
        <v>2044</v>
      </c>
      <c r="P480" t="s">
        <v>20</v>
      </c>
      <c r="Q480">
        <f>(VALUE(LEFT(SUBSTITUTE(O480,"T"," "),23)) - VALUE(LEFT(SUBSTITUTE(N480,"T"," "),23))) * 86400</f>
        <v>90.577000030316412</v>
      </c>
      <c r="R480">
        <f>I480/G480</f>
        <v>2.1933672574135813E-2</v>
      </c>
      <c r="S480">
        <f>H480/G480</f>
        <v>0.61414283207580278</v>
      </c>
    </row>
    <row r="481" spans="1:19" hidden="1" x14ac:dyDescent="0.2">
      <c r="A481">
        <v>21</v>
      </c>
      <c r="B481" t="s">
        <v>25</v>
      </c>
      <c r="C481">
        <v>20</v>
      </c>
      <c r="D481">
        <v>1</v>
      </c>
      <c r="E481">
        <v>1017</v>
      </c>
      <c r="F481" t="b">
        <v>1</v>
      </c>
      <c r="G481">
        <v>56.012</v>
      </c>
      <c r="H481">
        <v>26</v>
      </c>
      <c r="I481">
        <v>4</v>
      </c>
      <c r="J481">
        <v>1.38</v>
      </c>
      <c r="K481" t="s">
        <v>2051</v>
      </c>
      <c r="L481">
        <v>0</v>
      </c>
      <c r="N481" t="s">
        <v>2052</v>
      </c>
      <c r="O481" t="s">
        <v>2053</v>
      </c>
      <c r="P481" t="s">
        <v>20</v>
      </c>
      <c r="Q481">
        <f>(VALUE(LEFT(SUBSTITUTE(O481,"T"," "),23)) - VALUE(LEFT(SUBSTITUTE(N481,"T"," "),23))) * 86400</f>
        <v>133.60700011253357</v>
      </c>
      <c r="R481">
        <f>I481/G481</f>
        <v>7.1413268585303155E-2</v>
      </c>
      <c r="S481">
        <f>H481/G481</f>
        <v>0.46418624580447049</v>
      </c>
    </row>
    <row r="482" spans="1:19" hidden="1" x14ac:dyDescent="0.2">
      <c r="A482">
        <v>24</v>
      </c>
      <c r="B482" t="s">
        <v>25</v>
      </c>
      <c r="C482">
        <v>50</v>
      </c>
      <c r="D482">
        <v>1</v>
      </c>
      <c r="E482">
        <v>1017</v>
      </c>
      <c r="F482" t="b">
        <v>1</v>
      </c>
      <c r="G482">
        <v>39.28</v>
      </c>
      <c r="H482">
        <v>29</v>
      </c>
      <c r="I482">
        <v>9</v>
      </c>
      <c r="J482">
        <v>1.8</v>
      </c>
      <c r="K482" t="s">
        <v>2060</v>
      </c>
      <c r="L482">
        <v>0</v>
      </c>
      <c r="N482" t="s">
        <v>2061</v>
      </c>
      <c r="O482" t="s">
        <v>2062</v>
      </c>
      <c r="P482" t="s">
        <v>20</v>
      </c>
      <c r="Q482">
        <f>(VALUE(LEFT(SUBSTITUTE(O482,"T"," "),23)) - VALUE(LEFT(SUBSTITUTE(N482,"T"," "),23))) * 86400</f>
        <v>79.340999945998192</v>
      </c>
      <c r="R482">
        <f>I482/G482</f>
        <v>0.22912423625254583</v>
      </c>
      <c r="S482">
        <f>H482/G482</f>
        <v>0.73828920570264767</v>
      </c>
    </row>
    <row r="483" spans="1:19" hidden="1" x14ac:dyDescent="0.2">
      <c r="A483">
        <v>27</v>
      </c>
      <c r="B483" t="s">
        <v>25</v>
      </c>
      <c r="C483">
        <v>70</v>
      </c>
      <c r="D483">
        <v>1</v>
      </c>
      <c r="E483">
        <v>1017</v>
      </c>
      <c r="F483" t="b">
        <v>1</v>
      </c>
      <c r="G483">
        <v>38.072000000000003</v>
      </c>
      <c r="H483">
        <v>29</v>
      </c>
      <c r="I483">
        <v>2</v>
      </c>
      <c r="J483">
        <v>0.24</v>
      </c>
      <c r="K483" t="s">
        <v>2069</v>
      </c>
      <c r="L483">
        <v>0</v>
      </c>
      <c r="N483" t="s">
        <v>2070</v>
      </c>
      <c r="O483" t="s">
        <v>2071</v>
      </c>
      <c r="P483" t="s">
        <v>20</v>
      </c>
      <c r="Q483">
        <f>(VALUE(LEFT(SUBSTITUTE(O483,"T"," "),23)) - VALUE(LEFT(SUBSTITUTE(N483,"T"," "),23))) * 86400</f>
        <v>139.94099940173328</v>
      </c>
      <c r="R483">
        <f>I483/G483</f>
        <v>5.2532044547173772E-2</v>
      </c>
      <c r="S483">
        <f>H483/G483</f>
        <v>0.76171464593401972</v>
      </c>
    </row>
    <row r="484" spans="1:19" hidden="1" x14ac:dyDescent="0.2">
      <c r="A484">
        <v>30</v>
      </c>
      <c r="B484" t="s">
        <v>25</v>
      </c>
      <c r="C484">
        <v>-1</v>
      </c>
      <c r="D484">
        <v>2</v>
      </c>
      <c r="E484">
        <v>1013</v>
      </c>
      <c r="F484" t="b">
        <v>1</v>
      </c>
      <c r="G484">
        <v>35.572000000000003</v>
      </c>
      <c r="H484">
        <v>26</v>
      </c>
      <c r="I484">
        <v>3</v>
      </c>
      <c r="J484">
        <v>5.94</v>
      </c>
      <c r="K484" t="s">
        <v>1063</v>
      </c>
      <c r="L484">
        <v>0</v>
      </c>
      <c r="N484" t="s">
        <v>1064</v>
      </c>
      <c r="O484" t="s">
        <v>1065</v>
      </c>
      <c r="P484" t="s">
        <v>20</v>
      </c>
      <c r="Q484">
        <f>(VALUE(LEFT(SUBSTITUTE(O484,"T"," "),23)) - VALUE(LEFT(SUBSTITUTE(N484,"T"," "),23))) * 86400</f>
        <v>209.6380005357787</v>
      </c>
      <c r="R484">
        <f>I484/G484</f>
        <v>8.4335994602496342E-2</v>
      </c>
      <c r="S484">
        <f>H484/G484</f>
        <v>0.73091195322163494</v>
      </c>
    </row>
    <row r="485" spans="1:19" hidden="1" x14ac:dyDescent="0.2">
      <c r="A485">
        <v>4</v>
      </c>
      <c r="B485" t="s">
        <v>16</v>
      </c>
      <c r="C485">
        <v>0</v>
      </c>
      <c r="D485">
        <v>1</v>
      </c>
      <c r="E485">
        <v>1017</v>
      </c>
      <c r="F485" t="b">
        <v>1</v>
      </c>
      <c r="G485">
        <v>92.891999999999996</v>
      </c>
      <c r="H485">
        <v>24</v>
      </c>
      <c r="I485">
        <v>0</v>
      </c>
      <c r="J485">
        <v>0</v>
      </c>
      <c r="K485" t="s">
        <v>1384</v>
      </c>
      <c r="L485">
        <v>0</v>
      </c>
      <c r="N485" t="s">
        <v>2013</v>
      </c>
      <c r="O485" t="s">
        <v>2014</v>
      </c>
      <c r="P485" t="s">
        <v>20</v>
      </c>
      <c r="Q485">
        <f>(VALUE(LEFT(SUBSTITUTE(O485,"T"," "),23)) - VALUE(LEFT(SUBSTITUTE(N485,"T"," "),23))) * 86400</f>
        <v>386.48900014813989</v>
      </c>
      <c r="R485">
        <f>I485/G485</f>
        <v>0</v>
      </c>
      <c r="S485">
        <f>H485/G485</f>
        <v>0.25836455238341299</v>
      </c>
    </row>
    <row r="486" spans="1:19" x14ac:dyDescent="0.2">
      <c r="A486">
        <v>7</v>
      </c>
      <c r="B486" t="s">
        <v>16</v>
      </c>
      <c r="C486">
        <v>2</v>
      </c>
      <c r="D486">
        <v>1</v>
      </c>
      <c r="E486">
        <v>1002</v>
      </c>
      <c r="F486" t="b">
        <v>1</v>
      </c>
      <c r="G486">
        <v>76.384</v>
      </c>
      <c r="H486">
        <v>26</v>
      </c>
      <c r="I486">
        <v>0</v>
      </c>
      <c r="J486">
        <v>0</v>
      </c>
      <c r="K486" t="s">
        <v>554</v>
      </c>
      <c r="L486">
        <v>0</v>
      </c>
      <c r="N486" t="s">
        <v>555</v>
      </c>
      <c r="O486" t="s">
        <v>556</v>
      </c>
      <c r="P486" t="s">
        <v>20</v>
      </c>
      <c r="Q486">
        <f>(VALUE(LEFT(SUBSTITUTE(O486,"T"," "),23)) - VALUE(LEFT(SUBSTITUTE(N486,"T"," "),23))) * 86400</f>
        <v>303.16100022755563</v>
      </c>
      <c r="R486">
        <f>I486/G486</f>
        <v>0</v>
      </c>
      <c r="S486">
        <f>H486/G486</f>
        <v>0.34038542103058234</v>
      </c>
    </row>
    <row r="487" spans="1:19" hidden="1" x14ac:dyDescent="0.2">
      <c r="A487">
        <v>10</v>
      </c>
      <c r="B487" t="s">
        <v>16</v>
      </c>
      <c r="C487">
        <v>5</v>
      </c>
      <c r="D487">
        <v>1</v>
      </c>
      <c r="E487">
        <v>1017</v>
      </c>
      <c r="F487" t="b">
        <v>1</v>
      </c>
      <c r="G487">
        <v>94.415999999999997</v>
      </c>
      <c r="H487">
        <v>25</v>
      </c>
      <c r="I487">
        <v>1</v>
      </c>
      <c r="J487">
        <v>0.06</v>
      </c>
      <c r="K487" t="s">
        <v>1390</v>
      </c>
      <c r="L487">
        <v>0</v>
      </c>
      <c r="N487" t="s">
        <v>2025</v>
      </c>
      <c r="O487" t="s">
        <v>2026</v>
      </c>
      <c r="P487" t="s">
        <v>20</v>
      </c>
      <c r="Q487">
        <f>(VALUE(LEFT(SUBSTITUTE(O487,"T"," "),23)) - VALUE(LEFT(SUBSTITUTE(N487,"T"," "),23))) * 86400</f>
        <v>366.08899952843785</v>
      </c>
      <c r="R487">
        <f>I487/G487</f>
        <v>1.0591425182172513E-2</v>
      </c>
      <c r="S487">
        <f>H487/G487</f>
        <v>0.26478562955431284</v>
      </c>
    </row>
    <row r="488" spans="1:19" hidden="1" x14ac:dyDescent="0.2">
      <c r="A488">
        <v>13</v>
      </c>
      <c r="B488" t="s">
        <v>16</v>
      </c>
      <c r="C488">
        <v>10</v>
      </c>
      <c r="D488">
        <v>1</v>
      </c>
      <c r="E488">
        <v>1017</v>
      </c>
      <c r="F488" t="b">
        <v>1</v>
      </c>
      <c r="G488">
        <v>112.248</v>
      </c>
      <c r="H488">
        <v>24</v>
      </c>
      <c r="I488">
        <v>6</v>
      </c>
      <c r="J488">
        <v>1.02</v>
      </c>
      <c r="K488" t="s">
        <v>1393</v>
      </c>
      <c r="L488">
        <v>0</v>
      </c>
      <c r="N488" t="s">
        <v>2031</v>
      </c>
      <c r="O488" t="s">
        <v>2032</v>
      </c>
      <c r="P488" t="s">
        <v>20</v>
      </c>
      <c r="Q488">
        <f>(VALUE(LEFT(SUBSTITUTE(O488,"T"," "),23)) - VALUE(LEFT(SUBSTITUTE(N488,"T"," "),23))) * 86400</f>
        <v>254.70300014130771</v>
      </c>
      <c r="R488">
        <f>I488/G488</f>
        <v>5.3453068206115027E-2</v>
      </c>
      <c r="S488">
        <f>H488/G488</f>
        <v>0.21381227282446011</v>
      </c>
    </row>
    <row r="489" spans="1:19" hidden="1" x14ac:dyDescent="0.2">
      <c r="A489">
        <v>16</v>
      </c>
      <c r="B489" t="s">
        <v>16</v>
      </c>
      <c r="C489">
        <v>15</v>
      </c>
      <c r="D489">
        <v>1</v>
      </c>
      <c r="E489">
        <v>1017</v>
      </c>
      <c r="F489" t="b">
        <v>1</v>
      </c>
      <c r="G489">
        <v>93.775999999999996</v>
      </c>
      <c r="H489">
        <v>28</v>
      </c>
      <c r="I489">
        <v>4</v>
      </c>
      <c r="J489">
        <v>1.1399999999999999</v>
      </c>
      <c r="K489" t="s">
        <v>1396</v>
      </c>
      <c r="L489">
        <v>0</v>
      </c>
      <c r="N489" t="s">
        <v>2037</v>
      </c>
      <c r="O489" t="s">
        <v>2038</v>
      </c>
      <c r="P489" t="s">
        <v>20</v>
      </c>
      <c r="Q489">
        <f>(VALUE(LEFT(SUBSTITUTE(O489,"T"," "),23)) - VALUE(LEFT(SUBSTITUTE(N489,"T"," "),23))) * 86400</f>
        <v>268.76899958588183</v>
      </c>
      <c r="R489">
        <f>I489/G489</f>
        <v>4.2654837058522438E-2</v>
      </c>
      <c r="S489">
        <f>H489/G489</f>
        <v>0.29858385940965709</v>
      </c>
    </row>
    <row r="490" spans="1:19" hidden="1" x14ac:dyDescent="0.2">
      <c r="A490">
        <v>19</v>
      </c>
      <c r="B490" t="s">
        <v>16</v>
      </c>
      <c r="C490">
        <v>20</v>
      </c>
      <c r="D490">
        <v>1</v>
      </c>
      <c r="E490">
        <v>1017</v>
      </c>
      <c r="F490" t="b">
        <v>1</v>
      </c>
      <c r="G490">
        <v>76.488</v>
      </c>
      <c r="H490">
        <v>27</v>
      </c>
      <c r="I490">
        <v>3</v>
      </c>
      <c r="J490">
        <v>0.9</v>
      </c>
      <c r="K490" t="s">
        <v>2045</v>
      </c>
      <c r="L490">
        <v>0</v>
      </c>
      <c r="N490" t="s">
        <v>2046</v>
      </c>
      <c r="O490" t="s">
        <v>2047</v>
      </c>
      <c r="P490" t="s">
        <v>20</v>
      </c>
      <c r="Q490">
        <f>(VALUE(LEFT(SUBSTITUTE(O490,"T"," "),23)) - VALUE(LEFT(SUBSTITUTE(N490,"T"," "),23))) * 86400</f>
        <v>231.99799982830882</v>
      </c>
      <c r="R490">
        <f>I490/G490</f>
        <v>3.9221838719799187E-2</v>
      </c>
      <c r="S490">
        <f>H490/G490</f>
        <v>0.35299654847819267</v>
      </c>
    </row>
    <row r="491" spans="1:19" hidden="1" x14ac:dyDescent="0.2">
      <c r="A491">
        <v>22</v>
      </c>
      <c r="B491" t="s">
        <v>16</v>
      </c>
      <c r="C491">
        <v>50</v>
      </c>
      <c r="D491">
        <v>1</v>
      </c>
      <c r="E491">
        <v>1017</v>
      </c>
      <c r="F491" t="b">
        <v>1</v>
      </c>
      <c r="G491">
        <v>84.567999999999998</v>
      </c>
      <c r="H491">
        <v>27</v>
      </c>
      <c r="I491">
        <v>8</v>
      </c>
      <c r="J491">
        <v>6.06</v>
      </c>
      <c r="K491" t="s">
        <v>2054</v>
      </c>
      <c r="L491">
        <v>0</v>
      </c>
      <c r="N491" t="s">
        <v>2055</v>
      </c>
      <c r="O491" t="s">
        <v>2056</v>
      </c>
      <c r="P491" t="s">
        <v>20</v>
      </c>
      <c r="Q491">
        <f>(VALUE(LEFT(SUBSTITUTE(O491,"T"," "),23)) - VALUE(LEFT(SUBSTITUTE(N491,"T"," "),23))) * 86400</f>
        <v>262.67100032418966</v>
      </c>
      <c r="R491">
        <f>I491/G491</f>
        <v>9.4598429666067546E-2</v>
      </c>
      <c r="S491">
        <f>H491/G491</f>
        <v>0.31926970012297795</v>
      </c>
    </row>
    <row r="492" spans="1:19" hidden="1" x14ac:dyDescent="0.2">
      <c r="A492">
        <v>25</v>
      </c>
      <c r="B492" t="s">
        <v>16</v>
      </c>
      <c r="C492">
        <v>70</v>
      </c>
      <c r="D492">
        <v>1</v>
      </c>
      <c r="E492">
        <v>1017</v>
      </c>
      <c r="F492" t="b">
        <v>1</v>
      </c>
      <c r="G492">
        <v>109.252</v>
      </c>
      <c r="H492">
        <v>27</v>
      </c>
      <c r="I492">
        <v>12</v>
      </c>
      <c r="J492">
        <v>7.08</v>
      </c>
      <c r="K492" t="s">
        <v>2063</v>
      </c>
      <c r="L492">
        <v>0</v>
      </c>
      <c r="N492" t="s">
        <v>2064</v>
      </c>
      <c r="O492" t="s">
        <v>2065</v>
      </c>
      <c r="P492" t="s">
        <v>20</v>
      </c>
      <c r="Q492">
        <f>(VALUE(LEFT(SUBSTITUTE(O492,"T"," "),23)) - VALUE(LEFT(SUBSTITUTE(N492,"T"," "),23))) * 86400</f>
        <v>214.3720003310591</v>
      </c>
      <c r="R492">
        <f>I492/G492</f>
        <v>0.10983780617288472</v>
      </c>
      <c r="S492">
        <f>H492/G492</f>
        <v>0.24713506388899059</v>
      </c>
    </row>
    <row r="493" spans="1:19" hidden="1" x14ac:dyDescent="0.2">
      <c r="A493">
        <v>6</v>
      </c>
      <c r="B493" t="s">
        <v>2476</v>
      </c>
      <c r="C493">
        <v>-1</v>
      </c>
      <c r="D493">
        <v>2</v>
      </c>
      <c r="E493">
        <v>1006</v>
      </c>
      <c r="F493" t="b">
        <v>1</v>
      </c>
      <c r="G493">
        <v>41.116</v>
      </c>
      <c r="H493">
        <v>30</v>
      </c>
      <c r="I493">
        <v>4</v>
      </c>
      <c r="J493">
        <v>2.58</v>
      </c>
      <c r="K493" t="s">
        <v>2907</v>
      </c>
      <c r="L493">
        <v>0</v>
      </c>
      <c r="N493" t="s">
        <v>2908</v>
      </c>
      <c r="O493" t="s">
        <v>2909</v>
      </c>
      <c r="Q493">
        <f>(VALUE(LEFT(SUBSTITUTE(O493,"T"," "),23)) - VALUE(LEFT(SUBSTITUTE(N493,"T"," "),23))) * 86400</f>
        <v>225.05199986044317</v>
      </c>
      <c r="R493">
        <f>I493/G493</f>
        <v>9.7285728183675452E-2</v>
      </c>
      <c r="S493">
        <f>H493/G493</f>
        <v>0.7296429613775659</v>
      </c>
    </row>
    <row r="494" spans="1:19" hidden="1" x14ac:dyDescent="0.2">
      <c r="A494">
        <v>32</v>
      </c>
      <c r="B494" t="s">
        <v>21</v>
      </c>
      <c r="C494">
        <v>0</v>
      </c>
      <c r="D494">
        <v>2</v>
      </c>
      <c r="E494">
        <v>1018</v>
      </c>
      <c r="F494" t="b">
        <v>1</v>
      </c>
      <c r="G494">
        <v>100.04</v>
      </c>
      <c r="H494">
        <v>27</v>
      </c>
      <c r="I494">
        <v>2</v>
      </c>
      <c r="J494">
        <v>0.18</v>
      </c>
      <c r="K494" t="s">
        <v>2084</v>
      </c>
      <c r="L494">
        <v>0</v>
      </c>
      <c r="N494" t="s">
        <v>2085</v>
      </c>
      <c r="O494" t="s">
        <v>2086</v>
      </c>
      <c r="P494" t="s">
        <v>20</v>
      </c>
      <c r="Q494">
        <f>(VALUE(LEFT(SUBSTITUTE(O494,"T"," "),23)) - VALUE(LEFT(SUBSTITUTE(N494,"T"," "),23))) * 86400</f>
        <v>263.80499952938408</v>
      </c>
      <c r="R494">
        <f>I494/G494</f>
        <v>1.999200319872051E-2</v>
      </c>
      <c r="S494">
        <f>H494/G494</f>
        <v>0.26989204318272692</v>
      </c>
    </row>
    <row r="495" spans="1:19" x14ac:dyDescent="0.2">
      <c r="A495">
        <v>62</v>
      </c>
      <c r="B495" t="s">
        <v>21</v>
      </c>
      <c r="C495">
        <v>2</v>
      </c>
      <c r="D495">
        <v>3</v>
      </c>
      <c r="E495">
        <v>1004</v>
      </c>
      <c r="F495" t="b">
        <v>1</v>
      </c>
      <c r="G495">
        <v>66.328000000000003</v>
      </c>
      <c r="H495">
        <v>23</v>
      </c>
      <c r="I495">
        <v>2</v>
      </c>
      <c r="J495">
        <v>0.3</v>
      </c>
      <c r="K495" t="s">
        <v>716</v>
      </c>
      <c r="L495">
        <v>0</v>
      </c>
      <c r="N495" t="s">
        <v>717</v>
      </c>
      <c r="O495" t="s">
        <v>718</v>
      </c>
      <c r="P495" t="s">
        <v>20</v>
      </c>
      <c r="Q495">
        <f>(VALUE(LEFT(SUBSTITUTE(O495,"T"," "),23)) - VALUE(LEFT(SUBSTITUTE(N495,"T"," "),23))) * 86400</f>
        <v>274.49500013608485</v>
      </c>
      <c r="R495">
        <f>I495/G495</f>
        <v>3.0153178144976478E-2</v>
      </c>
      <c r="S495">
        <f>H495/G495</f>
        <v>0.34676154866722952</v>
      </c>
    </row>
    <row r="496" spans="1:19" hidden="1" x14ac:dyDescent="0.2">
      <c r="A496">
        <v>38</v>
      </c>
      <c r="B496" t="s">
        <v>21</v>
      </c>
      <c r="C496">
        <v>5</v>
      </c>
      <c r="D496">
        <v>2</v>
      </c>
      <c r="E496">
        <v>1018</v>
      </c>
      <c r="F496" t="b">
        <v>1</v>
      </c>
      <c r="G496">
        <v>66.751999999999995</v>
      </c>
      <c r="H496">
        <v>26</v>
      </c>
      <c r="I496">
        <v>1</v>
      </c>
      <c r="J496">
        <v>0.12</v>
      </c>
      <c r="K496" t="s">
        <v>2102</v>
      </c>
      <c r="L496">
        <v>0</v>
      </c>
      <c r="N496" t="s">
        <v>2103</v>
      </c>
      <c r="O496" t="s">
        <v>2104</v>
      </c>
      <c r="P496" t="s">
        <v>20</v>
      </c>
      <c r="Q496">
        <f>(VALUE(LEFT(SUBSTITUTE(O496,"T"," "),23)) - VALUE(LEFT(SUBSTITUTE(N496,"T"," "),23))) * 86400</f>
        <v>159.59899979643524</v>
      </c>
      <c r="R496">
        <f>I496/G496</f>
        <v>1.4980824544582935E-2</v>
      </c>
      <c r="S496">
        <f>H496/G496</f>
        <v>0.38950143815915633</v>
      </c>
    </row>
    <row r="497" spans="1:19" hidden="1" x14ac:dyDescent="0.2">
      <c r="A497">
        <v>41</v>
      </c>
      <c r="B497" t="s">
        <v>21</v>
      </c>
      <c r="C497">
        <v>10</v>
      </c>
      <c r="D497">
        <v>2</v>
      </c>
      <c r="E497">
        <v>1018</v>
      </c>
      <c r="F497" t="b">
        <v>1</v>
      </c>
      <c r="G497">
        <v>64.239999999999995</v>
      </c>
      <c r="H497">
        <v>27</v>
      </c>
      <c r="I497">
        <v>10</v>
      </c>
      <c r="J497">
        <v>2.1</v>
      </c>
      <c r="K497" t="s">
        <v>2111</v>
      </c>
      <c r="L497">
        <v>0</v>
      </c>
      <c r="N497" t="s">
        <v>2112</v>
      </c>
      <c r="O497" t="s">
        <v>2113</v>
      </c>
      <c r="P497" t="s">
        <v>20</v>
      </c>
      <c r="Q497">
        <f>(VALUE(LEFT(SUBSTITUTE(O497,"T"," "),23)) - VALUE(LEFT(SUBSTITUTE(N497,"T"," "),23))) * 86400</f>
        <v>162.82200019340962</v>
      </c>
      <c r="R497">
        <f>I497/G497</f>
        <v>0.15566625155666253</v>
      </c>
      <c r="S497">
        <f>H497/G497</f>
        <v>0.42029887920298881</v>
      </c>
    </row>
    <row r="498" spans="1:19" hidden="1" x14ac:dyDescent="0.2">
      <c r="A498">
        <v>44</v>
      </c>
      <c r="B498" t="s">
        <v>21</v>
      </c>
      <c r="C498">
        <v>15</v>
      </c>
      <c r="D498">
        <v>2</v>
      </c>
      <c r="E498">
        <v>1018</v>
      </c>
      <c r="F498" t="b">
        <v>1</v>
      </c>
      <c r="G498">
        <v>87.316000000000003</v>
      </c>
      <c r="H498">
        <v>24</v>
      </c>
      <c r="I498">
        <v>5</v>
      </c>
      <c r="J498">
        <v>1.02</v>
      </c>
      <c r="K498" t="s">
        <v>2120</v>
      </c>
      <c r="L498">
        <v>0</v>
      </c>
      <c r="N498" t="s">
        <v>2121</v>
      </c>
      <c r="O498" t="s">
        <v>2122</v>
      </c>
      <c r="P498" t="s">
        <v>20</v>
      </c>
      <c r="Q498">
        <f>(VALUE(LEFT(SUBSTITUTE(O498,"T"," "),23)) - VALUE(LEFT(SUBSTITUTE(N498,"T"," "),23))) * 86400</f>
        <v>200.9350000647828</v>
      </c>
      <c r="R498">
        <f>I498/G498</f>
        <v>5.7263273626826698E-2</v>
      </c>
      <c r="S498">
        <f>H498/G498</f>
        <v>0.27486371340876814</v>
      </c>
    </row>
    <row r="499" spans="1:19" hidden="1" x14ac:dyDescent="0.2">
      <c r="A499">
        <v>47</v>
      </c>
      <c r="B499" t="s">
        <v>21</v>
      </c>
      <c r="C499">
        <v>20</v>
      </c>
      <c r="D499">
        <v>2</v>
      </c>
      <c r="E499">
        <v>1018</v>
      </c>
      <c r="F499" t="b">
        <v>1</v>
      </c>
      <c r="G499">
        <v>48.456000000000003</v>
      </c>
      <c r="H499">
        <v>27</v>
      </c>
      <c r="I499">
        <v>1</v>
      </c>
      <c r="J499">
        <v>0.3</v>
      </c>
      <c r="K499" t="s">
        <v>2129</v>
      </c>
      <c r="L499">
        <v>0</v>
      </c>
      <c r="N499" t="s">
        <v>2130</v>
      </c>
      <c r="O499" t="s">
        <v>2131</v>
      </c>
      <c r="P499" t="s">
        <v>20</v>
      </c>
      <c r="Q499">
        <f>(VALUE(LEFT(SUBSTITUTE(O499,"T"," "),23)) - VALUE(LEFT(SUBSTITUTE(N499,"T"," "),23))) * 86400</f>
        <v>117.90399989113212</v>
      </c>
      <c r="R499">
        <f>I499/G499</f>
        <v>2.0637279181112762E-2</v>
      </c>
      <c r="S499">
        <f>H499/G499</f>
        <v>0.5572065378900446</v>
      </c>
    </row>
    <row r="500" spans="1:19" hidden="1" x14ac:dyDescent="0.2">
      <c r="A500">
        <v>50</v>
      </c>
      <c r="B500" t="s">
        <v>21</v>
      </c>
      <c r="C500">
        <v>50</v>
      </c>
      <c r="D500">
        <v>2</v>
      </c>
      <c r="E500">
        <v>1018</v>
      </c>
      <c r="F500" t="b">
        <v>1</v>
      </c>
      <c r="G500">
        <v>93.956000000000003</v>
      </c>
      <c r="H500">
        <v>30</v>
      </c>
      <c r="I500">
        <v>17</v>
      </c>
      <c r="J500">
        <v>4.62</v>
      </c>
      <c r="K500" t="s">
        <v>2138</v>
      </c>
      <c r="L500">
        <v>0</v>
      </c>
      <c r="N500" t="s">
        <v>2139</v>
      </c>
      <c r="O500" t="s">
        <v>2140</v>
      </c>
      <c r="P500" t="s">
        <v>20</v>
      </c>
      <c r="Q500">
        <f>(VALUE(LEFT(SUBSTITUTE(O500,"T"," "),23)) - VALUE(LEFT(SUBSTITUTE(N500,"T"," "),23))) * 86400</f>
        <v>230.68099957890809</v>
      </c>
      <c r="R500">
        <f>I500/G500</f>
        <v>0.18093575716292731</v>
      </c>
      <c r="S500">
        <f>H500/G500</f>
        <v>0.31929839499340118</v>
      </c>
    </row>
    <row r="501" spans="1:19" hidden="1" x14ac:dyDescent="0.2">
      <c r="A501">
        <v>53</v>
      </c>
      <c r="B501" t="s">
        <v>21</v>
      </c>
      <c r="C501">
        <v>70</v>
      </c>
      <c r="D501">
        <v>2</v>
      </c>
      <c r="E501">
        <v>1018</v>
      </c>
      <c r="F501" t="b">
        <v>1</v>
      </c>
      <c r="G501">
        <v>59.671999999999997</v>
      </c>
      <c r="H501">
        <v>30</v>
      </c>
      <c r="I501">
        <v>8</v>
      </c>
      <c r="J501">
        <v>2.2799999999999998</v>
      </c>
      <c r="K501" t="s">
        <v>2147</v>
      </c>
      <c r="L501">
        <v>0</v>
      </c>
      <c r="N501" t="s">
        <v>2148</v>
      </c>
      <c r="O501" t="s">
        <v>2149</v>
      </c>
      <c r="P501" t="s">
        <v>20</v>
      </c>
      <c r="Q501">
        <f>(VALUE(LEFT(SUBSTITUTE(O501,"T"," "),23)) - VALUE(LEFT(SUBSTITUTE(N501,"T"," "),23))) * 86400</f>
        <v>149.57999987527728</v>
      </c>
      <c r="R501">
        <f>I501/G501</f>
        <v>0.1340662287169862</v>
      </c>
      <c r="S501">
        <f>H501/G501</f>
        <v>0.50274835768869819</v>
      </c>
    </row>
    <row r="502" spans="1:19" hidden="1" x14ac:dyDescent="0.2">
      <c r="A502">
        <v>55</v>
      </c>
      <c r="B502" t="s">
        <v>16</v>
      </c>
      <c r="C502">
        <v>-1</v>
      </c>
      <c r="D502">
        <v>3</v>
      </c>
      <c r="E502">
        <v>1019</v>
      </c>
      <c r="F502" t="b">
        <v>1</v>
      </c>
      <c r="G502">
        <v>34.276000000000003</v>
      </c>
      <c r="H502">
        <v>25</v>
      </c>
      <c r="I502">
        <v>7</v>
      </c>
      <c r="J502">
        <v>10.32</v>
      </c>
      <c r="K502" t="s">
        <v>2153</v>
      </c>
      <c r="L502">
        <v>0</v>
      </c>
      <c r="N502" t="s">
        <v>2154</v>
      </c>
      <c r="O502" t="s">
        <v>2155</v>
      </c>
      <c r="P502" t="s">
        <v>20</v>
      </c>
      <c r="Q502">
        <f>(VALUE(LEFT(SUBSTITUTE(O502,"T"," "),23)) - VALUE(LEFT(SUBSTITUTE(N502,"T"," "),23))) * 86400</f>
        <v>103.92999979667366</v>
      </c>
      <c r="R502">
        <f>I502/G502</f>
        <v>0.20422453028358034</v>
      </c>
      <c r="S502">
        <f>H502/G502</f>
        <v>0.72937332244135833</v>
      </c>
    </row>
    <row r="503" spans="1:19" hidden="1" x14ac:dyDescent="0.2">
      <c r="A503">
        <v>33</v>
      </c>
      <c r="B503" t="s">
        <v>25</v>
      </c>
      <c r="C503">
        <v>0</v>
      </c>
      <c r="D503">
        <v>2</v>
      </c>
      <c r="E503">
        <v>1018</v>
      </c>
      <c r="F503" t="b">
        <v>1</v>
      </c>
      <c r="G503">
        <v>65.364000000000004</v>
      </c>
      <c r="H503">
        <v>31</v>
      </c>
      <c r="I503">
        <v>1</v>
      </c>
      <c r="J503">
        <v>0.06</v>
      </c>
      <c r="K503" t="s">
        <v>2087</v>
      </c>
      <c r="L503">
        <v>0</v>
      </c>
      <c r="N503" t="s">
        <v>2088</v>
      </c>
      <c r="O503" t="s">
        <v>2089</v>
      </c>
      <c r="P503" t="s">
        <v>20</v>
      </c>
      <c r="Q503">
        <f>(VALUE(LEFT(SUBSTITUTE(O503,"T"," "),23)) - VALUE(LEFT(SUBSTITUTE(N503,"T"," "),23))) * 86400</f>
        <v>213.09000039473176</v>
      </c>
      <c r="R503">
        <f>I503/G503</f>
        <v>1.5298941313261122E-2</v>
      </c>
      <c r="S503">
        <f>H503/G503</f>
        <v>0.47426718071109475</v>
      </c>
    </row>
    <row r="504" spans="1:19" x14ac:dyDescent="0.2">
      <c r="A504">
        <v>61</v>
      </c>
      <c r="B504" t="s">
        <v>16</v>
      </c>
      <c r="C504">
        <v>2</v>
      </c>
      <c r="D504">
        <v>3</v>
      </c>
      <c r="E504">
        <v>1009</v>
      </c>
      <c r="F504" t="b">
        <v>1</v>
      </c>
      <c r="G504">
        <v>69.176000000000002</v>
      </c>
      <c r="H504">
        <v>24</v>
      </c>
      <c r="I504">
        <v>2</v>
      </c>
      <c r="J504">
        <v>2.04</v>
      </c>
      <c r="K504" t="s">
        <v>1944</v>
      </c>
      <c r="L504">
        <v>0</v>
      </c>
      <c r="N504" t="s">
        <v>1945</v>
      </c>
      <c r="O504" t="s">
        <v>1946</v>
      </c>
      <c r="P504" t="s">
        <v>20</v>
      </c>
      <c r="Q504">
        <f>(VALUE(LEFT(SUBSTITUTE(O504,"T"," "),23)) - VALUE(LEFT(SUBSTITUTE(N504,"T"," "),23))) * 86400</f>
        <v>168.61499960068613</v>
      </c>
      <c r="R504">
        <f>I504/G504</f>
        <v>2.891176130449867E-2</v>
      </c>
      <c r="S504">
        <f>H504/G504</f>
        <v>0.34694113565398405</v>
      </c>
    </row>
    <row r="505" spans="1:19" hidden="1" x14ac:dyDescent="0.2">
      <c r="A505">
        <v>39</v>
      </c>
      <c r="B505" t="s">
        <v>25</v>
      </c>
      <c r="C505">
        <v>5</v>
      </c>
      <c r="D505">
        <v>2</v>
      </c>
      <c r="E505">
        <v>1018</v>
      </c>
      <c r="F505" t="b">
        <v>1</v>
      </c>
      <c r="G505">
        <v>48.463999999999999</v>
      </c>
      <c r="H505">
        <v>28</v>
      </c>
      <c r="I505">
        <v>1</v>
      </c>
      <c r="J505">
        <v>0.48</v>
      </c>
      <c r="K505" t="s">
        <v>2105</v>
      </c>
      <c r="L505">
        <v>0</v>
      </c>
      <c r="N505" t="s">
        <v>2106</v>
      </c>
      <c r="O505" t="s">
        <v>2107</v>
      </c>
      <c r="P505" t="s">
        <v>20</v>
      </c>
      <c r="Q505">
        <f>(VALUE(LEFT(SUBSTITUTE(O505,"T"," "),23)) - VALUE(LEFT(SUBSTITUTE(N505,"T"," "),23))) * 86400</f>
        <v>114.11400020588189</v>
      </c>
      <c r="R505">
        <f>I505/G505</f>
        <v>2.0633872565203038E-2</v>
      </c>
      <c r="S505">
        <f>H505/G505</f>
        <v>0.57774843182568503</v>
      </c>
    </row>
    <row r="506" spans="1:19" hidden="1" x14ac:dyDescent="0.2">
      <c r="A506">
        <v>42</v>
      </c>
      <c r="B506" t="s">
        <v>25</v>
      </c>
      <c r="C506">
        <v>10</v>
      </c>
      <c r="D506">
        <v>2</v>
      </c>
      <c r="E506">
        <v>1018</v>
      </c>
      <c r="F506" t="b">
        <v>1</v>
      </c>
      <c r="G506">
        <v>31.172000000000001</v>
      </c>
      <c r="H506">
        <v>33</v>
      </c>
      <c r="I506">
        <v>1</v>
      </c>
      <c r="J506">
        <v>0.06</v>
      </c>
      <c r="K506" t="s">
        <v>2114</v>
      </c>
      <c r="L506">
        <v>0</v>
      </c>
      <c r="N506" t="s">
        <v>2115</v>
      </c>
      <c r="O506" t="s">
        <v>2116</v>
      </c>
      <c r="P506" t="s">
        <v>20</v>
      </c>
      <c r="Q506">
        <f>(VALUE(LEFT(SUBSTITUTE(O506,"T"," "),23)) - VALUE(LEFT(SUBSTITUTE(N506,"T"," "),23))) * 86400</f>
        <v>74.989999481476843</v>
      </c>
      <c r="R506">
        <f>I506/G506</f>
        <v>3.2080071859360966E-2</v>
      </c>
      <c r="S506">
        <f>H506/G506</f>
        <v>1.0586423713589119</v>
      </c>
    </row>
    <row r="507" spans="1:19" hidden="1" x14ac:dyDescent="0.2">
      <c r="A507">
        <v>45</v>
      </c>
      <c r="B507" t="s">
        <v>25</v>
      </c>
      <c r="C507">
        <v>15</v>
      </c>
      <c r="D507">
        <v>2</v>
      </c>
      <c r="E507">
        <v>1018</v>
      </c>
      <c r="F507" t="b">
        <v>1</v>
      </c>
      <c r="G507">
        <v>49.88</v>
      </c>
      <c r="H507">
        <v>26</v>
      </c>
      <c r="I507">
        <v>5</v>
      </c>
      <c r="J507">
        <v>1.1399999999999999</v>
      </c>
      <c r="K507" t="s">
        <v>2123</v>
      </c>
      <c r="L507">
        <v>0</v>
      </c>
      <c r="N507" t="s">
        <v>2124</v>
      </c>
      <c r="O507" t="s">
        <v>2125</v>
      </c>
      <c r="P507" t="s">
        <v>20</v>
      </c>
      <c r="Q507">
        <f>(VALUE(LEFT(SUBSTITUTE(O507,"T"," "),23)) - VALUE(LEFT(SUBSTITUTE(N507,"T"," "),23))) * 86400</f>
        <v>103.31000026781112</v>
      </c>
      <c r="R507">
        <f>I507/G507</f>
        <v>0.10024057738572574</v>
      </c>
      <c r="S507">
        <f>H507/G507</f>
        <v>0.52125100240577382</v>
      </c>
    </row>
    <row r="508" spans="1:19" hidden="1" x14ac:dyDescent="0.2">
      <c r="A508">
        <v>48</v>
      </c>
      <c r="B508" t="s">
        <v>25</v>
      </c>
      <c r="C508">
        <v>20</v>
      </c>
      <c r="D508">
        <v>2</v>
      </c>
      <c r="E508">
        <v>1018</v>
      </c>
      <c r="F508" t="b">
        <v>1</v>
      </c>
      <c r="G508">
        <v>31.6</v>
      </c>
      <c r="H508">
        <v>32</v>
      </c>
      <c r="I508">
        <v>1</v>
      </c>
      <c r="J508">
        <v>0.42</v>
      </c>
      <c r="K508" t="s">
        <v>2132</v>
      </c>
      <c r="L508">
        <v>0</v>
      </c>
      <c r="N508" t="s">
        <v>2133</v>
      </c>
      <c r="O508" t="s">
        <v>2134</v>
      </c>
      <c r="P508" t="s">
        <v>20</v>
      </c>
      <c r="Q508">
        <f>(VALUE(LEFT(SUBSTITUTE(O508,"T"," "),23)) - VALUE(LEFT(SUBSTITUTE(N508,"T"," "),23))) * 86400</f>
        <v>74.131999583914876</v>
      </c>
      <c r="R508">
        <f>I508/G508</f>
        <v>3.164556962025316E-2</v>
      </c>
      <c r="S508">
        <f>H508/G508</f>
        <v>1.0126582278481011</v>
      </c>
    </row>
    <row r="509" spans="1:19" hidden="1" x14ac:dyDescent="0.2">
      <c r="A509">
        <v>51</v>
      </c>
      <c r="B509" t="s">
        <v>25</v>
      </c>
      <c r="C509">
        <v>50</v>
      </c>
      <c r="D509">
        <v>2</v>
      </c>
      <c r="E509">
        <v>1018</v>
      </c>
      <c r="F509" t="b">
        <v>1</v>
      </c>
      <c r="G509">
        <v>48</v>
      </c>
      <c r="H509">
        <v>28</v>
      </c>
      <c r="I509">
        <v>5</v>
      </c>
      <c r="J509">
        <v>2.1</v>
      </c>
      <c r="K509" t="s">
        <v>2141</v>
      </c>
      <c r="L509">
        <v>0</v>
      </c>
      <c r="N509" t="s">
        <v>2142</v>
      </c>
      <c r="O509" t="s">
        <v>2143</v>
      </c>
      <c r="P509" t="s">
        <v>20</v>
      </c>
      <c r="Q509">
        <f>(VALUE(LEFT(SUBSTITUTE(O509,"T"," "),23)) - VALUE(LEFT(SUBSTITUTE(N509,"T"," "),23))) * 86400</f>
        <v>95.000999746844172</v>
      </c>
      <c r="R509">
        <f>I509/G509</f>
        <v>0.10416666666666667</v>
      </c>
      <c r="S509">
        <f>H509/G509</f>
        <v>0.58333333333333337</v>
      </c>
    </row>
    <row r="510" spans="1:19" hidden="1" x14ac:dyDescent="0.2">
      <c r="A510">
        <v>54</v>
      </c>
      <c r="B510" t="s">
        <v>25</v>
      </c>
      <c r="C510">
        <v>70</v>
      </c>
      <c r="D510">
        <v>2</v>
      </c>
      <c r="E510">
        <v>1018</v>
      </c>
      <c r="F510" t="b">
        <v>1</v>
      </c>
      <c r="G510">
        <v>41.256</v>
      </c>
      <c r="H510">
        <v>32</v>
      </c>
      <c r="I510">
        <v>8</v>
      </c>
      <c r="J510">
        <v>2.16</v>
      </c>
      <c r="K510" t="s">
        <v>2150</v>
      </c>
      <c r="L510">
        <v>0</v>
      </c>
      <c r="N510" t="s">
        <v>2151</v>
      </c>
      <c r="O510" t="s">
        <v>2152</v>
      </c>
      <c r="P510" t="s">
        <v>20</v>
      </c>
      <c r="Q510">
        <f>(VALUE(LEFT(SUBSTITUTE(O510,"T"," "),23)) - VALUE(LEFT(SUBSTITUTE(N510,"T"," "),23))) * 86400</f>
        <v>117.100999946706</v>
      </c>
      <c r="R510">
        <f>I510/G510</f>
        <v>0.19391118867558657</v>
      </c>
      <c r="S510">
        <f>H510/G510</f>
        <v>0.77564475470234628</v>
      </c>
    </row>
    <row r="511" spans="1:19" hidden="1" x14ac:dyDescent="0.2">
      <c r="A511">
        <v>11</v>
      </c>
      <c r="B511" t="s">
        <v>3414</v>
      </c>
      <c r="C511">
        <v>-1</v>
      </c>
      <c r="D511">
        <v>2</v>
      </c>
      <c r="E511">
        <v>1021</v>
      </c>
      <c r="F511" t="b">
        <v>1</v>
      </c>
      <c r="G511">
        <v>38.652000000000001</v>
      </c>
      <c r="H511">
        <v>28</v>
      </c>
      <c r="I511">
        <v>10</v>
      </c>
      <c r="J511">
        <v>6.6</v>
      </c>
      <c r="K511" t="s">
        <v>3712</v>
      </c>
      <c r="L511">
        <v>0</v>
      </c>
      <c r="N511" t="s">
        <v>3713</v>
      </c>
      <c r="O511" t="s">
        <v>3714</v>
      </c>
      <c r="P511" t="s">
        <v>20</v>
      </c>
      <c r="Q511">
        <f>(VALUE(LEFT(SUBSTITUTE(O511,"T"," "),23)) - VALUE(LEFT(SUBSTITUTE(N511,"T"," "),23))) * 86400</f>
        <v>263.92500051297247</v>
      </c>
      <c r="R511">
        <f>I511/G511</f>
        <v>0.25871882438166199</v>
      </c>
      <c r="S511">
        <f>H511/G511</f>
        <v>0.72441270826865356</v>
      </c>
    </row>
    <row r="512" spans="1:19" hidden="1" x14ac:dyDescent="0.2">
      <c r="A512">
        <v>31</v>
      </c>
      <c r="B512" t="s">
        <v>16</v>
      </c>
      <c r="C512">
        <v>0</v>
      </c>
      <c r="D512">
        <v>2</v>
      </c>
      <c r="E512">
        <v>1018</v>
      </c>
      <c r="F512" t="b">
        <v>1</v>
      </c>
      <c r="G512">
        <v>60.512</v>
      </c>
      <c r="H512">
        <v>26</v>
      </c>
      <c r="I512">
        <v>2</v>
      </c>
      <c r="J512">
        <v>0.54</v>
      </c>
      <c r="K512" t="s">
        <v>2081</v>
      </c>
      <c r="L512">
        <v>0</v>
      </c>
      <c r="N512" t="s">
        <v>2082</v>
      </c>
      <c r="O512" t="s">
        <v>2083</v>
      </c>
      <c r="P512" t="s">
        <v>20</v>
      </c>
      <c r="Q512">
        <f>(VALUE(LEFT(SUBSTITUTE(O512,"T"," "),23)) - VALUE(LEFT(SUBSTITUTE(N512,"T"," "),23))) * 86400</f>
        <v>221.08899957966059</v>
      </c>
      <c r="R512">
        <f>I512/G512</f>
        <v>3.3051295610787942E-2</v>
      </c>
      <c r="S512">
        <f>H512/G512</f>
        <v>0.42966684294024327</v>
      </c>
    </row>
    <row r="513" spans="1:19" x14ac:dyDescent="0.2">
      <c r="A513">
        <v>9</v>
      </c>
      <c r="B513" t="s">
        <v>25</v>
      </c>
      <c r="C513">
        <v>2</v>
      </c>
      <c r="D513">
        <v>1</v>
      </c>
      <c r="E513">
        <v>1027</v>
      </c>
      <c r="F513" t="b">
        <v>1</v>
      </c>
      <c r="G513">
        <v>68.772000000000006</v>
      </c>
      <c r="H513">
        <v>24</v>
      </c>
      <c r="I513">
        <v>3</v>
      </c>
      <c r="J513">
        <v>0.3</v>
      </c>
      <c r="K513" t="s">
        <v>2258</v>
      </c>
      <c r="L513">
        <v>0</v>
      </c>
      <c r="N513" t="s">
        <v>2259</v>
      </c>
      <c r="O513" t="s">
        <v>2260</v>
      </c>
      <c r="P513" t="s">
        <v>20</v>
      </c>
      <c r="Q513">
        <f>(VALUE(LEFT(SUBSTITUTE(O513,"T"," "),23)) - VALUE(LEFT(SUBSTITUTE(N513,"T"," "),23))) * 86400</f>
        <v>355.31299996655434</v>
      </c>
      <c r="R513">
        <f>I513/G513</f>
        <v>4.3622404466934217E-2</v>
      </c>
      <c r="S513">
        <f>H513/G513</f>
        <v>0.34897923573547374</v>
      </c>
    </row>
    <row r="514" spans="1:19" hidden="1" x14ac:dyDescent="0.2">
      <c r="A514">
        <v>37</v>
      </c>
      <c r="B514" t="s">
        <v>16</v>
      </c>
      <c r="C514">
        <v>5</v>
      </c>
      <c r="D514">
        <v>2</v>
      </c>
      <c r="E514">
        <v>1018</v>
      </c>
      <c r="F514" t="b">
        <v>1</v>
      </c>
      <c r="G514">
        <v>59.472000000000001</v>
      </c>
      <c r="H514">
        <v>29</v>
      </c>
      <c r="I514">
        <v>0</v>
      </c>
      <c r="J514">
        <v>0</v>
      </c>
      <c r="K514" t="s">
        <v>2099</v>
      </c>
      <c r="L514">
        <v>0</v>
      </c>
      <c r="N514" t="s">
        <v>2100</v>
      </c>
      <c r="O514" t="s">
        <v>2101</v>
      </c>
      <c r="P514" t="s">
        <v>20</v>
      </c>
      <c r="Q514">
        <f>(VALUE(LEFT(SUBSTITUTE(O514,"T"," "),23)) - VALUE(LEFT(SUBSTITUTE(N514,"T"," "),23))) * 86400</f>
        <v>198.5400001052767</v>
      </c>
      <c r="R514">
        <f>I514/G514</f>
        <v>0</v>
      </c>
      <c r="S514">
        <f>H514/G514</f>
        <v>0.48762442830239439</v>
      </c>
    </row>
    <row r="515" spans="1:19" hidden="1" x14ac:dyDescent="0.2">
      <c r="A515">
        <v>40</v>
      </c>
      <c r="B515" t="s">
        <v>16</v>
      </c>
      <c r="C515">
        <v>10</v>
      </c>
      <c r="D515">
        <v>2</v>
      </c>
      <c r="E515">
        <v>1018</v>
      </c>
      <c r="F515" t="b">
        <v>1</v>
      </c>
      <c r="G515">
        <v>80.391999999999996</v>
      </c>
      <c r="H515">
        <v>25</v>
      </c>
      <c r="I515">
        <v>3</v>
      </c>
      <c r="J515">
        <v>0.66</v>
      </c>
      <c r="K515" t="s">
        <v>2108</v>
      </c>
      <c r="L515">
        <v>0</v>
      </c>
      <c r="N515" t="s">
        <v>2109</v>
      </c>
      <c r="O515" t="s">
        <v>2110</v>
      </c>
      <c r="P515" t="s">
        <v>20</v>
      </c>
      <c r="Q515">
        <f>(VALUE(LEFT(SUBSTITUTE(O515,"T"," "),23)) - VALUE(LEFT(SUBSTITUTE(N515,"T"," "),23))) * 86400</f>
        <v>232.14100033510476</v>
      </c>
      <c r="R515">
        <f>I515/G515</f>
        <v>3.7317145984675094E-2</v>
      </c>
      <c r="S515">
        <f>H515/G515</f>
        <v>0.31097621653895913</v>
      </c>
    </row>
    <row r="516" spans="1:19" hidden="1" x14ac:dyDescent="0.2">
      <c r="A516">
        <v>43</v>
      </c>
      <c r="B516" t="s">
        <v>16</v>
      </c>
      <c r="C516">
        <v>15</v>
      </c>
      <c r="D516">
        <v>2</v>
      </c>
      <c r="E516">
        <v>1018</v>
      </c>
      <c r="F516" t="b">
        <v>1</v>
      </c>
      <c r="G516">
        <v>39.968000000000004</v>
      </c>
      <c r="H516">
        <v>26</v>
      </c>
      <c r="I516">
        <v>12</v>
      </c>
      <c r="J516">
        <v>2.58</v>
      </c>
      <c r="K516" t="s">
        <v>2117</v>
      </c>
      <c r="L516">
        <v>0</v>
      </c>
      <c r="N516" t="s">
        <v>2118</v>
      </c>
      <c r="O516" t="s">
        <v>2119</v>
      </c>
      <c r="P516" t="s">
        <v>20</v>
      </c>
      <c r="Q516">
        <f>(VALUE(LEFT(SUBSTITUTE(O516,"T"," "),23)) - VALUE(LEFT(SUBSTITUTE(N516,"T"," "),23))) * 86400</f>
        <v>232.25100024137646</v>
      </c>
      <c r="R516">
        <f>I516/G516</f>
        <v>0.30024019215372294</v>
      </c>
      <c r="S516">
        <f>H516/G516</f>
        <v>0.65052041633306634</v>
      </c>
    </row>
    <row r="517" spans="1:19" hidden="1" x14ac:dyDescent="0.2">
      <c r="A517">
        <v>46</v>
      </c>
      <c r="B517" t="s">
        <v>16</v>
      </c>
      <c r="C517">
        <v>20</v>
      </c>
      <c r="D517">
        <v>2</v>
      </c>
      <c r="E517">
        <v>1018</v>
      </c>
      <c r="F517" t="b">
        <v>1</v>
      </c>
      <c r="G517">
        <v>86.16</v>
      </c>
      <c r="H517">
        <v>25</v>
      </c>
      <c r="I517">
        <v>9</v>
      </c>
      <c r="J517">
        <v>1.98</v>
      </c>
      <c r="K517" t="s">
        <v>2126</v>
      </c>
      <c r="L517">
        <v>0</v>
      </c>
      <c r="N517" t="s">
        <v>2127</v>
      </c>
      <c r="O517" t="s">
        <v>2128</v>
      </c>
      <c r="P517" t="s">
        <v>20</v>
      </c>
      <c r="Q517">
        <f>(VALUE(LEFT(SUBSTITUTE(O517,"T"," "),23)) - VALUE(LEFT(SUBSTITUTE(N517,"T"," "),23))) * 86400</f>
        <v>227.23299977369606</v>
      </c>
      <c r="R517">
        <f>I517/G517</f>
        <v>0.10445682451253482</v>
      </c>
      <c r="S517">
        <f>H517/G517</f>
        <v>0.2901578458681523</v>
      </c>
    </row>
    <row r="518" spans="1:19" hidden="1" x14ac:dyDescent="0.2">
      <c r="A518">
        <v>49</v>
      </c>
      <c r="B518" t="s">
        <v>16</v>
      </c>
      <c r="C518">
        <v>50</v>
      </c>
      <c r="D518">
        <v>2</v>
      </c>
      <c r="E518">
        <v>1018</v>
      </c>
      <c r="F518" t="b">
        <v>1</v>
      </c>
      <c r="G518">
        <v>76.900000000000006</v>
      </c>
      <c r="H518">
        <v>29</v>
      </c>
      <c r="I518">
        <v>4</v>
      </c>
      <c r="J518">
        <v>0.78</v>
      </c>
      <c r="K518" t="s">
        <v>2135</v>
      </c>
      <c r="L518">
        <v>0</v>
      </c>
      <c r="N518" t="s">
        <v>2136</v>
      </c>
      <c r="O518" t="s">
        <v>2137</v>
      </c>
      <c r="P518" t="s">
        <v>20</v>
      </c>
      <c r="Q518">
        <f>(VALUE(LEFT(SUBSTITUTE(O518,"T"," "),23)) - VALUE(LEFT(SUBSTITUTE(N518,"T"," "),23))) * 86400</f>
        <v>243.85199972894043</v>
      </c>
      <c r="R518">
        <f>I518/G518</f>
        <v>5.2015604681404419E-2</v>
      </c>
      <c r="S518">
        <f>H518/G518</f>
        <v>0.37711313394018203</v>
      </c>
    </row>
    <row r="519" spans="1:19" hidden="1" x14ac:dyDescent="0.2">
      <c r="A519">
        <v>52</v>
      </c>
      <c r="B519" t="s">
        <v>16</v>
      </c>
      <c r="C519">
        <v>70</v>
      </c>
      <c r="D519">
        <v>2</v>
      </c>
      <c r="E519">
        <v>1018</v>
      </c>
      <c r="F519" t="b">
        <v>1</v>
      </c>
      <c r="G519">
        <v>74.06</v>
      </c>
      <c r="H519">
        <v>30</v>
      </c>
      <c r="I519">
        <v>7</v>
      </c>
      <c r="J519">
        <v>1.1399999999999999</v>
      </c>
      <c r="K519" t="s">
        <v>2144</v>
      </c>
      <c r="L519">
        <v>0</v>
      </c>
      <c r="N519" t="s">
        <v>2145</v>
      </c>
      <c r="O519" t="s">
        <v>2146</v>
      </c>
      <c r="P519" t="s">
        <v>20</v>
      </c>
      <c r="Q519">
        <f>(VALUE(LEFT(SUBSTITUTE(O519,"T"," "),23)) - VALUE(LEFT(SUBSTITUTE(N519,"T"," "),23))) * 86400</f>
        <v>181.51799992192537</v>
      </c>
      <c r="R519">
        <f>I519/G519</f>
        <v>9.4517958412098299E-2</v>
      </c>
      <c r="S519">
        <f>H519/G519</f>
        <v>0.40507696462327841</v>
      </c>
    </row>
    <row r="520" spans="1:19" hidden="1" x14ac:dyDescent="0.2">
      <c r="A520">
        <v>32</v>
      </c>
      <c r="B520" t="s">
        <v>25</v>
      </c>
      <c r="C520">
        <v>-1</v>
      </c>
      <c r="D520">
        <v>4</v>
      </c>
      <c r="E520">
        <v>1003</v>
      </c>
      <c r="F520" t="b">
        <v>1</v>
      </c>
      <c r="G520">
        <v>41.508000000000003</v>
      </c>
      <c r="H520">
        <v>30</v>
      </c>
      <c r="I520">
        <v>5</v>
      </c>
      <c r="J520">
        <v>2.94</v>
      </c>
      <c r="K520" t="s">
        <v>3508</v>
      </c>
      <c r="L520">
        <v>0</v>
      </c>
      <c r="N520" t="s">
        <v>3509</v>
      </c>
      <c r="O520" t="s">
        <v>3510</v>
      </c>
      <c r="P520" t="s">
        <v>20</v>
      </c>
      <c r="Q520">
        <f>(VALUE(LEFT(SUBSTITUTE(O520,"T"," "),23)) - VALUE(LEFT(SUBSTITUTE(N520,"T"," "),23))) * 86400</f>
        <v>159.29799999576062</v>
      </c>
      <c r="R520">
        <f>I520/G520</f>
        <v>0.12045870675532426</v>
      </c>
      <c r="S520">
        <f>H520/G520</f>
        <v>0.72275224053194564</v>
      </c>
    </row>
    <row r="521" spans="1:19" hidden="1" x14ac:dyDescent="0.2">
      <c r="A521">
        <v>59</v>
      </c>
      <c r="B521" t="s">
        <v>21</v>
      </c>
      <c r="C521">
        <v>0</v>
      </c>
      <c r="D521">
        <v>3</v>
      </c>
      <c r="E521">
        <v>1019</v>
      </c>
      <c r="F521" t="b">
        <v>1</v>
      </c>
      <c r="G521">
        <v>92.671999999999997</v>
      </c>
      <c r="H521">
        <v>21</v>
      </c>
      <c r="I521">
        <v>2</v>
      </c>
      <c r="J521">
        <v>1.2</v>
      </c>
      <c r="K521" t="s">
        <v>2165</v>
      </c>
      <c r="L521">
        <v>0</v>
      </c>
      <c r="N521" t="s">
        <v>2166</v>
      </c>
      <c r="O521" t="s">
        <v>2167</v>
      </c>
      <c r="P521" t="s">
        <v>20</v>
      </c>
      <c r="Q521">
        <f>(VALUE(LEFT(SUBSTITUTE(O521,"T"," "),23)) - VALUE(LEFT(SUBSTITUTE(N521,"T"," "),23))) * 86400</f>
        <v>268.11299957334995</v>
      </c>
      <c r="R521">
        <f>I521/G521</f>
        <v>2.1581491712707183E-2</v>
      </c>
      <c r="S521">
        <f>H521/G521</f>
        <v>0.22660566298342541</v>
      </c>
    </row>
    <row r="522" spans="1:19" x14ac:dyDescent="0.2">
      <c r="A522">
        <v>8</v>
      </c>
      <c r="B522" t="s">
        <v>21</v>
      </c>
      <c r="C522">
        <v>2</v>
      </c>
      <c r="D522">
        <v>1</v>
      </c>
      <c r="E522">
        <v>1012</v>
      </c>
      <c r="F522" t="b">
        <v>1</v>
      </c>
      <c r="G522">
        <v>64.855999999999995</v>
      </c>
      <c r="H522">
        <v>23</v>
      </c>
      <c r="I522">
        <v>2</v>
      </c>
      <c r="J522">
        <v>0.9</v>
      </c>
      <c r="K522" t="s">
        <v>997</v>
      </c>
      <c r="L522">
        <v>0</v>
      </c>
      <c r="N522" t="s">
        <v>998</v>
      </c>
      <c r="O522" t="s">
        <v>999</v>
      </c>
      <c r="P522" t="s">
        <v>20</v>
      </c>
      <c r="Q522">
        <f>(VALUE(LEFT(SUBSTITUTE(O522,"T"," "),23)) - VALUE(LEFT(SUBSTITUTE(N522,"T"," "),23))) * 86400</f>
        <v>274.84399995300919</v>
      </c>
      <c r="R522">
        <f>I522/G522</f>
        <v>3.083754779819909E-2</v>
      </c>
      <c r="S522">
        <f>H522/G522</f>
        <v>0.35463179967928954</v>
      </c>
    </row>
    <row r="523" spans="1:19" hidden="1" x14ac:dyDescent="0.2">
      <c r="A523">
        <v>65</v>
      </c>
      <c r="B523" t="s">
        <v>21</v>
      </c>
      <c r="C523">
        <v>5</v>
      </c>
      <c r="D523">
        <v>3</v>
      </c>
      <c r="E523">
        <v>1019</v>
      </c>
      <c r="F523" t="b">
        <v>1</v>
      </c>
      <c r="G523">
        <v>67.88</v>
      </c>
      <c r="H523">
        <v>27</v>
      </c>
      <c r="I523">
        <v>4</v>
      </c>
      <c r="J523">
        <v>0.78</v>
      </c>
      <c r="K523" t="s">
        <v>2183</v>
      </c>
      <c r="L523">
        <v>0</v>
      </c>
      <c r="N523" t="s">
        <v>2184</v>
      </c>
      <c r="O523" t="s">
        <v>2185</v>
      </c>
      <c r="P523" t="s">
        <v>20</v>
      </c>
      <c r="Q523">
        <f>(VALUE(LEFT(SUBSTITUTE(O523,"T"," "),23)) - VALUE(LEFT(SUBSTITUTE(N523,"T"," "),23))) * 86400</f>
        <v>165.46999993734062</v>
      </c>
      <c r="R523">
        <f>I523/G523</f>
        <v>5.892751915144373E-2</v>
      </c>
      <c r="S523">
        <f>H523/G523</f>
        <v>0.39776075427224517</v>
      </c>
    </row>
    <row r="524" spans="1:19" hidden="1" x14ac:dyDescent="0.2">
      <c r="A524">
        <v>68</v>
      </c>
      <c r="B524" t="s">
        <v>21</v>
      </c>
      <c r="C524">
        <v>10</v>
      </c>
      <c r="D524">
        <v>3</v>
      </c>
      <c r="E524">
        <v>1019</v>
      </c>
      <c r="F524" t="b">
        <v>1</v>
      </c>
      <c r="G524">
        <v>82.908000000000001</v>
      </c>
      <c r="H524">
        <v>24</v>
      </c>
      <c r="I524">
        <v>13</v>
      </c>
      <c r="J524">
        <v>2.52</v>
      </c>
      <c r="K524" t="s">
        <v>2192</v>
      </c>
      <c r="L524">
        <v>0</v>
      </c>
      <c r="N524" t="s">
        <v>2193</v>
      </c>
      <c r="O524" t="s">
        <v>2194</v>
      </c>
      <c r="P524" t="s">
        <v>20</v>
      </c>
      <c r="Q524">
        <f>(VALUE(LEFT(SUBSTITUTE(O524,"T"," "),23)) - VALUE(LEFT(SUBSTITUTE(N524,"T"," "),23))) * 86400</f>
        <v>220.35899951588362</v>
      </c>
      <c r="R524">
        <f>I524/G524</f>
        <v>0.15680030877599266</v>
      </c>
      <c r="S524">
        <f>H524/G524</f>
        <v>0.28947749312490956</v>
      </c>
    </row>
    <row r="525" spans="1:19" hidden="1" x14ac:dyDescent="0.2">
      <c r="A525">
        <v>71</v>
      </c>
      <c r="B525" t="s">
        <v>21</v>
      </c>
      <c r="C525">
        <v>15</v>
      </c>
      <c r="D525">
        <v>3</v>
      </c>
      <c r="E525">
        <v>1019</v>
      </c>
      <c r="F525" t="b">
        <v>1</v>
      </c>
      <c r="G525">
        <v>104.836</v>
      </c>
      <c r="H525">
        <v>29</v>
      </c>
      <c r="I525">
        <v>8</v>
      </c>
      <c r="J525">
        <v>2.4</v>
      </c>
      <c r="K525" t="s">
        <v>2201</v>
      </c>
      <c r="L525">
        <v>0</v>
      </c>
      <c r="N525" t="s">
        <v>2202</v>
      </c>
      <c r="O525" t="s">
        <v>2203</v>
      </c>
      <c r="P525" t="s">
        <v>20</v>
      </c>
      <c r="Q525">
        <f>(VALUE(LEFT(SUBSTITUTE(O525,"T"," "),23)) - VALUE(LEFT(SUBSTITUTE(N525,"T"," "),23))) * 86400</f>
        <v>294.43499960470945</v>
      </c>
      <c r="R525">
        <f>I525/G525</f>
        <v>7.6309664619023998E-2</v>
      </c>
      <c r="S525">
        <f>H525/G525</f>
        <v>0.27662253424396199</v>
      </c>
    </row>
    <row r="526" spans="1:19" hidden="1" x14ac:dyDescent="0.2">
      <c r="A526">
        <v>74</v>
      </c>
      <c r="B526" t="s">
        <v>21</v>
      </c>
      <c r="C526">
        <v>20</v>
      </c>
      <c r="D526">
        <v>3</v>
      </c>
      <c r="E526">
        <v>1019</v>
      </c>
      <c r="F526" t="b">
        <v>1</v>
      </c>
      <c r="G526">
        <v>122.11199999999999</v>
      </c>
      <c r="H526">
        <v>24</v>
      </c>
      <c r="I526">
        <v>9</v>
      </c>
      <c r="J526">
        <v>2.1</v>
      </c>
      <c r="K526" t="s">
        <v>2210</v>
      </c>
      <c r="L526">
        <v>0</v>
      </c>
      <c r="N526" t="s">
        <v>2211</v>
      </c>
      <c r="O526" t="s">
        <v>2212</v>
      </c>
      <c r="P526" t="s">
        <v>20</v>
      </c>
      <c r="Q526">
        <f>(VALUE(LEFT(SUBSTITUTE(O526,"T"," "),23)) - VALUE(LEFT(SUBSTITUTE(N526,"T"," "),23))) * 86400</f>
        <v>224.17499986477196</v>
      </c>
      <c r="R526">
        <f>I526/G526</f>
        <v>7.370283018867925E-2</v>
      </c>
      <c r="S526">
        <f>H526/G526</f>
        <v>0.19654088050314467</v>
      </c>
    </row>
    <row r="527" spans="1:19" hidden="1" x14ac:dyDescent="0.2">
      <c r="A527">
        <v>77</v>
      </c>
      <c r="B527" t="s">
        <v>21</v>
      </c>
      <c r="C527">
        <v>50</v>
      </c>
      <c r="D527">
        <v>3</v>
      </c>
      <c r="E527">
        <v>1019</v>
      </c>
      <c r="F527" t="b">
        <v>1</v>
      </c>
      <c r="G527">
        <v>60.944000000000003</v>
      </c>
      <c r="H527">
        <v>25</v>
      </c>
      <c r="I527">
        <v>10</v>
      </c>
      <c r="J527">
        <v>1.92</v>
      </c>
      <c r="K527" t="s">
        <v>2219</v>
      </c>
      <c r="L527">
        <v>0</v>
      </c>
      <c r="N527" t="s">
        <v>2220</v>
      </c>
      <c r="O527" t="s">
        <v>2221</v>
      </c>
      <c r="P527" t="s">
        <v>20</v>
      </c>
      <c r="Q527">
        <f>(VALUE(LEFT(SUBSTITUTE(O527,"T"," "),23)) - VALUE(LEFT(SUBSTITUTE(N527,"T"," "),23))) * 86400</f>
        <v>169.58999997004867</v>
      </c>
      <c r="R527">
        <f>I527/G527</f>
        <v>0.16408506169598319</v>
      </c>
      <c r="S527">
        <f>H527/G527</f>
        <v>0.41021265423995795</v>
      </c>
    </row>
    <row r="528" spans="1:19" hidden="1" x14ac:dyDescent="0.2">
      <c r="A528">
        <v>80</v>
      </c>
      <c r="B528" t="s">
        <v>21</v>
      </c>
      <c r="C528">
        <v>70</v>
      </c>
      <c r="D528">
        <v>3</v>
      </c>
      <c r="E528">
        <v>1019</v>
      </c>
      <c r="F528" t="b">
        <v>1</v>
      </c>
      <c r="G528">
        <v>42.756</v>
      </c>
      <c r="H528">
        <v>25</v>
      </c>
      <c r="I528">
        <v>4</v>
      </c>
      <c r="J528">
        <v>1.2</v>
      </c>
      <c r="K528" t="s">
        <v>2228</v>
      </c>
      <c r="L528">
        <v>0</v>
      </c>
      <c r="N528" t="s">
        <v>2229</v>
      </c>
      <c r="O528" t="s">
        <v>2230</v>
      </c>
      <c r="P528" t="s">
        <v>20</v>
      </c>
      <c r="Q528">
        <f>(VALUE(LEFT(SUBSTITUTE(O528,"T"," "),23)) - VALUE(LEFT(SUBSTITUTE(N528,"T"," "),23))) * 86400</f>
        <v>94.646000163629651</v>
      </c>
      <c r="R528">
        <f>I528/G528</f>
        <v>9.3554121059032644E-2</v>
      </c>
      <c r="S528">
        <f>H528/G528</f>
        <v>0.58471325661895401</v>
      </c>
    </row>
    <row r="529" spans="1:19" hidden="1" x14ac:dyDescent="0.2">
      <c r="A529">
        <v>2</v>
      </c>
      <c r="B529" t="s">
        <v>2476</v>
      </c>
      <c r="C529">
        <v>-1</v>
      </c>
      <c r="D529">
        <v>1</v>
      </c>
      <c r="E529">
        <v>1000</v>
      </c>
      <c r="F529" t="b">
        <v>1</v>
      </c>
      <c r="G529">
        <v>35.975999999999999</v>
      </c>
      <c r="H529">
        <v>26</v>
      </c>
      <c r="I529">
        <v>5</v>
      </c>
      <c r="J529">
        <v>6</v>
      </c>
      <c r="K529" t="s">
        <v>2535</v>
      </c>
      <c r="L529">
        <v>0</v>
      </c>
      <c r="N529" t="s">
        <v>2536</v>
      </c>
      <c r="O529" t="s">
        <v>2537</v>
      </c>
      <c r="P529" t="s">
        <v>20</v>
      </c>
      <c r="Q529">
        <f>(VALUE(LEFT(SUBSTITUTE(O529,"T"," "),23)) - VALUE(LEFT(SUBSTITUTE(N529,"T"," "),23))) * 86400</f>
        <v>240.30900006182492</v>
      </c>
      <c r="R529">
        <f>I529/G529</f>
        <v>0.13898154325105627</v>
      </c>
      <c r="S529">
        <f>H529/G529</f>
        <v>0.72270402490549257</v>
      </c>
    </row>
    <row r="530" spans="1:19" hidden="1" x14ac:dyDescent="0.2">
      <c r="A530">
        <v>60</v>
      </c>
      <c r="B530" t="s">
        <v>25</v>
      </c>
      <c r="C530">
        <v>0</v>
      </c>
      <c r="D530">
        <v>3</v>
      </c>
      <c r="E530">
        <v>1019</v>
      </c>
      <c r="F530" t="b">
        <v>1</v>
      </c>
      <c r="G530">
        <v>50.08</v>
      </c>
      <c r="H530">
        <v>26</v>
      </c>
      <c r="I530">
        <v>1</v>
      </c>
      <c r="J530">
        <v>0.12</v>
      </c>
      <c r="K530" t="s">
        <v>2168</v>
      </c>
      <c r="L530">
        <v>0</v>
      </c>
      <c r="N530" t="s">
        <v>2169</v>
      </c>
      <c r="O530" t="s">
        <v>2170</v>
      </c>
      <c r="P530" t="s">
        <v>20</v>
      </c>
      <c r="Q530">
        <f>(VALUE(LEFT(SUBSTITUTE(O530,"T"," "),23)) - VALUE(LEFT(SUBSTITUTE(N530,"T"," "),23))) * 86400</f>
        <v>135.16900003887713</v>
      </c>
      <c r="R530">
        <f>I530/G530</f>
        <v>1.9968051118210862E-2</v>
      </c>
      <c r="S530">
        <f>H530/G530</f>
        <v>0.51916932907348246</v>
      </c>
    </row>
    <row r="531" spans="1:19" hidden="1" x14ac:dyDescent="0.2">
      <c r="A531">
        <v>32</v>
      </c>
      <c r="B531" t="s">
        <v>2476</v>
      </c>
      <c r="C531">
        <v>5</v>
      </c>
      <c r="D531">
        <v>4</v>
      </c>
      <c r="E531">
        <v>1003</v>
      </c>
      <c r="F531" t="b">
        <v>1</v>
      </c>
      <c r="G531">
        <v>114.86</v>
      </c>
      <c r="H531">
        <v>23</v>
      </c>
      <c r="I531">
        <v>3</v>
      </c>
      <c r="J531">
        <v>2.1</v>
      </c>
      <c r="K531" t="s">
        <v>2625</v>
      </c>
      <c r="L531">
        <v>0</v>
      </c>
      <c r="N531" t="s">
        <v>2626</v>
      </c>
      <c r="O531" t="s">
        <v>2627</v>
      </c>
      <c r="P531" t="s">
        <v>20</v>
      </c>
      <c r="Q531">
        <f>(VALUE(LEFT(SUBSTITUTE(O531,"T"," "),23)) - VALUE(LEFT(SUBSTITUTE(N531,"T"," "),23))) * 86400</f>
        <v>592.30499994009733</v>
      </c>
      <c r="R531">
        <f>I531/G531</f>
        <v>2.6118753264844159E-2</v>
      </c>
      <c r="S531">
        <f>H531/G531</f>
        <v>0.20024377503047189</v>
      </c>
    </row>
    <row r="532" spans="1:19" hidden="1" x14ac:dyDescent="0.2">
      <c r="A532">
        <v>66</v>
      </c>
      <c r="B532" t="s">
        <v>25</v>
      </c>
      <c r="C532">
        <v>5</v>
      </c>
      <c r="D532">
        <v>3</v>
      </c>
      <c r="E532">
        <v>1019</v>
      </c>
      <c r="F532" t="b">
        <v>1</v>
      </c>
      <c r="G532">
        <v>49.408000000000001</v>
      </c>
      <c r="H532">
        <v>26</v>
      </c>
      <c r="I532">
        <v>2</v>
      </c>
      <c r="J532">
        <v>0.3</v>
      </c>
      <c r="K532" t="s">
        <v>2186</v>
      </c>
      <c r="L532">
        <v>0</v>
      </c>
      <c r="N532" t="s">
        <v>2187</v>
      </c>
      <c r="O532" t="s">
        <v>2188</v>
      </c>
      <c r="P532" t="s">
        <v>20</v>
      </c>
      <c r="Q532">
        <f>(VALUE(LEFT(SUBSTITUTE(O532,"T"," "),23)) - VALUE(LEFT(SUBSTITUTE(N532,"T"," "),23))) * 86400</f>
        <v>168.20500006433576</v>
      </c>
      <c r="R532">
        <f>I532/G532</f>
        <v>4.0479274611398962E-2</v>
      </c>
      <c r="S532">
        <f>H532/G532</f>
        <v>0.52623056994818651</v>
      </c>
    </row>
    <row r="533" spans="1:19" hidden="1" x14ac:dyDescent="0.2">
      <c r="A533">
        <v>69</v>
      </c>
      <c r="B533" t="s">
        <v>25</v>
      </c>
      <c r="C533">
        <v>10</v>
      </c>
      <c r="D533">
        <v>3</v>
      </c>
      <c r="E533">
        <v>1019</v>
      </c>
      <c r="F533" t="b">
        <v>1</v>
      </c>
      <c r="G533">
        <v>58.756</v>
      </c>
      <c r="H533">
        <v>27</v>
      </c>
      <c r="I533">
        <v>4</v>
      </c>
      <c r="J533">
        <v>1.44</v>
      </c>
      <c r="K533" t="s">
        <v>2195</v>
      </c>
      <c r="L533">
        <v>0</v>
      </c>
      <c r="N533" t="s">
        <v>2196</v>
      </c>
      <c r="O533" t="s">
        <v>2197</v>
      </c>
      <c r="P533" t="s">
        <v>20</v>
      </c>
      <c r="Q533">
        <f>(VALUE(LEFT(SUBSTITUTE(O533,"T"," "),23)) - VALUE(LEFT(SUBSTITUTE(N533,"T"," "),23))) * 86400</f>
        <v>200.06599954795092</v>
      </c>
      <c r="R533">
        <f>I533/G533</f>
        <v>6.8078153720471102E-2</v>
      </c>
      <c r="S533">
        <f>H533/G533</f>
        <v>0.45952753761317994</v>
      </c>
    </row>
    <row r="534" spans="1:19" hidden="1" x14ac:dyDescent="0.2">
      <c r="A534">
        <v>72</v>
      </c>
      <c r="B534" t="s">
        <v>25</v>
      </c>
      <c r="C534">
        <v>15</v>
      </c>
      <c r="D534">
        <v>3</v>
      </c>
      <c r="E534">
        <v>1019</v>
      </c>
      <c r="F534" t="b">
        <v>1</v>
      </c>
      <c r="G534">
        <v>58.171999999999997</v>
      </c>
      <c r="H534">
        <v>26</v>
      </c>
      <c r="I534">
        <v>10</v>
      </c>
      <c r="J534">
        <v>1.38</v>
      </c>
      <c r="K534" t="s">
        <v>2204</v>
      </c>
      <c r="L534">
        <v>0</v>
      </c>
      <c r="N534" t="s">
        <v>2205</v>
      </c>
      <c r="O534" t="s">
        <v>2206</v>
      </c>
      <c r="P534" t="s">
        <v>20</v>
      </c>
      <c r="Q534">
        <f>(VALUE(LEFT(SUBSTITUTE(O534,"T"," "),23)) - VALUE(LEFT(SUBSTITUTE(N534,"T"," "),23))) * 86400</f>
        <v>132.19900005497038</v>
      </c>
      <c r="R534">
        <f>I534/G534</f>
        <v>0.17190400880148526</v>
      </c>
      <c r="S534">
        <f>H534/G534</f>
        <v>0.44695042288386166</v>
      </c>
    </row>
    <row r="535" spans="1:19" hidden="1" x14ac:dyDescent="0.2">
      <c r="A535">
        <v>75</v>
      </c>
      <c r="B535" t="s">
        <v>25</v>
      </c>
      <c r="C535">
        <v>20</v>
      </c>
      <c r="D535">
        <v>3</v>
      </c>
      <c r="E535">
        <v>1019</v>
      </c>
      <c r="F535" t="b">
        <v>1</v>
      </c>
      <c r="G535">
        <v>46.9</v>
      </c>
      <c r="H535">
        <v>31</v>
      </c>
      <c r="I535">
        <v>2</v>
      </c>
      <c r="J535">
        <v>0.78</v>
      </c>
      <c r="K535" t="s">
        <v>2213</v>
      </c>
      <c r="L535">
        <v>0</v>
      </c>
      <c r="N535" t="s">
        <v>2214</v>
      </c>
      <c r="O535" t="s">
        <v>2215</v>
      </c>
      <c r="P535" t="s">
        <v>20</v>
      </c>
      <c r="Q535">
        <f>(VALUE(LEFT(SUBSTITUTE(O535,"T"," "),23)) - VALUE(LEFT(SUBSTITUTE(N535,"T"," "),23))) * 86400</f>
        <v>101.18800036143512</v>
      </c>
      <c r="R535">
        <f>I535/G535</f>
        <v>4.2643923240938165E-2</v>
      </c>
      <c r="S535">
        <f>H535/G535</f>
        <v>0.66098081023454158</v>
      </c>
    </row>
    <row r="536" spans="1:19" hidden="1" x14ac:dyDescent="0.2">
      <c r="A536">
        <v>78</v>
      </c>
      <c r="B536" t="s">
        <v>25</v>
      </c>
      <c r="C536">
        <v>50</v>
      </c>
      <c r="D536">
        <v>3</v>
      </c>
      <c r="E536">
        <v>1019</v>
      </c>
      <c r="F536" t="b">
        <v>1</v>
      </c>
      <c r="G536">
        <v>51.384</v>
      </c>
      <c r="H536">
        <v>26</v>
      </c>
      <c r="I536">
        <v>6</v>
      </c>
      <c r="J536">
        <v>0.66</v>
      </c>
      <c r="K536" t="s">
        <v>2222</v>
      </c>
      <c r="L536">
        <v>0</v>
      </c>
      <c r="N536" t="s">
        <v>2223</v>
      </c>
      <c r="O536" t="s">
        <v>2224</v>
      </c>
      <c r="P536" t="s">
        <v>20</v>
      </c>
      <c r="Q536">
        <f>(VALUE(LEFT(SUBSTITUTE(O536,"T"," "),23)) - VALUE(LEFT(SUBSTITUTE(N536,"T"," "),23))) * 86400</f>
        <v>89.000000059604645</v>
      </c>
      <c r="R536">
        <f>I536/G536</f>
        <v>0.11676786548341896</v>
      </c>
      <c r="S536">
        <f>H536/G536</f>
        <v>0.50599408376148214</v>
      </c>
    </row>
    <row r="537" spans="1:19" hidden="1" x14ac:dyDescent="0.2">
      <c r="A537">
        <v>81</v>
      </c>
      <c r="B537" t="s">
        <v>25</v>
      </c>
      <c r="C537">
        <v>70</v>
      </c>
      <c r="D537">
        <v>3</v>
      </c>
      <c r="E537">
        <v>1019</v>
      </c>
      <c r="F537" t="b">
        <v>1</v>
      </c>
      <c r="G537">
        <v>56.4</v>
      </c>
      <c r="H537">
        <v>24</v>
      </c>
      <c r="I537">
        <v>3</v>
      </c>
      <c r="J537">
        <v>1.02</v>
      </c>
      <c r="K537" t="s">
        <v>2231</v>
      </c>
      <c r="L537">
        <v>0</v>
      </c>
      <c r="N537" t="s">
        <v>2232</v>
      </c>
      <c r="O537" t="s">
        <v>2233</v>
      </c>
      <c r="P537" t="s">
        <v>20</v>
      </c>
      <c r="Q537">
        <f>(VALUE(LEFT(SUBSTITUTE(O537,"T"," "),23)) - VALUE(LEFT(SUBSTITUTE(N537,"T"," "),23))) * 86400</f>
        <v>80.536000127904117</v>
      </c>
      <c r="R537">
        <f>I537/G537</f>
        <v>5.3191489361702128E-2</v>
      </c>
      <c r="S537">
        <f>H537/G537</f>
        <v>0.42553191489361702</v>
      </c>
    </row>
    <row r="538" spans="1:19" hidden="1" x14ac:dyDescent="0.2">
      <c r="A538">
        <v>3</v>
      </c>
      <c r="B538" t="s">
        <v>25</v>
      </c>
      <c r="C538">
        <v>-1</v>
      </c>
      <c r="D538">
        <v>1</v>
      </c>
      <c r="E538">
        <v>1027</v>
      </c>
      <c r="F538" t="b">
        <v>1</v>
      </c>
      <c r="G538">
        <v>38.844000000000001</v>
      </c>
      <c r="H538">
        <v>28</v>
      </c>
      <c r="I538">
        <v>3</v>
      </c>
      <c r="J538">
        <v>8.0399999999999991</v>
      </c>
      <c r="K538" t="s">
        <v>2240</v>
      </c>
      <c r="L538">
        <v>0</v>
      </c>
      <c r="N538" t="s">
        <v>2241</v>
      </c>
      <c r="O538" t="s">
        <v>2242</v>
      </c>
      <c r="P538" t="s">
        <v>20</v>
      </c>
      <c r="Q538">
        <f>(VALUE(LEFT(SUBSTITUTE(O538,"T"," "),23)) - VALUE(LEFT(SUBSTITUTE(N538,"T"," "),23))) * 86400</f>
        <v>158.77900009509176</v>
      </c>
      <c r="R538">
        <f>I538/G538</f>
        <v>7.723200494284832E-2</v>
      </c>
      <c r="S538">
        <f>H538/G538</f>
        <v>0.72083204613325091</v>
      </c>
    </row>
    <row r="539" spans="1:19" hidden="1" x14ac:dyDescent="0.2">
      <c r="A539">
        <v>58</v>
      </c>
      <c r="B539" t="s">
        <v>16</v>
      </c>
      <c r="C539">
        <v>0</v>
      </c>
      <c r="D539">
        <v>3</v>
      </c>
      <c r="E539">
        <v>1019</v>
      </c>
      <c r="F539" t="b">
        <v>1</v>
      </c>
      <c r="G539">
        <v>70.951999999999998</v>
      </c>
      <c r="H539">
        <v>25</v>
      </c>
      <c r="I539">
        <v>4</v>
      </c>
      <c r="J539">
        <v>1.02</v>
      </c>
      <c r="K539" t="s">
        <v>2162</v>
      </c>
      <c r="L539">
        <v>0</v>
      </c>
      <c r="N539" t="s">
        <v>2163</v>
      </c>
      <c r="O539" t="s">
        <v>2164</v>
      </c>
      <c r="P539" t="s">
        <v>20</v>
      </c>
      <c r="Q539">
        <f>(VALUE(LEFT(SUBSTITUTE(O539,"T"," "),23)) - VALUE(LEFT(SUBSTITUTE(N539,"T"," "),23))) * 86400</f>
        <v>216.2449998781085</v>
      </c>
      <c r="R539">
        <f>I539/G539</f>
        <v>5.6376141616867742E-2</v>
      </c>
      <c r="S539">
        <f>H539/G539</f>
        <v>0.35235088510542339</v>
      </c>
    </row>
    <row r="540" spans="1:19" x14ac:dyDescent="0.2">
      <c r="A540">
        <v>61</v>
      </c>
      <c r="B540" t="s">
        <v>16</v>
      </c>
      <c r="C540">
        <v>2</v>
      </c>
      <c r="D540">
        <v>3</v>
      </c>
      <c r="E540">
        <v>1029</v>
      </c>
      <c r="F540" t="b">
        <v>1</v>
      </c>
      <c r="G540">
        <v>66.12</v>
      </c>
      <c r="H540">
        <v>24</v>
      </c>
      <c r="I540">
        <v>3</v>
      </c>
      <c r="J540">
        <v>1.5</v>
      </c>
      <c r="K540" t="s">
        <v>2413</v>
      </c>
      <c r="L540">
        <v>0</v>
      </c>
      <c r="N540" t="s">
        <v>2414</v>
      </c>
      <c r="O540" t="s">
        <v>2415</v>
      </c>
      <c r="P540" t="s">
        <v>20</v>
      </c>
      <c r="Q540">
        <f>(VALUE(LEFT(SUBSTITUTE(O540,"T"," "),23)) - VALUE(LEFT(SUBSTITUTE(N540,"T"," "),23))) * 86400</f>
        <v>138.41300024650991</v>
      </c>
      <c r="R540">
        <f>I540/G540</f>
        <v>4.5372050816696909E-2</v>
      </c>
      <c r="S540">
        <f>H540/G540</f>
        <v>0.36297640653357527</v>
      </c>
    </row>
    <row r="541" spans="1:19" hidden="1" x14ac:dyDescent="0.2">
      <c r="A541">
        <v>64</v>
      </c>
      <c r="B541" t="s">
        <v>16</v>
      </c>
      <c r="C541">
        <v>5</v>
      </c>
      <c r="D541">
        <v>3</v>
      </c>
      <c r="E541">
        <v>1019</v>
      </c>
      <c r="F541" t="b">
        <v>1</v>
      </c>
      <c r="G541">
        <v>99.691999999999993</v>
      </c>
      <c r="H541">
        <v>24</v>
      </c>
      <c r="I541">
        <v>6</v>
      </c>
      <c r="J541">
        <v>2.88</v>
      </c>
      <c r="K541" t="s">
        <v>2180</v>
      </c>
      <c r="L541">
        <v>0</v>
      </c>
      <c r="N541" t="s">
        <v>2181</v>
      </c>
      <c r="O541" t="s">
        <v>2182</v>
      </c>
      <c r="P541" t="s">
        <v>20</v>
      </c>
      <c r="Q541">
        <f>(VALUE(LEFT(SUBSTITUTE(O541,"T"," "),23)) - VALUE(LEFT(SUBSTITUTE(N541,"T"," "),23))) * 86400</f>
        <v>218.91000000759959</v>
      </c>
      <c r="R541">
        <f>I541/G541</f>
        <v>6.0185370942502911E-2</v>
      </c>
      <c r="S541">
        <f>H541/G541</f>
        <v>0.24074148377001164</v>
      </c>
    </row>
    <row r="542" spans="1:19" hidden="1" x14ac:dyDescent="0.2">
      <c r="A542">
        <v>67</v>
      </c>
      <c r="B542" t="s">
        <v>16</v>
      </c>
      <c r="C542">
        <v>10</v>
      </c>
      <c r="D542">
        <v>3</v>
      </c>
      <c r="E542">
        <v>1019</v>
      </c>
      <c r="F542" t="b">
        <v>1</v>
      </c>
      <c r="G542">
        <v>73.599999999999994</v>
      </c>
      <c r="H542">
        <v>26</v>
      </c>
      <c r="I542">
        <v>4</v>
      </c>
      <c r="J542">
        <v>1.74</v>
      </c>
      <c r="K542" t="s">
        <v>2189</v>
      </c>
      <c r="L542">
        <v>0</v>
      </c>
      <c r="N542" t="s">
        <v>2190</v>
      </c>
      <c r="O542" t="s">
        <v>2191</v>
      </c>
      <c r="P542" t="s">
        <v>20</v>
      </c>
      <c r="Q542">
        <f>(VALUE(LEFT(SUBSTITUTE(O542,"T"," "),23)) - VALUE(LEFT(SUBSTITUTE(N542,"T"," "),23))) * 86400</f>
        <v>149.571000225842</v>
      </c>
      <c r="R542">
        <f>I542/G542</f>
        <v>5.4347826086956527E-2</v>
      </c>
      <c r="S542">
        <f>H542/G542</f>
        <v>0.35326086956521741</v>
      </c>
    </row>
    <row r="543" spans="1:19" hidden="1" x14ac:dyDescent="0.2">
      <c r="A543">
        <v>70</v>
      </c>
      <c r="B543" t="s">
        <v>16</v>
      </c>
      <c r="C543">
        <v>15</v>
      </c>
      <c r="D543">
        <v>3</v>
      </c>
      <c r="E543">
        <v>1019</v>
      </c>
      <c r="F543" t="b">
        <v>1</v>
      </c>
      <c r="G543">
        <v>60.204000000000001</v>
      </c>
      <c r="H543">
        <v>23</v>
      </c>
      <c r="I543">
        <v>5</v>
      </c>
      <c r="J543">
        <v>0.66</v>
      </c>
      <c r="K543" t="s">
        <v>2198</v>
      </c>
      <c r="L543">
        <v>0</v>
      </c>
      <c r="N543" t="s">
        <v>2199</v>
      </c>
      <c r="O543" t="s">
        <v>2200</v>
      </c>
      <c r="P543" t="s">
        <v>20</v>
      </c>
      <c r="Q543">
        <f>(VALUE(LEFT(SUBSTITUTE(O543,"T"," "),23)) - VALUE(LEFT(SUBSTITUTE(N543,"T"," "),23))) * 86400</f>
        <v>217.94200020376593</v>
      </c>
      <c r="R543">
        <f>I543/G543</f>
        <v>8.3050960069098401E-2</v>
      </c>
      <c r="S543">
        <f>H543/G543</f>
        <v>0.38203441631785262</v>
      </c>
    </row>
    <row r="544" spans="1:19" hidden="1" x14ac:dyDescent="0.2">
      <c r="A544">
        <v>73</v>
      </c>
      <c r="B544" t="s">
        <v>16</v>
      </c>
      <c r="C544">
        <v>20</v>
      </c>
      <c r="D544">
        <v>3</v>
      </c>
      <c r="E544">
        <v>1019</v>
      </c>
      <c r="F544" t="b">
        <v>1</v>
      </c>
      <c r="G544">
        <v>56.832000000000001</v>
      </c>
      <c r="H544">
        <v>25</v>
      </c>
      <c r="I544">
        <v>4</v>
      </c>
      <c r="J544">
        <v>0.66</v>
      </c>
      <c r="K544" t="s">
        <v>2207</v>
      </c>
      <c r="L544">
        <v>0</v>
      </c>
      <c r="N544" t="s">
        <v>2208</v>
      </c>
      <c r="O544" t="s">
        <v>2209</v>
      </c>
      <c r="P544" t="s">
        <v>20</v>
      </c>
      <c r="Q544">
        <f>(VALUE(LEFT(SUBSTITUTE(O544,"T"," "),23)) - VALUE(LEFT(SUBSTITUTE(N544,"T"," "),23))) * 86400</f>
        <v>183.93799974583089</v>
      </c>
      <c r="R544">
        <f>I544/G544</f>
        <v>7.0382882882882886E-2</v>
      </c>
      <c r="S544">
        <f>H544/G544</f>
        <v>0.439893018018018</v>
      </c>
    </row>
    <row r="545" spans="1:19" hidden="1" x14ac:dyDescent="0.2">
      <c r="A545">
        <v>76</v>
      </c>
      <c r="B545" t="s">
        <v>16</v>
      </c>
      <c r="C545">
        <v>50</v>
      </c>
      <c r="D545">
        <v>3</v>
      </c>
      <c r="E545">
        <v>1019</v>
      </c>
      <c r="F545" t="b">
        <v>1</v>
      </c>
      <c r="G545">
        <v>80.396000000000001</v>
      </c>
      <c r="H545">
        <v>25</v>
      </c>
      <c r="I545">
        <v>10</v>
      </c>
      <c r="J545">
        <v>1.56</v>
      </c>
      <c r="K545" t="s">
        <v>2216</v>
      </c>
      <c r="L545">
        <v>0</v>
      </c>
      <c r="N545" t="s">
        <v>2217</v>
      </c>
      <c r="O545" t="s">
        <v>2218</v>
      </c>
      <c r="P545" t="s">
        <v>20</v>
      </c>
      <c r="Q545">
        <f>(VALUE(LEFT(SUBSTITUTE(O545,"T"," "),23)) - VALUE(LEFT(SUBSTITUTE(N545,"T"," "),23))) * 86400</f>
        <v>137.24899969529361</v>
      </c>
      <c r="R545">
        <f>I545/G545</f>
        <v>0.12438429772625503</v>
      </c>
      <c r="S545">
        <f>H545/G545</f>
        <v>0.31096074431563758</v>
      </c>
    </row>
    <row r="546" spans="1:19" hidden="1" x14ac:dyDescent="0.2">
      <c r="A546">
        <v>79</v>
      </c>
      <c r="B546" t="s">
        <v>16</v>
      </c>
      <c r="C546">
        <v>70</v>
      </c>
      <c r="D546">
        <v>3</v>
      </c>
      <c r="E546">
        <v>1019</v>
      </c>
      <c r="F546" t="b">
        <v>1</v>
      </c>
      <c r="G546">
        <v>63.567999999999998</v>
      </c>
      <c r="H546">
        <v>23</v>
      </c>
      <c r="I546">
        <v>5</v>
      </c>
      <c r="J546">
        <v>0.84</v>
      </c>
      <c r="K546" t="s">
        <v>2225</v>
      </c>
      <c r="L546">
        <v>0</v>
      </c>
      <c r="N546" t="s">
        <v>2226</v>
      </c>
      <c r="O546" t="s">
        <v>2227</v>
      </c>
      <c r="P546" t="s">
        <v>20</v>
      </c>
      <c r="Q546">
        <f>(VALUE(LEFT(SUBSTITUTE(O546,"T"," "),23)) - VALUE(LEFT(SUBSTITUTE(N546,"T"," "),23))) * 86400</f>
        <v>122.04099968075752</v>
      </c>
      <c r="R546">
        <f>I546/G546</f>
        <v>7.8655927510697207E-2</v>
      </c>
      <c r="S546">
        <f>H546/G546</f>
        <v>0.36181726654920715</v>
      </c>
    </row>
    <row r="547" spans="1:19" hidden="1" x14ac:dyDescent="0.2">
      <c r="A547">
        <v>30</v>
      </c>
      <c r="B547" t="s">
        <v>25</v>
      </c>
      <c r="C547">
        <v>-1</v>
      </c>
      <c r="D547">
        <v>2</v>
      </c>
      <c r="E547">
        <v>1023</v>
      </c>
      <c r="F547" t="b">
        <v>1</v>
      </c>
      <c r="G547">
        <v>40.448</v>
      </c>
      <c r="H547">
        <v>29</v>
      </c>
      <c r="I547">
        <v>7</v>
      </c>
      <c r="J547">
        <v>5.28</v>
      </c>
      <c r="K547" t="s">
        <v>1484</v>
      </c>
      <c r="L547">
        <v>0</v>
      </c>
      <c r="N547" t="s">
        <v>1485</v>
      </c>
      <c r="O547" t="s">
        <v>1486</v>
      </c>
      <c r="P547" t="s">
        <v>20</v>
      </c>
      <c r="Q547">
        <f>(VALUE(LEFT(SUBSTITUTE(O547,"T"," "),23)) - VALUE(LEFT(SUBSTITUTE(N547,"T"," "),23))) * 86400</f>
        <v>178.11899967491627</v>
      </c>
      <c r="R547">
        <f>I547/G547</f>
        <v>0.1730617088607595</v>
      </c>
      <c r="S547">
        <f>H547/G547</f>
        <v>0.71696993670886078</v>
      </c>
    </row>
    <row r="548" spans="1:19" hidden="1" x14ac:dyDescent="0.2">
      <c r="A548">
        <v>5</v>
      </c>
      <c r="B548" t="s">
        <v>21</v>
      </c>
      <c r="C548">
        <v>0</v>
      </c>
      <c r="D548">
        <v>1</v>
      </c>
      <c r="E548">
        <v>1020</v>
      </c>
      <c r="F548" t="b">
        <v>1</v>
      </c>
      <c r="G548">
        <v>73.524000000000001</v>
      </c>
      <c r="H548">
        <v>23</v>
      </c>
      <c r="I548">
        <v>2</v>
      </c>
      <c r="J548">
        <v>1.92</v>
      </c>
      <c r="K548" t="s">
        <v>212</v>
      </c>
      <c r="L548">
        <v>0</v>
      </c>
      <c r="N548" t="s">
        <v>213</v>
      </c>
      <c r="O548" t="s">
        <v>214</v>
      </c>
      <c r="P548" t="s">
        <v>20</v>
      </c>
      <c r="Q548">
        <f>(VALUE(LEFT(SUBSTITUTE(O548,"T"," "),23)) - VALUE(LEFT(SUBSTITUTE(N548,"T"," "),23))) * 86400</f>
        <v>390.11500014457852</v>
      </c>
      <c r="R548">
        <f>I548/G548</f>
        <v>2.7202002067352158E-2</v>
      </c>
      <c r="S548">
        <f>H548/G548</f>
        <v>0.31282302377454979</v>
      </c>
    </row>
    <row r="549" spans="1:19" x14ac:dyDescent="0.2">
      <c r="A549">
        <v>7</v>
      </c>
      <c r="B549" t="s">
        <v>2531</v>
      </c>
      <c r="C549">
        <v>2</v>
      </c>
      <c r="D549">
        <v>2</v>
      </c>
      <c r="E549">
        <v>1016</v>
      </c>
      <c r="F549" t="b">
        <v>1</v>
      </c>
      <c r="G549">
        <v>63.183999999999997</v>
      </c>
      <c r="H549">
        <v>23</v>
      </c>
      <c r="I549">
        <v>0</v>
      </c>
      <c r="J549">
        <v>0</v>
      </c>
      <c r="K549" t="s">
        <v>2934</v>
      </c>
      <c r="L549">
        <v>0</v>
      </c>
      <c r="N549" t="s">
        <v>2935</v>
      </c>
      <c r="O549" t="s">
        <v>2936</v>
      </c>
      <c r="Q549">
        <f>(VALUE(LEFT(SUBSTITUTE(O549,"T"," "),23)) - VALUE(LEFT(SUBSTITUTE(N549,"T"," "),23))) * 86400</f>
        <v>180.87200035806745</v>
      </c>
      <c r="R549">
        <f>I549/G549</f>
        <v>0</v>
      </c>
      <c r="S549">
        <f>H549/G549</f>
        <v>0.36401620663459106</v>
      </c>
    </row>
    <row r="550" spans="1:19" hidden="1" x14ac:dyDescent="0.2">
      <c r="A550">
        <v>11</v>
      </c>
      <c r="B550" t="s">
        <v>21</v>
      </c>
      <c r="C550">
        <v>5</v>
      </c>
      <c r="D550">
        <v>1</v>
      </c>
      <c r="E550">
        <v>1020</v>
      </c>
      <c r="F550" t="b">
        <v>1</v>
      </c>
      <c r="G550">
        <v>75.48</v>
      </c>
      <c r="H550">
        <v>23</v>
      </c>
      <c r="I550">
        <v>4</v>
      </c>
      <c r="J550">
        <v>2.2200000000000002</v>
      </c>
      <c r="K550" t="s">
        <v>230</v>
      </c>
      <c r="L550">
        <v>0</v>
      </c>
      <c r="N550" t="s">
        <v>231</v>
      </c>
      <c r="O550" t="s">
        <v>232</v>
      </c>
      <c r="P550" t="s">
        <v>20</v>
      </c>
      <c r="Q550">
        <f>(VALUE(LEFT(SUBSTITUTE(O550,"T"," "),23)) - VALUE(LEFT(SUBSTITUTE(N550,"T"," "),23))) * 86400</f>
        <v>343.37100014090538</v>
      </c>
      <c r="R550">
        <f>I550/G550</f>
        <v>5.2994170641229459E-2</v>
      </c>
      <c r="S550">
        <f>H550/G550</f>
        <v>0.3047164811870694</v>
      </c>
    </row>
    <row r="551" spans="1:19" hidden="1" x14ac:dyDescent="0.2">
      <c r="A551">
        <v>14</v>
      </c>
      <c r="B551" t="s">
        <v>21</v>
      </c>
      <c r="C551">
        <v>10</v>
      </c>
      <c r="D551">
        <v>1</v>
      </c>
      <c r="E551">
        <v>1020</v>
      </c>
      <c r="F551" t="b">
        <v>1</v>
      </c>
      <c r="G551">
        <v>95.471999999999994</v>
      </c>
      <c r="H551">
        <v>23</v>
      </c>
      <c r="I551">
        <v>6</v>
      </c>
      <c r="J551">
        <v>3.18</v>
      </c>
      <c r="K551" t="s">
        <v>239</v>
      </c>
      <c r="L551">
        <v>0</v>
      </c>
      <c r="N551" t="s">
        <v>240</v>
      </c>
      <c r="O551" t="s">
        <v>241</v>
      </c>
      <c r="P551" t="s">
        <v>20</v>
      </c>
      <c r="Q551">
        <f>(VALUE(LEFT(SUBSTITUTE(O551,"T"," "),23)) - VALUE(LEFT(SUBSTITUTE(N551,"T"," "),23))) * 86400</f>
        <v>438.76199978403747</v>
      </c>
      <c r="R551">
        <f>I551/G551</f>
        <v>6.2845651080945197E-2</v>
      </c>
      <c r="S551">
        <f>H551/G551</f>
        <v>0.24090832914362328</v>
      </c>
    </row>
    <row r="552" spans="1:19" hidden="1" x14ac:dyDescent="0.2">
      <c r="A552">
        <v>17</v>
      </c>
      <c r="B552" t="s">
        <v>21</v>
      </c>
      <c r="C552">
        <v>15</v>
      </c>
      <c r="D552">
        <v>1</v>
      </c>
      <c r="E552">
        <v>1020</v>
      </c>
      <c r="F552" t="b">
        <v>1</v>
      </c>
      <c r="G552">
        <v>68.024000000000001</v>
      </c>
      <c r="H552">
        <v>24</v>
      </c>
      <c r="I552">
        <v>5</v>
      </c>
      <c r="J552">
        <v>2.2200000000000002</v>
      </c>
      <c r="K552" t="s">
        <v>248</v>
      </c>
      <c r="L552">
        <v>0</v>
      </c>
      <c r="N552" t="s">
        <v>249</v>
      </c>
      <c r="O552" t="s">
        <v>250</v>
      </c>
      <c r="P552" t="s">
        <v>20</v>
      </c>
      <c r="Q552">
        <f>(VALUE(LEFT(SUBSTITUTE(O552,"T"," "),23)) - VALUE(LEFT(SUBSTITUTE(N552,"T"," "),23))) * 86400</f>
        <v>318.1400001514703</v>
      </c>
      <c r="R552">
        <f>I552/G552</f>
        <v>7.3503469363753973E-2</v>
      </c>
      <c r="S552">
        <f>H552/G552</f>
        <v>0.35281665294601905</v>
      </c>
    </row>
    <row r="553" spans="1:19" hidden="1" x14ac:dyDescent="0.2">
      <c r="A553">
        <v>20</v>
      </c>
      <c r="B553" t="s">
        <v>21</v>
      </c>
      <c r="C553">
        <v>20</v>
      </c>
      <c r="D553">
        <v>1</v>
      </c>
      <c r="E553">
        <v>1020</v>
      </c>
      <c r="F553" t="b">
        <v>1</v>
      </c>
      <c r="G553">
        <v>55.723999999999997</v>
      </c>
      <c r="H553">
        <v>23</v>
      </c>
      <c r="I553">
        <v>6</v>
      </c>
      <c r="J553">
        <v>2.2799999999999998</v>
      </c>
      <c r="K553" t="s">
        <v>257</v>
      </c>
      <c r="L553">
        <v>0</v>
      </c>
      <c r="N553" t="s">
        <v>258</v>
      </c>
      <c r="O553" t="s">
        <v>259</v>
      </c>
      <c r="P553" t="s">
        <v>20</v>
      </c>
      <c r="Q553">
        <f>(VALUE(LEFT(SUBSTITUTE(O553,"T"," "),23)) - VALUE(LEFT(SUBSTITUTE(N553,"T"," "),23))) * 86400</f>
        <v>262.27799991611391</v>
      </c>
      <c r="R553">
        <f>I553/G553</f>
        <v>0.10767353384538081</v>
      </c>
      <c r="S553">
        <f>H553/G553</f>
        <v>0.41274854640729314</v>
      </c>
    </row>
    <row r="554" spans="1:19" hidden="1" x14ac:dyDescent="0.2">
      <c r="A554">
        <v>23</v>
      </c>
      <c r="B554" t="s">
        <v>21</v>
      </c>
      <c r="C554">
        <v>50</v>
      </c>
      <c r="D554">
        <v>1</v>
      </c>
      <c r="E554">
        <v>1020</v>
      </c>
      <c r="F554" t="b">
        <v>1</v>
      </c>
      <c r="G554">
        <v>91.644000000000005</v>
      </c>
      <c r="H554">
        <v>24</v>
      </c>
      <c r="I554">
        <v>11</v>
      </c>
      <c r="J554">
        <v>3.3</v>
      </c>
      <c r="K554" t="s">
        <v>266</v>
      </c>
      <c r="L554">
        <v>0</v>
      </c>
      <c r="N554" t="s">
        <v>267</v>
      </c>
      <c r="O554" t="s">
        <v>268</v>
      </c>
      <c r="P554" t="s">
        <v>20</v>
      </c>
      <c r="Q554">
        <f>(VALUE(LEFT(SUBSTITUTE(O554,"T"," "),23)) - VALUE(LEFT(SUBSTITUTE(N554,"T"," "),23))) * 86400</f>
        <v>402.92099963407964</v>
      </c>
      <c r="R554">
        <f>I554/G554</f>
        <v>0.12002968006634367</v>
      </c>
      <c r="S554">
        <f>H554/G554</f>
        <v>0.261882938326568</v>
      </c>
    </row>
    <row r="555" spans="1:19" hidden="1" x14ac:dyDescent="0.2">
      <c r="A555">
        <v>26</v>
      </c>
      <c r="B555" t="s">
        <v>21</v>
      </c>
      <c r="C555">
        <v>70</v>
      </c>
      <c r="D555">
        <v>1</v>
      </c>
      <c r="E555">
        <v>1020</v>
      </c>
      <c r="F555" t="b">
        <v>1</v>
      </c>
      <c r="G555">
        <v>80.536000000000001</v>
      </c>
      <c r="H555">
        <v>26</v>
      </c>
      <c r="I555">
        <v>15</v>
      </c>
      <c r="J555">
        <v>4.4400000000000004</v>
      </c>
      <c r="K555" t="s">
        <v>275</v>
      </c>
      <c r="L555">
        <v>0</v>
      </c>
      <c r="N555" t="s">
        <v>276</v>
      </c>
      <c r="O555" t="s">
        <v>277</v>
      </c>
      <c r="P555" t="s">
        <v>20</v>
      </c>
      <c r="Q555">
        <f>(VALUE(LEFT(SUBSTITUTE(O555,"T"," "),23)) - VALUE(LEFT(SUBSTITUTE(N555,"T"," "),23))) * 86400</f>
        <v>316.08099967706949</v>
      </c>
      <c r="R555">
        <f>I555/G555</f>
        <v>0.18625211085725638</v>
      </c>
      <c r="S555">
        <f>H555/G555</f>
        <v>0.32283699215257772</v>
      </c>
    </row>
    <row r="556" spans="1:19" hidden="1" x14ac:dyDescent="0.2">
      <c r="A556">
        <v>29</v>
      </c>
      <c r="B556" t="s">
        <v>21</v>
      </c>
      <c r="C556">
        <v>100</v>
      </c>
      <c r="D556">
        <v>1</v>
      </c>
      <c r="E556">
        <v>1020</v>
      </c>
      <c r="F556" t="b">
        <v>1</v>
      </c>
      <c r="G556">
        <v>60.595999999999997</v>
      </c>
      <c r="H556">
        <v>23</v>
      </c>
      <c r="I556">
        <v>6</v>
      </c>
      <c r="J556">
        <v>2.76</v>
      </c>
      <c r="K556" t="s">
        <v>284</v>
      </c>
      <c r="L556">
        <v>0</v>
      </c>
      <c r="N556" t="s">
        <v>285</v>
      </c>
      <c r="O556" t="s">
        <v>286</v>
      </c>
      <c r="P556" t="s">
        <v>20</v>
      </c>
      <c r="Q556">
        <f>(VALUE(LEFT(SUBSTITUTE(O556,"T"," "),23)) - VALUE(LEFT(SUBSTITUTE(N556,"T"," "),23))) * 86400</f>
        <v>123.39300024323165</v>
      </c>
      <c r="R556">
        <f>I556/G556</f>
        <v>9.9016436728496943E-2</v>
      </c>
      <c r="S556">
        <f>H556/G556</f>
        <v>0.37956300745923827</v>
      </c>
    </row>
    <row r="557" spans="1:19" hidden="1" x14ac:dyDescent="0.2">
      <c r="A557">
        <v>11</v>
      </c>
      <c r="B557" t="s">
        <v>3413</v>
      </c>
      <c r="C557">
        <v>-1</v>
      </c>
      <c r="D557">
        <v>6</v>
      </c>
      <c r="E557">
        <v>1025</v>
      </c>
      <c r="F557" t="b">
        <v>1</v>
      </c>
      <c r="G557">
        <v>36.332000000000001</v>
      </c>
      <c r="H557">
        <v>26</v>
      </c>
      <c r="I557">
        <v>4</v>
      </c>
      <c r="J557">
        <v>1.5</v>
      </c>
      <c r="K557" t="s">
        <v>3114</v>
      </c>
      <c r="L557">
        <v>0</v>
      </c>
      <c r="N557" t="s">
        <v>3115</v>
      </c>
      <c r="O557" t="s">
        <v>3116</v>
      </c>
      <c r="P557" t="s">
        <v>20</v>
      </c>
      <c r="Q557">
        <f>(VALUE(LEFT(SUBSTITUTE(O557,"T"," "),23)) - VALUE(LEFT(SUBSTITUTE(N557,"T"," "),23))) * 86400</f>
        <v>156.20500040240586</v>
      </c>
      <c r="R557">
        <f>I557/G557</f>
        <v>0.1100957833314984</v>
      </c>
      <c r="S557">
        <f>H557/G557</f>
        <v>0.71562259165473963</v>
      </c>
    </row>
    <row r="558" spans="1:19" hidden="1" x14ac:dyDescent="0.2">
      <c r="A558">
        <v>6</v>
      </c>
      <c r="B558" t="s">
        <v>25</v>
      </c>
      <c r="C558">
        <v>0</v>
      </c>
      <c r="D558">
        <v>1</v>
      </c>
      <c r="E558">
        <v>1020</v>
      </c>
      <c r="F558" t="b">
        <v>1</v>
      </c>
      <c r="G558">
        <v>58.44</v>
      </c>
      <c r="H558">
        <v>30</v>
      </c>
      <c r="I558">
        <v>1</v>
      </c>
      <c r="J558">
        <v>0.78</v>
      </c>
      <c r="K558" t="s">
        <v>215</v>
      </c>
      <c r="L558">
        <v>0</v>
      </c>
      <c r="N558" t="s">
        <v>216</v>
      </c>
      <c r="O558" t="s">
        <v>217</v>
      </c>
      <c r="P558" t="s">
        <v>20</v>
      </c>
      <c r="Q558">
        <f>(VALUE(LEFT(SUBSTITUTE(O558,"T"," "),23)) - VALUE(LEFT(SUBSTITUTE(N558,"T"," "),23))) * 86400</f>
        <v>218.24099966324866</v>
      </c>
      <c r="R558">
        <f>I558/G558</f>
        <v>1.7111567419575632E-2</v>
      </c>
      <c r="S558">
        <f>H558/G558</f>
        <v>0.51334702258726905</v>
      </c>
    </row>
    <row r="559" spans="1:19" x14ac:dyDescent="0.2">
      <c r="A559">
        <v>5</v>
      </c>
      <c r="B559" t="s">
        <v>2531</v>
      </c>
      <c r="C559">
        <v>2</v>
      </c>
      <c r="D559">
        <v>1</v>
      </c>
      <c r="E559">
        <v>1010</v>
      </c>
      <c r="F559" t="b">
        <v>1</v>
      </c>
      <c r="G559">
        <v>74.891999999999996</v>
      </c>
      <c r="H559">
        <v>28</v>
      </c>
      <c r="I559">
        <v>2</v>
      </c>
      <c r="J559">
        <v>0.3</v>
      </c>
      <c r="K559" t="s">
        <v>2664</v>
      </c>
      <c r="L559">
        <v>0</v>
      </c>
      <c r="N559" t="s">
        <v>2665</v>
      </c>
      <c r="O559" t="s">
        <v>2666</v>
      </c>
      <c r="P559" t="s">
        <v>20</v>
      </c>
      <c r="Q559">
        <f>(VALUE(LEFT(SUBSTITUTE(O559,"T"," "),23)) - VALUE(LEFT(SUBSTITUTE(N559,"T"," "),23))) * 86400</f>
        <v>446.8240002868697</v>
      </c>
      <c r="R559">
        <f>I559/G559</f>
        <v>2.6705122042407735E-2</v>
      </c>
      <c r="S559">
        <f>H559/G559</f>
        <v>0.37387170859370827</v>
      </c>
    </row>
    <row r="560" spans="1:19" hidden="1" x14ac:dyDescent="0.2">
      <c r="A560">
        <v>12</v>
      </c>
      <c r="B560" t="s">
        <v>25</v>
      </c>
      <c r="C560">
        <v>5</v>
      </c>
      <c r="D560">
        <v>1</v>
      </c>
      <c r="E560">
        <v>1020</v>
      </c>
      <c r="F560" t="b">
        <v>1</v>
      </c>
      <c r="G560">
        <v>55.076000000000001</v>
      </c>
      <c r="H560">
        <v>31</v>
      </c>
      <c r="I560">
        <v>0</v>
      </c>
      <c r="J560">
        <v>0</v>
      </c>
      <c r="K560" t="s">
        <v>233</v>
      </c>
      <c r="L560">
        <v>0</v>
      </c>
      <c r="N560" t="s">
        <v>234</v>
      </c>
      <c r="O560" t="s">
        <v>235</v>
      </c>
      <c r="P560" t="s">
        <v>20</v>
      </c>
      <c r="Q560">
        <f>(VALUE(LEFT(SUBSTITUTE(O560,"T"," "),23)) - VALUE(LEFT(SUBSTITUTE(N560,"T"," "),23))) * 86400</f>
        <v>285.83700007293373</v>
      </c>
      <c r="R560">
        <f>I560/G560</f>
        <v>0</v>
      </c>
      <c r="S560">
        <f>H560/G560</f>
        <v>0.56285859539545358</v>
      </c>
    </row>
    <row r="561" spans="1:19" hidden="1" x14ac:dyDescent="0.2">
      <c r="A561">
        <v>15</v>
      </c>
      <c r="B561" t="s">
        <v>25</v>
      </c>
      <c r="C561">
        <v>10</v>
      </c>
      <c r="D561">
        <v>1</v>
      </c>
      <c r="E561">
        <v>1020</v>
      </c>
      <c r="F561" t="b">
        <v>1</v>
      </c>
      <c r="G561">
        <v>42.872</v>
      </c>
      <c r="H561">
        <v>28</v>
      </c>
      <c r="I561">
        <v>2</v>
      </c>
      <c r="J561">
        <v>0.3</v>
      </c>
      <c r="K561" t="s">
        <v>242</v>
      </c>
      <c r="L561">
        <v>0</v>
      </c>
      <c r="N561" t="s">
        <v>243</v>
      </c>
      <c r="O561" t="s">
        <v>244</v>
      </c>
      <c r="P561" t="s">
        <v>20</v>
      </c>
      <c r="Q561">
        <f>(VALUE(LEFT(SUBSTITUTE(O561,"T"," "),23)) - VALUE(LEFT(SUBSTITUTE(N561,"T"," "),23))) * 86400</f>
        <v>197.85100012086332</v>
      </c>
      <c r="R561">
        <f>I561/G561</f>
        <v>4.6650494495241647E-2</v>
      </c>
      <c r="S561">
        <f>H561/G561</f>
        <v>0.65310692293338313</v>
      </c>
    </row>
    <row r="562" spans="1:19" hidden="1" x14ac:dyDescent="0.2">
      <c r="A562">
        <v>18</v>
      </c>
      <c r="B562" t="s">
        <v>25</v>
      </c>
      <c r="C562">
        <v>15</v>
      </c>
      <c r="D562">
        <v>1</v>
      </c>
      <c r="E562">
        <v>1020</v>
      </c>
      <c r="F562" t="b">
        <v>1</v>
      </c>
      <c r="G562">
        <v>60.323999999999998</v>
      </c>
      <c r="H562">
        <v>30</v>
      </c>
      <c r="I562">
        <v>3</v>
      </c>
      <c r="J562">
        <v>0.48</v>
      </c>
      <c r="K562" t="s">
        <v>251</v>
      </c>
      <c r="L562">
        <v>0</v>
      </c>
      <c r="N562" t="s">
        <v>252</v>
      </c>
      <c r="O562" t="s">
        <v>253</v>
      </c>
      <c r="P562" t="s">
        <v>20</v>
      </c>
      <c r="Q562">
        <f>(VALUE(LEFT(SUBSTITUTE(O562,"T"," "),23)) - VALUE(LEFT(SUBSTITUTE(N562,"T"," "),23))) * 86400</f>
        <v>265.00899998936802</v>
      </c>
      <c r="R562">
        <f>I562/G562</f>
        <v>4.9731450169086935E-2</v>
      </c>
      <c r="S562">
        <f>H562/G562</f>
        <v>0.49731450169086933</v>
      </c>
    </row>
    <row r="563" spans="1:19" hidden="1" x14ac:dyDescent="0.2">
      <c r="A563">
        <v>21</v>
      </c>
      <c r="B563" t="s">
        <v>25</v>
      </c>
      <c r="C563">
        <v>20</v>
      </c>
      <c r="D563">
        <v>1</v>
      </c>
      <c r="E563">
        <v>1020</v>
      </c>
      <c r="F563" t="b">
        <v>1</v>
      </c>
      <c r="G563">
        <v>44.244</v>
      </c>
      <c r="H563">
        <v>30</v>
      </c>
      <c r="I563">
        <v>2</v>
      </c>
      <c r="J563">
        <v>0.3</v>
      </c>
      <c r="K563" t="s">
        <v>260</v>
      </c>
      <c r="L563">
        <v>0</v>
      </c>
      <c r="N563" t="s">
        <v>261</v>
      </c>
      <c r="O563" t="s">
        <v>262</v>
      </c>
      <c r="P563" t="s">
        <v>20</v>
      </c>
      <c r="Q563">
        <f>(VALUE(LEFT(SUBSTITUTE(O563,"T"," "),23)) - VALUE(LEFT(SUBSTITUTE(N563,"T"," "),23))) * 86400</f>
        <v>177.28500009980053</v>
      </c>
      <c r="R563">
        <f>I563/G563</f>
        <v>4.5203869451225023E-2</v>
      </c>
      <c r="S563">
        <f>H563/G563</f>
        <v>0.67805804176837536</v>
      </c>
    </row>
    <row r="564" spans="1:19" hidden="1" x14ac:dyDescent="0.2">
      <c r="A564">
        <v>24</v>
      </c>
      <c r="B564" t="s">
        <v>25</v>
      </c>
      <c r="C564">
        <v>50</v>
      </c>
      <c r="D564">
        <v>1</v>
      </c>
      <c r="E564">
        <v>1020</v>
      </c>
      <c r="F564" t="b">
        <v>1</v>
      </c>
      <c r="G564">
        <v>47.212000000000003</v>
      </c>
      <c r="H564">
        <v>31</v>
      </c>
      <c r="I564">
        <v>5</v>
      </c>
      <c r="J564">
        <v>1.74</v>
      </c>
      <c r="K564" t="s">
        <v>269</v>
      </c>
      <c r="L564">
        <v>0</v>
      </c>
      <c r="N564" t="s">
        <v>270</v>
      </c>
      <c r="O564" t="s">
        <v>271</v>
      </c>
      <c r="P564" t="s">
        <v>20</v>
      </c>
      <c r="Q564">
        <f>(VALUE(LEFT(SUBSTITUTE(O564,"T"," "),23)) - VALUE(LEFT(SUBSTITUTE(N564,"T"," "),23))) * 86400</f>
        <v>166.53000034857541</v>
      </c>
      <c r="R564">
        <f>I564/G564</f>
        <v>0.10590527831907141</v>
      </c>
      <c r="S564">
        <f>H564/G564</f>
        <v>0.6566127255782428</v>
      </c>
    </row>
    <row r="565" spans="1:19" hidden="1" x14ac:dyDescent="0.2">
      <c r="A565">
        <v>27</v>
      </c>
      <c r="B565" t="s">
        <v>25</v>
      </c>
      <c r="C565">
        <v>70</v>
      </c>
      <c r="D565">
        <v>1</v>
      </c>
      <c r="E565">
        <v>1020</v>
      </c>
      <c r="F565" t="b">
        <v>1</v>
      </c>
      <c r="G565">
        <v>48.103999999999999</v>
      </c>
      <c r="H565">
        <v>26</v>
      </c>
      <c r="I565">
        <v>7</v>
      </c>
      <c r="J565">
        <v>1.56</v>
      </c>
      <c r="K565" t="s">
        <v>278</v>
      </c>
      <c r="L565">
        <v>0</v>
      </c>
      <c r="N565" t="s">
        <v>279</v>
      </c>
      <c r="O565" t="s">
        <v>280</v>
      </c>
      <c r="P565" t="s">
        <v>20</v>
      </c>
      <c r="Q565">
        <f>(VALUE(LEFT(SUBSTITUTE(O565,"T"," "),23)) - VALUE(LEFT(SUBSTITUTE(N565,"T"," "),23))) * 86400</f>
        <v>133.63800037186593</v>
      </c>
      <c r="R565">
        <f>I565/G565</f>
        <v>0.14551804423748546</v>
      </c>
      <c r="S565">
        <f>H565/G565</f>
        <v>0.54049559288208882</v>
      </c>
    </row>
    <row r="566" spans="1:19" hidden="1" x14ac:dyDescent="0.2">
      <c r="A566">
        <v>30</v>
      </c>
      <c r="B566" t="s">
        <v>25</v>
      </c>
      <c r="C566">
        <v>100</v>
      </c>
      <c r="D566">
        <v>1</v>
      </c>
      <c r="E566">
        <v>1020</v>
      </c>
      <c r="F566" t="b">
        <v>1</v>
      </c>
      <c r="G566">
        <v>47.975999999999999</v>
      </c>
      <c r="H566">
        <v>26</v>
      </c>
      <c r="I566">
        <v>7</v>
      </c>
      <c r="J566">
        <v>1.56</v>
      </c>
      <c r="K566" t="s">
        <v>287</v>
      </c>
      <c r="L566">
        <v>0</v>
      </c>
      <c r="N566" t="s">
        <v>288</v>
      </c>
      <c r="O566" t="s">
        <v>289</v>
      </c>
      <c r="P566" t="s">
        <v>20</v>
      </c>
      <c r="Q566">
        <f>(VALUE(LEFT(SUBSTITUTE(O566,"T"," "),23)) - VALUE(LEFT(SUBSTITUTE(N566,"T"," "),23))) * 86400</f>
        <v>68.336000293493271</v>
      </c>
      <c r="R566">
        <f>I566/G566</f>
        <v>0.14590628647657161</v>
      </c>
      <c r="S566">
        <f>H566/G566</f>
        <v>0.54193763548440888</v>
      </c>
    </row>
    <row r="567" spans="1:19" hidden="1" x14ac:dyDescent="0.2">
      <c r="A567">
        <v>30</v>
      </c>
      <c r="B567" t="s">
        <v>25</v>
      </c>
      <c r="C567">
        <v>-1</v>
      </c>
      <c r="D567">
        <v>2</v>
      </c>
      <c r="E567">
        <v>1003</v>
      </c>
      <c r="F567" t="b">
        <v>1</v>
      </c>
      <c r="G567">
        <v>42.036000000000001</v>
      </c>
      <c r="H567">
        <v>30</v>
      </c>
      <c r="I567">
        <v>4</v>
      </c>
      <c r="J567">
        <v>2.52</v>
      </c>
      <c r="K567" t="s">
        <v>620</v>
      </c>
      <c r="L567">
        <v>0</v>
      </c>
      <c r="N567" t="s">
        <v>621</v>
      </c>
      <c r="O567" t="s">
        <v>622</v>
      </c>
      <c r="P567" t="s">
        <v>20</v>
      </c>
      <c r="Q567">
        <f>(VALUE(LEFT(SUBSTITUTE(O567,"T"," "),23)) - VALUE(LEFT(SUBSTITUTE(N567,"T"," "),23))) * 86400</f>
        <v>161.83899971656501</v>
      </c>
      <c r="R567">
        <f>I567/G567</f>
        <v>9.5156532495955848E-2</v>
      </c>
      <c r="S567">
        <f>H567/G567</f>
        <v>0.71367399371966889</v>
      </c>
    </row>
    <row r="568" spans="1:19" hidden="1" x14ac:dyDescent="0.2">
      <c r="A568">
        <v>4</v>
      </c>
      <c r="B568" t="s">
        <v>16</v>
      </c>
      <c r="C568">
        <v>0</v>
      </c>
      <c r="D568">
        <v>1</v>
      </c>
      <c r="E568">
        <v>1020</v>
      </c>
      <c r="F568" t="b">
        <v>1</v>
      </c>
      <c r="G568">
        <v>62.072000000000003</v>
      </c>
      <c r="H568">
        <v>29</v>
      </c>
      <c r="I568">
        <v>1</v>
      </c>
      <c r="J568">
        <v>0.6</v>
      </c>
      <c r="K568" t="s">
        <v>209</v>
      </c>
      <c r="L568">
        <v>0</v>
      </c>
      <c r="N568" t="s">
        <v>210</v>
      </c>
      <c r="O568" t="s">
        <v>211</v>
      </c>
      <c r="P568" t="s">
        <v>20</v>
      </c>
      <c r="Q568">
        <f>(VALUE(LEFT(SUBSTITUTE(O568,"T"," "),23)) - VALUE(LEFT(SUBSTITUTE(N568,"T"," "),23))) * 86400</f>
        <v>311.15799969993532</v>
      </c>
      <c r="R568">
        <f>I568/G568</f>
        <v>1.6110323495295786E-2</v>
      </c>
      <c r="S568">
        <f>H568/G568</f>
        <v>0.46719938136357775</v>
      </c>
    </row>
    <row r="569" spans="1:19" x14ac:dyDescent="0.2">
      <c r="A569">
        <v>9</v>
      </c>
      <c r="B569" t="s">
        <v>25</v>
      </c>
      <c r="C569">
        <v>2</v>
      </c>
      <c r="D569">
        <v>1</v>
      </c>
      <c r="E569">
        <v>1022</v>
      </c>
      <c r="F569" t="b">
        <v>1</v>
      </c>
      <c r="G569">
        <v>56.048000000000002</v>
      </c>
      <c r="H569">
        <v>21</v>
      </c>
      <c r="I569">
        <v>5</v>
      </c>
      <c r="J569">
        <v>1.44</v>
      </c>
      <c r="K569" t="s">
        <v>1421</v>
      </c>
      <c r="L569">
        <v>0</v>
      </c>
      <c r="N569" t="s">
        <v>1422</v>
      </c>
      <c r="O569" t="s">
        <v>1423</v>
      </c>
      <c r="P569" t="s">
        <v>20</v>
      </c>
      <c r="Q569">
        <f>(VALUE(LEFT(SUBSTITUTE(O569,"T"," "),23)) - VALUE(LEFT(SUBSTITUTE(N569,"T"," "),23))) * 86400</f>
        <v>160.34100002143532</v>
      </c>
      <c r="R569">
        <f>I569/G569</f>
        <v>8.9209249214958611E-2</v>
      </c>
      <c r="S569">
        <f>H569/G569</f>
        <v>0.37467884670282614</v>
      </c>
    </row>
    <row r="570" spans="1:19" hidden="1" x14ac:dyDescent="0.2">
      <c r="A570">
        <v>10</v>
      </c>
      <c r="B570" t="s">
        <v>16</v>
      </c>
      <c r="C570">
        <v>5</v>
      </c>
      <c r="D570">
        <v>1</v>
      </c>
      <c r="E570">
        <v>1020</v>
      </c>
      <c r="F570" t="b">
        <v>1</v>
      </c>
      <c r="G570">
        <v>89.48</v>
      </c>
      <c r="H570">
        <v>29</v>
      </c>
      <c r="I570">
        <v>1</v>
      </c>
      <c r="J570">
        <v>0.06</v>
      </c>
      <c r="K570" t="s">
        <v>227</v>
      </c>
      <c r="L570">
        <v>0</v>
      </c>
      <c r="N570" t="s">
        <v>228</v>
      </c>
      <c r="O570" t="s">
        <v>229</v>
      </c>
      <c r="P570" t="s">
        <v>20</v>
      </c>
      <c r="Q570">
        <f>(VALUE(LEFT(SUBSTITUTE(O570,"T"," "),23)) - VALUE(LEFT(SUBSTITUTE(N570,"T"," "),23))) * 86400</f>
        <v>323.01599965430796</v>
      </c>
      <c r="R570">
        <f>I570/G570</f>
        <v>1.1175681716584712E-2</v>
      </c>
      <c r="S570">
        <f>H570/G570</f>
        <v>0.32409476978095664</v>
      </c>
    </row>
    <row r="571" spans="1:19" hidden="1" x14ac:dyDescent="0.2">
      <c r="A571">
        <v>13</v>
      </c>
      <c r="B571" t="s">
        <v>16</v>
      </c>
      <c r="C571">
        <v>10</v>
      </c>
      <c r="D571">
        <v>1</v>
      </c>
      <c r="E571">
        <v>1020</v>
      </c>
      <c r="F571" t="b">
        <v>1</v>
      </c>
      <c r="G571">
        <v>89.2</v>
      </c>
      <c r="H571">
        <v>29</v>
      </c>
      <c r="I571">
        <v>2</v>
      </c>
      <c r="J571">
        <v>0.54</v>
      </c>
      <c r="K571" t="s">
        <v>236</v>
      </c>
      <c r="L571">
        <v>0</v>
      </c>
      <c r="N571" t="s">
        <v>237</v>
      </c>
      <c r="O571" t="s">
        <v>238</v>
      </c>
      <c r="P571" t="s">
        <v>20</v>
      </c>
      <c r="Q571">
        <f>(VALUE(LEFT(SUBSTITUTE(O571,"T"," "),23)) - VALUE(LEFT(SUBSTITUTE(N571,"T"," "),23))) * 86400</f>
        <v>377.08899958524853</v>
      </c>
      <c r="R571">
        <f>I571/G571</f>
        <v>2.2421524663677129E-2</v>
      </c>
      <c r="S571">
        <f>H571/G571</f>
        <v>0.32511210762331838</v>
      </c>
    </row>
    <row r="572" spans="1:19" hidden="1" x14ac:dyDescent="0.2">
      <c r="A572">
        <v>16</v>
      </c>
      <c r="B572" t="s">
        <v>16</v>
      </c>
      <c r="C572">
        <v>15</v>
      </c>
      <c r="D572">
        <v>1</v>
      </c>
      <c r="E572">
        <v>1020</v>
      </c>
      <c r="F572" t="b">
        <v>1</v>
      </c>
      <c r="G572">
        <v>93.123999999999995</v>
      </c>
      <c r="H572">
        <v>29</v>
      </c>
      <c r="I572">
        <v>15</v>
      </c>
      <c r="J572">
        <v>2.52</v>
      </c>
      <c r="K572" t="s">
        <v>245</v>
      </c>
      <c r="L572">
        <v>0</v>
      </c>
      <c r="N572" t="s">
        <v>246</v>
      </c>
      <c r="O572" t="s">
        <v>247</v>
      </c>
      <c r="P572" t="s">
        <v>20</v>
      </c>
      <c r="Q572">
        <f>(VALUE(LEFT(SUBSTITUTE(O572,"T"," "),23)) - VALUE(LEFT(SUBSTITUTE(N572,"T"," "),23))) * 86400</f>
        <v>388.53099960833788</v>
      </c>
      <c r="R572">
        <f>I572/G572</f>
        <v>0.16107555517374683</v>
      </c>
      <c r="S572">
        <f>H572/G572</f>
        <v>0.31141274000257724</v>
      </c>
    </row>
    <row r="573" spans="1:19" hidden="1" x14ac:dyDescent="0.2">
      <c r="A573">
        <v>19</v>
      </c>
      <c r="B573" t="s">
        <v>16</v>
      </c>
      <c r="C573">
        <v>20</v>
      </c>
      <c r="D573">
        <v>1</v>
      </c>
      <c r="E573">
        <v>1020</v>
      </c>
      <c r="F573" t="b">
        <v>1</v>
      </c>
      <c r="G573">
        <v>111.884</v>
      </c>
      <c r="H573">
        <v>29</v>
      </c>
      <c r="I573">
        <v>13</v>
      </c>
      <c r="J573">
        <v>2.2799999999999998</v>
      </c>
      <c r="K573" t="s">
        <v>254</v>
      </c>
      <c r="L573">
        <v>0</v>
      </c>
      <c r="N573" t="s">
        <v>255</v>
      </c>
      <c r="O573" t="s">
        <v>256</v>
      </c>
      <c r="P573" t="s">
        <v>20</v>
      </c>
      <c r="Q573">
        <f>(VALUE(LEFT(SUBSTITUTE(O573,"T"," "),23)) - VALUE(LEFT(SUBSTITUTE(N573,"T"," "),23))) * 86400</f>
        <v>465.52299989853054</v>
      </c>
      <c r="R573">
        <f>I573/G573</f>
        <v>0.11619177004754924</v>
      </c>
      <c r="S573">
        <f>H573/G573</f>
        <v>0.25919702549068679</v>
      </c>
    </row>
    <row r="574" spans="1:19" hidden="1" x14ac:dyDescent="0.2">
      <c r="A574">
        <v>22</v>
      </c>
      <c r="B574" t="s">
        <v>16</v>
      </c>
      <c r="C574">
        <v>50</v>
      </c>
      <c r="D574">
        <v>1</v>
      </c>
      <c r="E574">
        <v>1020</v>
      </c>
      <c r="F574" t="b">
        <v>1</v>
      </c>
      <c r="G574">
        <v>85.543999999999997</v>
      </c>
      <c r="H574">
        <v>30</v>
      </c>
      <c r="I574">
        <v>6</v>
      </c>
      <c r="J574">
        <v>1.08</v>
      </c>
      <c r="K574" t="s">
        <v>263</v>
      </c>
      <c r="L574">
        <v>0</v>
      </c>
      <c r="N574" t="s">
        <v>264</v>
      </c>
      <c r="O574" t="s">
        <v>265</v>
      </c>
      <c r="P574" t="s">
        <v>20</v>
      </c>
      <c r="Q574">
        <f>(VALUE(LEFT(SUBSTITUTE(O574,"T"," "),23)) - VALUE(LEFT(SUBSTITUTE(N574,"T"," "),23))) * 86400</f>
        <v>332.93100006412715</v>
      </c>
      <c r="R574">
        <f>I574/G574</f>
        <v>7.0139343495744882E-2</v>
      </c>
      <c r="S574">
        <f>H574/G574</f>
        <v>0.35069671747872438</v>
      </c>
    </row>
    <row r="575" spans="1:19" hidden="1" x14ac:dyDescent="0.2">
      <c r="A575">
        <v>25</v>
      </c>
      <c r="B575" t="s">
        <v>16</v>
      </c>
      <c r="C575">
        <v>70</v>
      </c>
      <c r="D575">
        <v>1</v>
      </c>
      <c r="E575">
        <v>1020</v>
      </c>
      <c r="F575" t="b">
        <v>1</v>
      </c>
      <c r="G575">
        <v>89.695999999999998</v>
      </c>
      <c r="H575">
        <v>30</v>
      </c>
      <c r="I575">
        <v>14</v>
      </c>
      <c r="J575">
        <v>1.86</v>
      </c>
      <c r="K575" t="s">
        <v>272</v>
      </c>
      <c r="L575">
        <v>0</v>
      </c>
      <c r="N575" t="s">
        <v>273</v>
      </c>
      <c r="O575" t="s">
        <v>274</v>
      </c>
      <c r="P575" t="s">
        <v>20</v>
      </c>
      <c r="Q575">
        <f>(VALUE(LEFT(SUBSTITUTE(O575,"T"," "),23)) - VALUE(LEFT(SUBSTITUTE(N575,"T"," "),23))) * 86400</f>
        <v>430.64800046849996</v>
      </c>
      <c r="R575">
        <f>I575/G575</f>
        <v>0.15608276846236177</v>
      </c>
      <c r="S575">
        <f>H575/G575</f>
        <v>0.3344630752764895</v>
      </c>
    </row>
    <row r="576" spans="1:19" hidden="1" x14ac:dyDescent="0.2">
      <c r="A576">
        <v>28</v>
      </c>
      <c r="B576" t="s">
        <v>16</v>
      </c>
      <c r="C576">
        <v>100</v>
      </c>
      <c r="D576">
        <v>1</v>
      </c>
      <c r="E576">
        <v>1020</v>
      </c>
      <c r="F576" t="b">
        <v>1</v>
      </c>
      <c r="G576">
        <v>89.756</v>
      </c>
      <c r="H576">
        <v>30</v>
      </c>
      <c r="I576">
        <v>14</v>
      </c>
      <c r="J576">
        <v>1.92</v>
      </c>
      <c r="K576" t="s">
        <v>281</v>
      </c>
      <c r="L576">
        <v>0</v>
      </c>
      <c r="N576" t="s">
        <v>282</v>
      </c>
      <c r="O576" t="s">
        <v>283</v>
      </c>
      <c r="P576" t="s">
        <v>20</v>
      </c>
      <c r="Q576">
        <f>(VALUE(LEFT(SUBSTITUTE(O576,"T"," "),23)) - VALUE(LEFT(SUBSTITUTE(N576,"T"," "),23))) * 86400</f>
        <v>120.17399989999831</v>
      </c>
      <c r="R576">
        <f>I576/G576</f>
        <v>0.15597843041133741</v>
      </c>
      <c r="S576">
        <f>H576/G576</f>
        <v>0.33423949373858014</v>
      </c>
    </row>
    <row r="577" spans="1:19" hidden="1" x14ac:dyDescent="0.2">
      <c r="A577">
        <v>15</v>
      </c>
      <c r="B577" t="s">
        <v>3413</v>
      </c>
      <c r="C577">
        <v>-1</v>
      </c>
      <c r="D577">
        <v>8</v>
      </c>
      <c r="E577">
        <v>1017</v>
      </c>
      <c r="F577" t="b">
        <v>1</v>
      </c>
      <c r="G577">
        <v>42.076000000000001</v>
      </c>
      <c r="H577">
        <v>30</v>
      </c>
      <c r="I577">
        <v>4</v>
      </c>
      <c r="J577">
        <v>4.4400000000000004</v>
      </c>
      <c r="K577" t="s">
        <v>3066</v>
      </c>
      <c r="L577">
        <v>0</v>
      </c>
      <c r="N577" t="s">
        <v>3067</v>
      </c>
      <c r="O577" t="s">
        <v>3068</v>
      </c>
      <c r="P577" t="s">
        <v>20</v>
      </c>
      <c r="Q577">
        <f>(VALUE(LEFT(SUBSTITUTE(O577,"T"," "),23)) - VALUE(LEFT(SUBSTITUTE(N577,"T"," "),23))) * 86400</f>
        <v>144.86900023184717</v>
      </c>
      <c r="R577">
        <f>I577/G577</f>
        <v>9.5066070919288911E-2</v>
      </c>
      <c r="S577">
        <f>H577/G577</f>
        <v>0.7129955318946668</v>
      </c>
    </row>
    <row r="578" spans="1:19" hidden="1" x14ac:dyDescent="0.2">
      <c r="A578" s="1">
        <v>5</v>
      </c>
      <c r="B578" s="1" t="s">
        <v>21</v>
      </c>
      <c r="C578" s="1">
        <v>0</v>
      </c>
      <c r="D578" s="1">
        <v>1</v>
      </c>
      <c r="E578" s="1">
        <v>1021</v>
      </c>
      <c r="F578" s="1" t="b">
        <v>1</v>
      </c>
      <c r="G578" s="1">
        <v>54.084000000000003</v>
      </c>
      <c r="H578" s="1">
        <v>22</v>
      </c>
      <c r="I578" s="1">
        <v>0</v>
      </c>
      <c r="J578" s="1">
        <v>0</v>
      </c>
      <c r="K578" s="1" t="s">
        <v>464</v>
      </c>
      <c r="L578" s="1">
        <v>0</v>
      </c>
      <c r="M578" s="1"/>
      <c r="N578" s="1" t="s">
        <v>465</v>
      </c>
      <c r="O578" s="1" t="s">
        <v>466</v>
      </c>
      <c r="P578" s="1" t="s">
        <v>20</v>
      </c>
      <c r="Q578">
        <f>(VALUE(LEFT(SUBSTITUTE(O578,"T"," "),23)) - VALUE(LEFT(SUBSTITUTE(N578,"T"," "),23))) * 86400</f>
        <v>223.45299990847707</v>
      </c>
      <c r="R578">
        <f>I578/G578</f>
        <v>0</v>
      </c>
      <c r="S578">
        <f>H578/G578</f>
        <v>0.40677464684564751</v>
      </c>
    </row>
    <row r="579" spans="1:19" x14ac:dyDescent="0.2">
      <c r="A579">
        <v>30</v>
      </c>
      <c r="B579" t="s">
        <v>2476</v>
      </c>
      <c r="C579">
        <v>2</v>
      </c>
      <c r="D579">
        <v>4</v>
      </c>
      <c r="E579">
        <v>1003</v>
      </c>
      <c r="F579" t="b">
        <v>1</v>
      </c>
      <c r="G579">
        <v>50.328000000000003</v>
      </c>
      <c r="H579">
        <v>29</v>
      </c>
      <c r="I579">
        <v>0</v>
      </c>
      <c r="J579">
        <v>0</v>
      </c>
      <c r="K579" t="s">
        <v>2619</v>
      </c>
      <c r="L579">
        <v>0</v>
      </c>
      <c r="N579" t="s">
        <v>2620</v>
      </c>
      <c r="O579" t="s">
        <v>2621</v>
      </c>
      <c r="P579" t="s">
        <v>20</v>
      </c>
      <c r="Q579">
        <f>(VALUE(LEFT(SUBSTITUTE(O579,"T"," "),23)) - VALUE(LEFT(SUBSTITUTE(N579,"T"," "),23))) * 86400</f>
        <v>253.47200010437518</v>
      </c>
      <c r="R579">
        <f>I579/G579</f>
        <v>0</v>
      </c>
      <c r="S579">
        <f>H579/G579</f>
        <v>0.57621999682085512</v>
      </c>
    </row>
    <row r="580" spans="1:19" hidden="1" x14ac:dyDescent="0.2">
      <c r="A580" s="1">
        <v>11</v>
      </c>
      <c r="B580" s="1" t="s">
        <v>21</v>
      </c>
      <c r="C580" s="1">
        <v>5</v>
      </c>
      <c r="D580" s="1">
        <v>1</v>
      </c>
      <c r="E580" s="1">
        <v>1021</v>
      </c>
      <c r="F580" s="1" t="b">
        <v>1</v>
      </c>
      <c r="G580" s="1">
        <v>55.508000000000003</v>
      </c>
      <c r="H580" s="1">
        <v>24</v>
      </c>
      <c r="I580" s="1">
        <v>2</v>
      </c>
      <c r="J580" s="1">
        <v>0.78</v>
      </c>
      <c r="K580" s="1" t="s">
        <v>482</v>
      </c>
      <c r="L580" s="1">
        <v>0</v>
      </c>
      <c r="M580" s="1"/>
      <c r="N580" s="1" t="s">
        <v>483</v>
      </c>
      <c r="O580" s="1" t="s">
        <v>484</v>
      </c>
      <c r="P580" s="1" t="s">
        <v>20</v>
      </c>
      <c r="Q580">
        <f>(VALUE(LEFT(SUBSTITUTE(O580,"T"," "),23)) - VALUE(LEFT(SUBSTITUTE(N580,"T"," "),23))) * 86400</f>
        <v>322.906000376679</v>
      </c>
      <c r="R580">
        <f>I580/G580</f>
        <v>3.6030842401095338E-2</v>
      </c>
      <c r="S580">
        <f>H580/G580</f>
        <v>0.43237010881314403</v>
      </c>
    </row>
    <row r="581" spans="1:19" hidden="1" x14ac:dyDescent="0.2">
      <c r="A581" s="1">
        <v>14</v>
      </c>
      <c r="B581" s="1" t="s">
        <v>21</v>
      </c>
      <c r="C581" s="1">
        <v>10</v>
      </c>
      <c r="D581" s="1">
        <v>1</v>
      </c>
      <c r="E581" s="1">
        <v>1021</v>
      </c>
      <c r="F581" s="1" t="b">
        <v>1</v>
      </c>
      <c r="G581" s="1">
        <v>59.46</v>
      </c>
      <c r="H581" s="1">
        <v>25</v>
      </c>
      <c r="I581" s="1">
        <v>7</v>
      </c>
      <c r="J581" s="1">
        <v>0.78</v>
      </c>
      <c r="K581" s="1" t="s">
        <v>491</v>
      </c>
      <c r="L581" s="1">
        <v>0</v>
      </c>
      <c r="M581" s="1"/>
      <c r="N581" s="1" t="s">
        <v>492</v>
      </c>
      <c r="O581" s="1" t="s">
        <v>493</v>
      </c>
      <c r="P581" s="1" t="s">
        <v>20</v>
      </c>
      <c r="Q581">
        <f>(VALUE(LEFT(SUBSTITUTE(O581,"T"," "),23)) - VALUE(LEFT(SUBSTITUTE(N581,"T"," "),23))) * 86400</f>
        <v>289.00400034617633</v>
      </c>
      <c r="R581">
        <f>I581/G581</f>
        <v>0.11772620248906827</v>
      </c>
      <c r="S581">
        <f>H581/G581</f>
        <v>0.42045072317524385</v>
      </c>
    </row>
    <row r="582" spans="1:19" hidden="1" x14ac:dyDescent="0.2">
      <c r="A582" s="1">
        <v>17</v>
      </c>
      <c r="B582" s="1" t="s">
        <v>21</v>
      </c>
      <c r="C582" s="1">
        <v>15</v>
      </c>
      <c r="D582" s="1">
        <v>1</v>
      </c>
      <c r="E582" s="1">
        <v>1021</v>
      </c>
      <c r="F582" s="1" t="b">
        <v>1</v>
      </c>
      <c r="G582" s="1">
        <v>74.52</v>
      </c>
      <c r="H582" s="1">
        <v>25</v>
      </c>
      <c r="I582" s="1">
        <v>14</v>
      </c>
      <c r="J582" s="1">
        <v>3.06</v>
      </c>
      <c r="K582" s="1" t="s">
        <v>500</v>
      </c>
      <c r="L582" s="1">
        <v>0</v>
      </c>
      <c r="M582" s="1"/>
      <c r="N582" s="1" t="s">
        <v>501</v>
      </c>
      <c r="O582" s="1" t="s">
        <v>502</v>
      </c>
      <c r="P582" s="1" t="s">
        <v>20</v>
      </c>
      <c r="Q582">
        <f>(VALUE(LEFT(SUBSTITUTE(O582,"T"," "),23)) - VALUE(LEFT(SUBSTITUTE(N582,"T"," "),23))) * 86400</f>
        <v>265.32499983441085</v>
      </c>
      <c r="R582">
        <f>I582/G582</f>
        <v>0.1878690284487386</v>
      </c>
      <c r="S582">
        <f>H582/G582</f>
        <v>0.33548040794417605</v>
      </c>
    </row>
    <row r="583" spans="1:19" hidden="1" x14ac:dyDescent="0.2">
      <c r="A583" s="1">
        <v>20</v>
      </c>
      <c r="B583" s="1" t="s">
        <v>21</v>
      </c>
      <c r="C583" s="1">
        <v>20</v>
      </c>
      <c r="D583" s="1">
        <v>1</v>
      </c>
      <c r="E583" s="1">
        <v>1021</v>
      </c>
      <c r="F583" s="1" t="b">
        <v>1</v>
      </c>
      <c r="G583" s="1">
        <v>59.512</v>
      </c>
      <c r="H583" s="1">
        <v>27</v>
      </c>
      <c r="I583" s="1">
        <v>8</v>
      </c>
      <c r="J583" s="1">
        <v>1.38</v>
      </c>
      <c r="K583" s="1" t="s">
        <v>509</v>
      </c>
      <c r="L583" s="1">
        <v>0</v>
      </c>
      <c r="M583" s="1"/>
      <c r="N583" s="1" t="s">
        <v>510</v>
      </c>
      <c r="O583" s="1" t="s">
        <v>511</v>
      </c>
      <c r="P583" s="1" t="s">
        <v>20</v>
      </c>
      <c r="Q583">
        <f>(VALUE(LEFT(SUBSTITUTE(O583,"T"," "),23)) - VALUE(LEFT(SUBSTITUTE(N583,"T"," "),23))) * 86400</f>
        <v>291.32900030817837</v>
      </c>
      <c r="R583">
        <f>I583/G583</f>
        <v>0.13442667025137786</v>
      </c>
      <c r="S583">
        <f>H583/G583</f>
        <v>0.45369001209840032</v>
      </c>
    </row>
    <row r="584" spans="1:19" hidden="1" x14ac:dyDescent="0.2">
      <c r="A584" s="1">
        <v>23</v>
      </c>
      <c r="B584" s="1" t="s">
        <v>21</v>
      </c>
      <c r="C584" s="1">
        <v>50</v>
      </c>
      <c r="D584" s="1">
        <v>1</v>
      </c>
      <c r="E584" s="1">
        <v>1021</v>
      </c>
      <c r="F584" s="1" t="b">
        <v>1</v>
      </c>
      <c r="G584" s="1">
        <v>73.647999999999996</v>
      </c>
      <c r="H584" s="1">
        <v>27</v>
      </c>
      <c r="I584" s="1">
        <v>18</v>
      </c>
      <c r="J584" s="1">
        <v>3.36</v>
      </c>
      <c r="K584" s="1" t="s">
        <v>518</v>
      </c>
      <c r="L584" s="1">
        <v>0</v>
      </c>
      <c r="M584" s="1"/>
      <c r="N584" s="1" t="s">
        <v>519</v>
      </c>
      <c r="O584" s="1" t="s">
        <v>520</v>
      </c>
      <c r="P584" s="1" t="s">
        <v>20</v>
      </c>
      <c r="Q584">
        <f>(VALUE(LEFT(SUBSTITUTE(O584,"T"," "),23)) - VALUE(LEFT(SUBSTITUTE(N584,"T"," "),23))) * 86400</f>
        <v>184.44199960213155</v>
      </c>
      <c r="R584">
        <f>I584/G584</f>
        <v>0.244405822289811</v>
      </c>
      <c r="S584">
        <f>H584/G584</f>
        <v>0.3666087334347165</v>
      </c>
    </row>
    <row r="585" spans="1:19" hidden="1" x14ac:dyDescent="0.2">
      <c r="A585" s="1">
        <v>26</v>
      </c>
      <c r="B585" s="1" t="s">
        <v>21</v>
      </c>
      <c r="C585" s="1">
        <v>70</v>
      </c>
      <c r="D585" s="1">
        <v>1</v>
      </c>
      <c r="E585" s="1">
        <v>1021</v>
      </c>
      <c r="F585" s="1" t="b">
        <v>1</v>
      </c>
      <c r="G585" s="1">
        <v>88.352000000000004</v>
      </c>
      <c r="H585" s="1">
        <v>24</v>
      </c>
      <c r="I585" s="1">
        <v>12</v>
      </c>
      <c r="J585" s="1">
        <v>2.58</v>
      </c>
      <c r="K585" s="1" t="s">
        <v>527</v>
      </c>
      <c r="L585" s="1">
        <v>0</v>
      </c>
      <c r="M585" s="1"/>
      <c r="N585" s="1" t="s">
        <v>528</v>
      </c>
      <c r="O585" s="1" t="s">
        <v>529</v>
      </c>
      <c r="P585" s="1" t="s">
        <v>20</v>
      </c>
      <c r="Q585">
        <f>(VALUE(LEFT(SUBSTITUTE(O585,"T"," "),23)) - VALUE(LEFT(SUBSTITUTE(N585,"T"," "),23))) * 86400</f>
        <v>134.45599973201752</v>
      </c>
      <c r="R585">
        <f>I585/G585</f>
        <v>0.13582035494386091</v>
      </c>
      <c r="S585">
        <f>H585/G585</f>
        <v>0.27164070988772182</v>
      </c>
    </row>
    <row r="586" spans="1:19" hidden="1" x14ac:dyDescent="0.2">
      <c r="A586">
        <v>11</v>
      </c>
      <c r="B586" t="s">
        <v>3414</v>
      </c>
      <c r="C586">
        <v>-1</v>
      </c>
      <c r="D586">
        <v>2</v>
      </c>
      <c r="E586">
        <v>1001</v>
      </c>
      <c r="F586" t="b">
        <v>1</v>
      </c>
      <c r="G586">
        <v>40.844000000000001</v>
      </c>
      <c r="H586">
        <v>29</v>
      </c>
      <c r="I586">
        <v>6</v>
      </c>
      <c r="J586">
        <v>6.96</v>
      </c>
      <c r="K586" t="s">
        <v>3445</v>
      </c>
      <c r="L586">
        <v>0</v>
      </c>
      <c r="N586" t="s">
        <v>3446</v>
      </c>
      <c r="O586" t="s">
        <v>3447</v>
      </c>
      <c r="P586" t="s">
        <v>20</v>
      </c>
      <c r="Q586">
        <f>(VALUE(LEFT(SUBSTITUTE(O586,"T"," "),23)) - VALUE(LEFT(SUBSTITUTE(N586,"T"," "),23))) * 86400</f>
        <v>175.50600024405867</v>
      </c>
      <c r="R586">
        <f>I586/G586</f>
        <v>0.14690040152776418</v>
      </c>
      <c r="S586">
        <f>H586/G586</f>
        <v>0.71001860738419353</v>
      </c>
    </row>
    <row r="587" spans="1:19" hidden="1" x14ac:dyDescent="0.2">
      <c r="A587" s="1">
        <v>6</v>
      </c>
      <c r="B587" s="1" t="s">
        <v>25</v>
      </c>
      <c r="C587" s="1">
        <v>0</v>
      </c>
      <c r="D587" s="1">
        <v>1</v>
      </c>
      <c r="E587" s="1">
        <v>1021</v>
      </c>
      <c r="F587" s="1" t="b">
        <v>1</v>
      </c>
      <c r="G587" s="1">
        <v>48.588000000000001</v>
      </c>
      <c r="H587" s="1">
        <v>28</v>
      </c>
      <c r="I587" s="1">
        <v>3</v>
      </c>
      <c r="J587" s="1">
        <v>0.96</v>
      </c>
      <c r="K587" s="1" t="s">
        <v>467</v>
      </c>
      <c r="L587" s="1">
        <v>0</v>
      </c>
      <c r="M587" s="1"/>
      <c r="N587" s="1" t="s">
        <v>468</v>
      </c>
      <c r="O587" s="1" t="s">
        <v>469</v>
      </c>
      <c r="P587" s="1" t="s">
        <v>20</v>
      </c>
      <c r="Q587">
        <f>(VALUE(LEFT(SUBSTITUTE(O587,"T"," "),23)) - VALUE(LEFT(SUBSTITUTE(N587,"T"," "),23))) * 86400</f>
        <v>270.72899951599538</v>
      </c>
      <c r="R587">
        <f>I587/G587</f>
        <v>6.1743640405038283E-2</v>
      </c>
      <c r="S587">
        <f>H587/G587</f>
        <v>0.57627397711369066</v>
      </c>
    </row>
    <row r="588" spans="1:19" x14ac:dyDescent="0.2">
      <c r="A588">
        <v>29</v>
      </c>
      <c r="B588" t="s">
        <v>2531</v>
      </c>
      <c r="C588">
        <v>2</v>
      </c>
      <c r="D588">
        <v>4</v>
      </c>
      <c r="E588">
        <v>1023</v>
      </c>
      <c r="F588" t="b">
        <v>1</v>
      </c>
      <c r="G588">
        <v>68.164000000000001</v>
      </c>
      <c r="H588">
        <v>26</v>
      </c>
      <c r="I588">
        <v>0</v>
      </c>
      <c r="J588">
        <v>0</v>
      </c>
      <c r="K588" t="s">
        <v>2856</v>
      </c>
      <c r="L588">
        <v>0</v>
      </c>
      <c r="N588" t="s">
        <v>2857</v>
      </c>
      <c r="O588" t="s">
        <v>2858</v>
      </c>
      <c r="P588" t="s">
        <v>20</v>
      </c>
      <c r="Q588">
        <f>(VALUE(LEFT(SUBSTITUTE(O588,"T"," "),23)) - VALUE(LEFT(SUBSTITUTE(N588,"T"," "),23))) * 86400</f>
        <v>369.16299965232611</v>
      </c>
      <c r="R588">
        <f>I588/G588</f>
        <v>0</v>
      </c>
      <c r="S588">
        <f>H588/G588</f>
        <v>0.38143301449445455</v>
      </c>
    </row>
    <row r="589" spans="1:19" hidden="1" x14ac:dyDescent="0.2">
      <c r="A589" s="1">
        <v>12</v>
      </c>
      <c r="B589" s="1" t="s">
        <v>25</v>
      </c>
      <c r="C589" s="1">
        <v>5</v>
      </c>
      <c r="D589" s="1">
        <v>1</v>
      </c>
      <c r="E589" s="1">
        <v>1021</v>
      </c>
      <c r="F589" s="1" t="b">
        <v>1</v>
      </c>
      <c r="G589" s="1">
        <v>58.256</v>
      </c>
      <c r="H589" s="1">
        <v>22</v>
      </c>
      <c r="I589" s="1">
        <v>2</v>
      </c>
      <c r="J589" s="1">
        <v>0.48</v>
      </c>
      <c r="K589" s="1" t="s">
        <v>485</v>
      </c>
      <c r="L589" s="1">
        <v>0</v>
      </c>
      <c r="M589" s="1"/>
      <c r="N589" s="1" t="s">
        <v>486</v>
      </c>
      <c r="O589" s="1" t="s">
        <v>487</v>
      </c>
      <c r="P589" s="1" t="s">
        <v>20</v>
      </c>
      <c r="Q589">
        <f>(VALUE(LEFT(SUBSTITUTE(O589,"T"," "),23)) - VALUE(LEFT(SUBSTITUTE(N589,"T"," "),23))) * 86400</f>
        <v>267.70700009074062</v>
      </c>
      <c r="R589">
        <f>I589/G589</f>
        <v>3.4331227684702002E-2</v>
      </c>
      <c r="S589">
        <f>H589/G589</f>
        <v>0.37764350453172207</v>
      </c>
    </row>
    <row r="590" spans="1:19" hidden="1" x14ac:dyDescent="0.2">
      <c r="A590" s="1">
        <v>15</v>
      </c>
      <c r="B590" s="1" t="s">
        <v>25</v>
      </c>
      <c r="C590" s="1">
        <v>10</v>
      </c>
      <c r="D590" s="1">
        <v>1</v>
      </c>
      <c r="E590" s="1">
        <v>1021</v>
      </c>
      <c r="F590" s="1" t="b">
        <v>1</v>
      </c>
      <c r="G590" s="1">
        <v>47.264000000000003</v>
      </c>
      <c r="H590" s="1">
        <v>29</v>
      </c>
      <c r="I590" s="1">
        <v>3</v>
      </c>
      <c r="J590" s="1">
        <v>0.36</v>
      </c>
      <c r="K590" s="1" t="s">
        <v>494</v>
      </c>
      <c r="L590" s="1">
        <v>0</v>
      </c>
      <c r="M590" s="1"/>
      <c r="N590" s="1" t="s">
        <v>495</v>
      </c>
      <c r="O590" s="1" t="s">
        <v>496</v>
      </c>
      <c r="P590" s="1" t="s">
        <v>20</v>
      </c>
      <c r="Q590">
        <f>(VALUE(LEFT(SUBSTITUTE(O590,"T"," "),23)) - VALUE(LEFT(SUBSTITUTE(N590,"T"," "),23))) * 86400</f>
        <v>215.09099977556616</v>
      </c>
      <c r="R590">
        <f>I590/G590</f>
        <v>6.3473256601218678E-2</v>
      </c>
      <c r="S590">
        <f>H590/G590</f>
        <v>0.61357481381178058</v>
      </c>
    </row>
    <row r="591" spans="1:19" hidden="1" x14ac:dyDescent="0.2">
      <c r="A591" s="1">
        <v>18</v>
      </c>
      <c r="B591" s="1" t="s">
        <v>25</v>
      </c>
      <c r="C591" s="1">
        <v>15</v>
      </c>
      <c r="D591" s="1">
        <v>1</v>
      </c>
      <c r="E591" s="1">
        <v>1021</v>
      </c>
      <c r="F591" s="1" t="b">
        <v>1</v>
      </c>
      <c r="G591" s="1">
        <v>58.448</v>
      </c>
      <c r="H591" s="1">
        <v>29</v>
      </c>
      <c r="I591" s="1">
        <v>5</v>
      </c>
      <c r="J591" s="1">
        <v>0.72</v>
      </c>
      <c r="K591" s="1" t="s">
        <v>503</v>
      </c>
      <c r="L591" s="1">
        <v>0</v>
      </c>
      <c r="M591" s="1"/>
      <c r="N591" s="1" t="s">
        <v>504</v>
      </c>
      <c r="O591" s="1" t="s">
        <v>505</v>
      </c>
      <c r="P591" s="1" t="s">
        <v>20</v>
      </c>
      <c r="Q591">
        <f>(VALUE(LEFT(SUBSTITUTE(O591,"T"," "),23)) - VALUE(LEFT(SUBSTITUTE(N591,"T"," "),23))) * 86400</f>
        <v>315.78499947208911</v>
      </c>
      <c r="R591">
        <f>I591/G591</f>
        <v>8.5546126471393369E-2</v>
      </c>
      <c r="S591">
        <f>H591/G591</f>
        <v>0.49616753353408155</v>
      </c>
    </row>
    <row r="592" spans="1:19" hidden="1" x14ac:dyDescent="0.2">
      <c r="A592" s="1">
        <v>21</v>
      </c>
      <c r="B592" s="1" t="s">
        <v>25</v>
      </c>
      <c r="C592" s="1">
        <v>20</v>
      </c>
      <c r="D592" s="1">
        <v>1</v>
      </c>
      <c r="E592" s="1">
        <v>1021</v>
      </c>
      <c r="F592" s="1" t="b">
        <v>1</v>
      </c>
      <c r="G592" s="1">
        <v>46.956000000000003</v>
      </c>
      <c r="H592" s="1">
        <v>23</v>
      </c>
      <c r="I592" s="1">
        <v>7</v>
      </c>
      <c r="J592" s="1">
        <v>1.44</v>
      </c>
      <c r="K592" s="1" t="s">
        <v>512</v>
      </c>
      <c r="L592" s="1">
        <v>0</v>
      </c>
      <c r="M592" s="1"/>
      <c r="N592" s="1" t="s">
        <v>513</v>
      </c>
      <c r="O592" s="1" t="s">
        <v>514</v>
      </c>
      <c r="P592" s="1" t="s">
        <v>20</v>
      </c>
      <c r="Q592">
        <f>(VALUE(LEFT(SUBSTITUTE(O592,"T"," "),23)) - VALUE(LEFT(SUBSTITUTE(N592,"T"," "),23))) * 86400</f>
        <v>253.3599998569116</v>
      </c>
      <c r="R592">
        <f>I592/G592</f>
        <v>0.1490757304710793</v>
      </c>
      <c r="S592">
        <f>H592/G592</f>
        <v>0.4898202572621177</v>
      </c>
    </row>
    <row r="593" spans="1:19" hidden="1" x14ac:dyDescent="0.2">
      <c r="A593" s="1">
        <v>24</v>
      </c>
      <c r="B593" s="1" t="s">
        <v>25</v>
      </c>
      <c r="C593" s="1">
        <v>50</v>
      </c>
      <c r="D593" s="1">
        <v>1</v>
      </c>
      <c r="E593" s="1">
        <v>1021</v>
      </c>
      <c r="F593" s="1" t="b">
        <v>1</v>
      </c>
      <c r="G593" s="1">
        <v>36.875999999999998</v>
      </c>
      <c r="H593" s="1">
        <v>27</v>
      </c>
      <c r="I593" s="1">
        <v>4</v>
      </c>
      <c r="J593" s="1">
        <v>1.1399999999999999</v>
      </c>
      <c r="K593" s="1" t="s">
        <v>521</v>
      </c>
      <c r="L593" s="1">
        <v>0</v>
      </c>
      <c r="M593" s="1"/>
      <c r="N593" s="1" t="s">
        <v>522</v>
      </c>
      <c r="O593" s="1" t="s">
        <v>523</v>
      </c>
      <c r="P593" s="1" t="s">
        <v>20</v>
      </c>
      <c r="Q593">
        <f>(VALUE(LEFT(SUBSTITUTE(O593,"T"," "),23)) - VALUE(LEFT(SUBSTITUTE(N593,"T"," "),23))) * 86400</f>
        <v>92.713999981060624</v>
      </c>
      <c r="R593">
        <f>I593/G593</f>
        <v>0.10847163466753444</v>
      </c>
      <c r="S593">
        <f>H593/G593</f>
        <v>0.73218353400585756</v>
      </c>
    </row>
    <row r="594" spans="1:19" hidden="1" x14ac:dyDescent="0.2">
      <c r="A594" s="1">
        <v>27</v>
      </c>
      <c r="B594" s="1" t="s">
        <v>25</v>
      </c>
      <c r="C594" s="1">
        <v>70</v>
      </c>
      <c r="D594" s="1">
        <v>1</v>
      </c>
      <c r="E594" s="1">
        <v>1021</v>
      </c>
      <c r="F594" s="1" t="b">
        <v>1</v>
      </c>
      <c r="G594" s="1">
        <v>46.94</v>
      </c>
      <c r="H594" s="1">
        <v>28</v>
      </c>
      <c r="I594" s="1">
        <v>7</v>
      </c>
      <c r="J594" s="1">
        <v>1.08</v>
      </c>
      <c r="K594" s="1" t="s">
        <v>530</v>
      </c>
      <c r="L594" s="1">
        <v>0</v>
      </c>
      <c r="M594" s="1"/>
      <c r="N594" s="1" t="s">
        <v>531</v>
      </c>
      <c r="O594" s="1" t="s">
        <v>532</v>
      </c>
      <c r="P594" s="1" t="s">
        <v>20</v>
      </c>
      <c r="Q594">
        <f>(VALUE(LEFT(SUBSTITUTE(O594,"T"," "),23)) - VALUE(LEFT(SUBSTITUTE(N594,"T"," "),23))) * 86400</f>
        <v>66.784000187180936</v>
      </c>
      <c r="R594">
        <f>I594/G594</f>
        <v>0.14912654452492544</v>
      </c>
      <c r="S594">
        <f>H594/G594</f>
        <v>0.59650617809970174</v>
      </c>
    </row>
    <row r="595" spans="1:19" hidden="1" x14ac:dyDescent="0.2">
      <c r="A595">
        <v>3</v>
      </c>
      <c r="B595" t="s">
        <v>25</v>
      </c>
      <c r="C595">
        <v>-1</v>
      </c>
      <c r="D595">
        <v>1</v>
      </c>
      <c r="E595">
        <v>1017</v>
      </c>
      <c r="F595" t="b">
        <v>1</v>
      </c>
      <c r="G595">
        <v>45.804000000000002</v>
      </c>
      <c r="H595">
        <v>32</v>
      </c>
      <c r="I595">
        <v>3</v>
      </c>
      <c r="J595">
        <v>3.24</v>
      </c>
      <c r="K595" t="s">
        <v>1383</v>
      </c>
      <c r="L595">
        <v>0</v>
      </c>
      <c r="N595" t="s">
        <v>2011</v>
      </c>
      <c r="O595" t="s">
        <v>2012</v>
      </c>
      <c r="P595" t="s">
        <v>20</v>
      </c>
      <c r="Q595">
        <f>(VALUE(LEFT(SUBSTITUTE(O595,"T"," "),23)) - VALUE(LEFT(SUBSTITUTE(N595,"T"," "),23))) * 86400</f>
        <v>218.99799993261695</v>
      </c>
      <c r="R595">
        <f>I595/G595</f>
        <v>6.5496463190987689E-2</v>
      </c>
      <c r="S595">
        <f>H595/G595</f>
        <v>0.69862894070386861</v>
      </c>
    </row>
    <row r="596" spans="1:19" hidden="1" x14ac:dyDescent="0.2">
      <c r="A596" s="1">
        <v>4</v>
      </c>
      <c r="B596" s="1" t="s">
        <v>16</v>
      </c>
      <c r="C596" s="1">
        <v>0</v>
      </c>
      <c r="D596" s="1">
        <v>1</v>
      </c>
      <c r="E596" s="1">
        <v>1021</v>
      </c>
      <c r="F596" s="1" t="b">
        <v>1</v>
      </c>
      <c r="G596" s="1">
        <v>72.56</v>
      </c>
      <c r="H596" s="1">
        <v>25</v>
      </c>
      <c r="I596" s="1">
        <v>4</v>
      </c>
      <c r="J596" s="1">
        <v>1.5</v>
      </c>
      <c r="K596" s="1" t="s">
        <v>461</v>
      </c>
      <c r="L596" s="1">
        <v>0</v>
      </c>
      <c r="M596" s="1"/>
      <c r="N596" s="1" t="s">
        <v>462</v>
      </c>
      <c r="O596" s="1" t="s">
        <v>463</v>
      </c>
      <c r="P596" s="1" t="s">
        <v>20</v>
      </c>
      <c r="Q596">
        <f>(VALUE(LEFT(SUBSTITUTE(O596,"T"," "),23)) - VALUE(LEFT(SUBSTITUTE(N596,"T"," "),23))) * 86400</f>
        <v>338.70700034312904</v>
      </c>
      <c r="R596">
        <f>I596/G596</f>
        <v>5.5126791620727672E-2</v>
      </c>
      <c r="S596">
        <f>H596/G596</f>
        <v>0.34454244762954794</v>
      </c>
    </row>
    <row r="597" spans="1:19" x14ac:dyDescent="0.2">
      <c r="A597">
        <v>35</v>
      </c>
      <c r="B597" t="s">
        <v>21</v>
      </c>
      <c r="C597">
        <v>2</v>
      </c>
      <c r="D597">
        <v>2</v>
      </c>
      <c r="E597">
        <v>1028</v>
      </c>
      <c r="F597" t="b">
        <v>1</v>
      </c>
      <c r="G597">
        <v>85.7</v>
      </c>
      <c r="H597">
        <v>33</v>
      </c>
      <c r="I597">
        <v>2</v>
      </c>
      <c r="J597">
        <v>2.1</v>
      </c>
      <c r="K597" t="s">
        <v>2336</v>
      </c>
      <c r="L597">
        <v>0</v>
      </c>
      <c r="N597" t="s">
        <v>2337</v>
      </c>
      <c r="O597" t="s">
        <v>2338</v>
      </c>
      <c r="P597" t="s">
        <v>20</v>
      </c>
      <c r="Q597">
        <f>(VALUE(LEFT(SUBSTITUTE(O597,"T"," "),23)) - VALUE(LEFT(SUBSTITUTE(N597,"T"," "),23))) * 86400</f>
        <v>233.52299972902983</v>
      </c>
      <c r="R597">
        <f>I597/G597</f>
        <v>2.3337222870478413E-2</v>
      </c>
      <c r="S597">
        <f>H597/G597</f>
        <v>0.38506417736289378</v>
      </c>
    </row>
    <row r="598" spans="1:19" hidden="1" x14ac:dyDescent="0.2">
      <c r="A598" s="1">
        <v>10</v>
      </c>
      <c r="B598" s="1" t="s">
        <v>16</v>
      </c>
      <c r="C598" s="1">
        <v>5</v>
      </c>
      <c r="D598" s="1">
        <v>1</v>
      </c>
      <c r="E598" s="1">
        <v>1021</v>
      </c>
      <c r="F598" s="1" t="b">
        <v>1</v>
      </c>
      <c r="G598" s="1">
        <v>60.607999999999997</v>
      </c>
      <c r="H598" s="1">
        <v>23</v>
      </c>
      <c r="I598" s="1">
        <v>5</v>
      </c>
      <c r="J598" s="1">
        <v>1.44</v>
      </c>
      <c r="K598" s="1" t="s">
        <v>479</v>
      </c>
      <c r="L598" s="1">
        <v>0</v>
      </c>
      <c r="M598" s="1"/>
      <c r="N598" s="1" t="s">
        <v>480</v>
      </c>
      <c r="O598" s="1" t="s">
        <v>481</v>
      </c>
      <c r="P598" s="1" t="s">
        <v>20</v>
      </c>
      <c r="Q598">
        <f>(VALUE(LEFT(SUBSTITUTE(O598,"T"," "),23)) - VALUE(LEFT(SUBSTITUTE(N598,"T"," "),23))) * 86400</f>
        <v>240.99299982190132</v>
      </c>
      <c r="R598">
        <f>I598/G598</f>
        <v>8.2497360084477306E-2</v>
      </c>
      <c r="S598">
        <f>H598/G598</f>
        <v>0.37948785638859556</v>
      </c>
    </row>
    <row r="599" spans="1:19" hidden="1" x14ac:dyDescent="0.2">
      <c r="A599" s="1">
        <v>13</v>
      </c>
      <c r="B599" s="1" t="s">
        <v>16</v>
      </c>
      <c r="C599" s="1">
        <v>10</v>
      </c>
      <c r="D599" s="1">
        <v>1</v>
      </c>
      <c r="E599" s="1">
        <v>1021</v>
      </c>
      <c r="F599" s="1" t="b">
        <v>1</v>
      </c>
      <c r="G599" s="1">
        <v>180</v>
      </c>
      <c r="H599" s="1">
        <v>25</v>
      </c>
      <c r="I599" s="1">
        <v>17</v>
      </c>
      <c r="J599" s="1">
        <v>4.5599999999999996</v>
      </c>
      <c r="K599" s="1" t="s">
        <v>488</v>
      </c>
      <c r="L599" s="1">
        <v>0</v>
      </c>
      <c r="M599" s="1"/>
      <c r="N599" s="1" t="s">
        <v>489</v>
      </c>
      <c r="O599" s="1" t="s">
        <v>490</v>
      </c>
      <c r="P599" s="1" t="s">
        <v>20</v>
      </c>
      <c r="Q599">
        <f>(VALUE(LEFT(SUBSTITUTE(O599,"T"," "),23)) - VALUE(LEFT(SUBSTITUTE(N599,"T"," "),23))) * 86400</f>
        <v>778.75399994663894</v>
      </c>
      <c r="R599">
        <f>I599/G599</f>
        <v>9.4444444444444442E-2</v>
      </c>
      <c r="S599">
        <f>H599/G599</f>
        <v>0.1388888888888889</v>
      </c>
    </row>
    <row r="600" spans="1:19" hidden="1" x14ac:dyDescent="0.2">
      <c r="A600" s="1">
        <v>16</v>
      </c>
      <c r="B600" s="1" t="s">
        <v>16</v>
      </c>
      <c r="C600" s="1">
        <v>15</v>
      </c>
      <c r="D600" s="1">
        <v>1</v>
      </c>
      <c r="E600" s="1">
        <v>1021</v>
      </c>
      <c r="F600" s="1" t="b">
        <v>1</v>
      </c>
      <c r="G600" s="1">
        <v>56.527999999999999</v>
      </c>
      <c r="H600" s="1">
        <v>23</v>
      </c>
      <c r="I600" s="1">
        <v>2</v>
      </c>
      <c r="J600" s="1">
        <v>0.36</v>
      </c>
      <c r="K600" s="1" t="s">
        <v>497</v>
      </c>
      <c r="L600" s="1">
        <v>0</v>
      </c>
      <c r="M600" s="1"/>
      <c r="N600" s="1" t="s">
        <v>498</v>
      </c>
      <c r="O600" s="1" t="s">
        <v>499</v>
      </c>
      <c r="P600" s="1" t="s">
        <v>20</v>
      </c>
      <c r="Q600">
        <f>(VALUE(LEFT(SUBSTITUTE(O600,"T"," "),23)) - VALUE(LEFT(SUBSTITUTE(N600,"T"," "),23))) * 86400</f>
        <v>335.57999997865409</v>
      </c>
      <c r="R600">
        <f>I600/G600</f>
        <v>3.5380696292103032E-2</v>
      </c>
      <c r="S600">
        <f>H600/G600</f>
        <v>0.40687800735918483</v>
      </c>
    </row>
    <row r="601" spans="1:19" hidden="1" x14ac:dyDescent="0.2">
      <c r="A601" s="1">
        <v>19</v>
      </c>
      <c r="B601" s="1" t="s">
        <v>16</v>
      </c>
      <c r="C601" s="1">
        <v>20</v>
      </c>
      <c r="D601" s="1">
        <v>1</v>
      </c>
      <c r="E601" s="1">
        <v>1021</v>
      </c>
      <c r="F601" s="1" t="b">
        <v>1</v>
      </c>
      <c r="G601" s="1">
        <v>79.7</v>
      </c>
      <c r="H601" s="1">
        <v>23</v>
      </c>
      <c r="I601" s="1">
        <v>12</v>
      </c>
      <c r="J601" s="1">
        <v>3</v>
      </c>
      <c r="K601" s="1" t="s">
        <v>506</v>
      </c>
      <c r="L601" s="1">
        <v>0</v>
      </c>
      <c r="M601" s="1"/>
      <c r="N601" s="1" t="s">
        <v>507</v>
      </c>
      <c r="O601" s="1" t="s">
        <v>508</v>
      </c>
      <c r="P601" s="1" t="s">
        <v>20</v>
      </c>
      <c r="Q601">
        <f>(VALUE(LEFT(SUBSTITUTE(O601,"T"," "),23)) - VALUE(LEFT(SUBSTITUTE(N601,"T"," "),23))) * 86400</f>
        <v>355.75600010342896</v>
      </c>
      <c r="R601">
        <f>I601/G601</f>
        <v>0.15056461731493098</v>
      </c>
      <c r="S601">
        <f>H601/G601</f>
        <v>0.28858218318695106</v>
      </c>
    </row>
    <row r="602" spans="1:19" hidden="1" x14ac:dyDescent="0.2">
      <c r="A602" s="1">
        <v>22</v>
      </c>
      <c r="B602" s="1" t="s">
        <v>16</v>
      </c>
      <c r="C602" s="1">
        <v>50</v>
      </c>
      <c r="D602" s="1">
        <v>1</v>
      </c>
      <c r="E602" s="1">
        <v>1021</v>
      </c>
      <c r="F602" s="1" t="b">
        <v>1</v>
      </c>
      <c r="G602" s="1">
        <v>126.696</v>
      </c>
      <c r="H602" s="1">
        <v>26</v>
      </c>
      <c r="I602" s="1">
        <v>19</v>
      </c>
      <c r="J602" s="1">
        <v>3.3</v>
      </c>
      <c r="K602" s="1" t="s">
        <v>515</v>
      </c>
      <c r="L602" s="1">
        <v>0</v>
      </c>
      <c r="M602" s="1"/>
      <c r="N602" s="1" t="s">
        <v>516</v>
      </c>
      <c r="O602" s="1" t="s">
        <v>517</v>
      </c>
      <c r="P602" s="1" t="s">
        <v>20</v>
      </c>
      <c r="Q602">
        <f>(VALUE(LEFT(SUBSTITUTE(O602,"T"," "),23)) - VALUE(LEFT(SUBSTITUTE(N602,"T"," "),23))) * 86400</f>
        <v>478.56599958613515</v>
      </c>
      <c r="R602">
        <f>I602/G602</f>
        <v>0.14996527120035361</v>
      </c>
      <c r="S602">
        <f>H602/G602</f>
        <v>0.20521563427416809</v>
      </c>
    </row>
    <row r="603" spans="1:19" hidden="1" x14ac:dyDescent="0.2">
      <c r="A603" s="1">
        <v>25</v>
      </c>
      <c r="B603" s="1" t="s">
        <v>16</v>
      </c>
      <c r="C603" s="1">
        <v>70</v>
      </c>
      <c r="D603" s="1">
        <v>1</v>
      </c>
      <c r="E603" s="1">
        <v>1021</v>
      </c>
      <c r="F603" s="1" t="b">
        <v>1</v>
      </c>
      <c r="G603" s="1">
        <v>72.02</v>
      </c>
      <c r="H603" s="1">
        <v>23</v>
      </c>
      <c r="I603" s="1">
        <v>14</v>
      </c>
      <c r="J603" s="1">
        <v>2.1</v>
      </c>
      <c r="K603" s="1" t="s">
        <v>524</v>
      </c>
      <c r="L603" s="1">
        <v>0</v>
      </c>
      <c r="M603" s="1"/>
      <c r="N603" s="1" t="s">
        <v>525</v>
      </c>
      <c r="O603" s="1" t="s">
        <v>526</v>
      </c>
      <c r="P603" s="1" t="s">
        <v>20</v>
      </c>
      <c r="Q603">
        <f>(VALUE(LEFT(SUBSTITUTE(O603,"T"," "),23)) - VALUE(LEFT(SUBSTITUTE(N603,"T"," "),23))) * 86400</f>
        <v>158.76100016757846</v>
      </c>
      <c r="R603">
        <f>I603/G603</f>
        <v>0.19439044709802833</v>
      </c>
      <c r="S603">
        <f>H603/G603</f>
        <v>0.31935573451818938</v>
      </c>
    </row>
    <row r="604" spans="1:19" hidden="1" x14ac:dyDescent="0.2">
      <c r="A604">
        <v>12</v>
      </c>
      <c r="B604" t="s">
        <v>25</v>
      </c>
      <c r="C604">
        <v>-1</v>
      </c>
      <c r="D604">
        <v>2</v>
      </c>
      <c r="E604">
        <v>1011</v>
      </c>
      <c r="F604" t="b">
        <v>1</v>
      </c>
      <c r="G604">
        <v>36.548000000000002</v>
      </c>
      <c r="H604">
        <v>25</v>
      </c>
      <c r="I604">
        <v>8</v>
      </c>
      <c r="J604">
        <v>7.62</v>
      </c>
      <c r="K604" t="s">
        <v>3583</v>
      </c>
      <c r="L604">
        <v>0</v>
      </c>
      <c r="N604" t="s">
        <v>3584</v>
      </c>
      <c r="O604" t="s">
        <v>3585</v>
      </c>
      <c r="P604" t="s">
        <v>20</v>
      </c>
      <c r="Q604">
        <f>(VALUE(LEFT(SUBSTITUTE(O604,"T"," "),23)) - VALUE(LEFT(SUBSTITUTE(N604,"T"," "),23))) * 86400</f>
        <v>140.51800039596856</v>
      </c>
      <c r="R604">
        <f>I604/G604</f>
        <v>0.21889022655138446</v>
      </c>
      <c r="S604">
        <f>H604/G604</f>
        <v>0.68403195797307648</v>
      </c>
    </row>
    <row r="605" spans="1:19" hidden="1" x14ac:dyDescent="0.2">
      <c r="A605">
        <v>5</v>
      </c>
      <c r="B605" t="s">
        <v>21</v>
      </c>
      <c r="C605">
        <v>0</v>
      </c>
      <c r="D605">
        <v>1</v>
      </c>
      <c r="E605">
        <v>1022</v>
      </c>
      <c r="F605" t="b">
        <v>1</v>
      </c>
      <c r="G605">
        <v>62.304000000000002</v>
      </c>
      <c r="H605">
        <v>20</v>
      </c>
      <c r="I605">
        <v>2</v>
      </c>
      <c r="J605">
        <v>0.84</v>
      </c>
      <c r="K605" t="s">
        <v>1409</v>
      </c>
      <c r="L605">
        <v>0</v>
      </c>
      <c r="N605" t="s">
        <v>1410</v>
      </c>
      <c r="O605" t="s">
        <v>1411</v>
      </c>
      <c r="P605" t="s">
        <v>20</v>
      </c>
      <c r="Q605">
        <f>(VALUE(LEFT(SUBSTITUTE(O605,"T"," "),23)) - VALUE(LEFT(SUBSTITUTE(N605,"T"," "),23))) * 86400</f>
        <v>273.09299984481186</v>
      </c>
      <c r="R605">
        <f>I605/G605</f>
        <v>3.210066769388803E-2</v>
      </c>
      <c r="S605">
        <f>H605/G605</f>
        <v>0.3210066769388803</v>
      </c>
    </row>
    <row r="606" spans="1:19" x14ac:dyDescent="0.2">
      <c r="A606">
        <v>36</v>
      </c>
      <c r="B606" t="s">
        <v>25</v>
      </c>
      <c r="C606">
        <v>2</v>
      </c>
      <c r="D606">
        <v>2</v>
      </c>
      <c r="E606">
        <v>1013</v>
      </c>
      <c r="F606" t="b">
        <v>1</v>
      </c>
      <c r="G606">
        <v>59.46</v>
      </c>
      <c r="H606">
        <v>23</v>
      </c>
      <c r="I606">
        <v>3</v>
      </c>
      <c r="J606">
        <v>0.3</v>
      </c>
      <c r="K606" t="s">
        <v>1081</v>
      </c>
      <c r="L606">
        <v>0</v>
      </c>
      <c r="N606" t="s">
        <v>1082</v>
      </c>
      <c r="O606" t="s">
        <v>1083</v>
      </c>
      <c r="P606" t="s">
        <v>20</v>
      </c>
      <c r="Q606">
        <f>(VALUE(LEFT(SUBSTITUTE(O606,"T"," "),23)) - VALUE(LEFT(SUBSTITUTE(N606,"T"," "),23))) * 86400</f>
        <v>256.69699958525598</v>
      </c>
      <c r="R606">
        <f>I606/G606</f>
        <v>5.0454086781029264E-2</v>
      </c>
      <c r="S606">
        <f>H606/G606</f>
        <v>0.38681466532122433</v>
      </c>
    </row>
    <row r="607" spans="1:19" hidden="1" x14ac:dyDescent="0.2">
      <c r="A607">
        <v>11</v>
      </c>
      <c r="B607" t="s">
        <v>21</v>
      </c>
      <c r="C607">
        <v>5</v>
      </c>
      <c r="D607">
        <v>1</v>
      </c>
      <c r="E607">
        <v>1022</v>
      </c>
      <c r="F607" t="b">
        <v>1</v>
      </c>
      <c r="G607">
        <v>99.028000000000006</v>
      </c>
      <c r="H607">
        <v>20</v>
      </c>
      <c r="I607">
        <v>3</v>
      </c>
      <c r="J607">
        <v>1.68</v>
      </c>
      <c r="K607" t="s">
        <v>1427</v>
      </c>
      <c r="L607">
        <v>0</v>
      </c>
      <c r="N607" t="s">
        <v>1428</v>
      </c>
      <c r="O607" t="s">
        <v>1429</v>
      </c>
      <c r="P607" t="s">
        <v>20</v>
      </c>
      <c r="Q607">
        <f>(VALUE(LEFT(SUBSTITUTE(O607,"T"," "),23)) - VALUE(LEFT(SUBSTITUTE(N607,"T"," "),23))) * 86400</f>
        <v>445.09600033052266</v>
      </c>
      <c r="R607">
        <f>I607/G607</f>
        <v>3.02944621723149E-2</v>
      </c>
      <c r="S607">
        <f>H607/G607</f>
        <v>0.20196308114876599</v>
      </c>
    </row>
    <row r="608" spans="1:19" hidden="1" x14ac:dyDescent="0.2">
      <c r="A608">
        <v>14</v>
      </c>
      <c r="B608" t="s">
        <v>21</v>
      </c>
      <c r="C608">
        <v>10</v>
      </c>
      <c r="D608">
        <v>1</v>
      </c>
      <c r="E608">
        <v>1022</v>
      </c>
      <c r="F608" t="b">
        <v>1</v>
      </c>
      <c r="G608">
        <v>54.64</v>
      </c>
      <c r="H608">
        <v>18</v>
      </c>
      <c r="I608">
        <v>2</v>
      </c>
      <c r="J608">
        <v>0.12</v>
      </c>
      <c r="K608" t="s">
        <v>1436</v>
      </c>
      <c r="L608">
        <v>0</v>
      </c>
      <c r="N608" t="s">
        <v>1437</v>
      </c>
      <c r="O608" t="s">
        <v>1438</v>
      </c>
      <c r="P608" t="s">
        <v>20</v>
      </c>
      <c r="Q608">
        <f>(VALUE(LEFT(SUBSTITUTE(O608,"T"," "),23)) - VALUE(LEFT(SUBSTITUTE(N608,"T"," "),23))) * 86400</f>
        <v>267.7300002425909</v>
      </c>
      <c r="R608">
        <f>I608/G608</f>
        <v>3.6603221083455345E-2</v>
      </c>
      <c r="S608">
        <f>H608/G608</f>
        <v>0.32942898975109808</v>
      </c>
    </row>
    <row r="609" spans="1:19" hidden="1" x14ac:dyDescent="0.2">
      <c r="A609">
        <v>17</v>
      </c>
      <c r="B609" t="s">
        <v>21</v>
      </c>
      <c r="C609">
        <v>15</v>
      </c>
      <c r="D609">
        <v>1</v>
      </c>
      <c r="E609">
        <v>1022</v>
      </c>
      <c r="F609" t="b">
        <v>1</v>
      </c>
      <c r="G609">
        <v>66.483999999999995</v>
      </c>
      <c r="H609">
        <v>19</v>
      </c>
      <c r="I609">
        <v>8</v>
      </c>
      <c r="J609">
        <v>1.86</v>
      </c>
      <c r="K609" t="s">
        <v>1445</v>
      </c>
      <c r="L609">
        <v>0</v>
      </c>
      <c r="N609" t="s">
        <v>1446</v>
      </c>
      <c r="O609" t="s">
        <v>1447</v>
      </c>
      <c r="P609" t="s">
        <v>20</v>
      </c>
      <c r="Q609">
        <f>(VALUE(LEFT(SUBSTITUTE(O609,"T"," "),23)) - VALUE(LEFT(SUBSTITUTE(N609,"T"," "),23))) * 86400</f>
        <v>264.16900001931936</v>
      </c>
      <c r="R609">
        <f>I609/G609</f>
        <v>0.12032970338728116</v>
      </c>
      <c r="S609">
        <f>H609/G609</f>
        <v>0.28578304554479278</v>
      </c>
    </row>
    <row r="610" spans="1:19" hidden="1" x14ac:dyDescent="0.2">
      <c r="A610">
        <v>20</v>
      </c>
      <c r="B610" t="s">
        <v>21</v>
      </c>
      <c r="C610">
        <v>20</v>
      </c>
      <c r="D610">
        <v>1</v>
      </c>
      <c r="E610">
        <v>1022</v>
      </c>
      <c r="F610" t="b">
        <v>1</v>
      </c>
      <c r="G610">
        <v>38.968000000000004</v>
      </c>
      <c r="H610">
        <v>20</v>
      </c>
      <c r="I610">
        <v>1</v>
      </c>
      <c r="J610">
        <v>0.18</v>
      </c>
      <c r="K610" t="s">
        <v>1454</v>
      </c>
      <c r="L610">
        <v>0</v>
      </c>
      <c r="N610" t="s">
        <v>1455</v>
      </c>
      <c r="O610" t="s">
        <v>1456</v>
      </c>
      <c r="P610" t="s">
        <v>20</v>
      </c>
      <c r="Q610">
        <f>(VALUE(LEFT(SUBSTITUTE(O610,"T"," "),23)) - VALUE(LEFT(SUBSTITUTE(N610,"T"," "),23))) * 86400</f>
        <v>142.19400028232485</v>
      </c>
      <c r="R610">
        <f>I610/G610</f>
        <v>2.5662081708068156E-2</v>
      </c>
      <c r="S610">
        <f>H610/G610</f>
        <v>0.51324163416136315</v>
      </c>
    </row>
    <row r="611" spans="1:19" hidden="1" x14ac:dyDescent="0.2">
      <c r="A611">
        <v>23</v>
      </c>
      <c r="B611" t="s">
        <v>21</v>
      </c>
      <c r="C611">
        <v>50</v>
      </c>
      <c r="D611">
        <v>1</v>
      </c>
      <c r="E611">
        <v>1022</v>
      </c>
      <c r="F611" t="b">
        <v>1</v>
      </c>
      <c r="G611">
        <v>55.456000000000003</v>
      </c>
      <c r="H611">
        <v>17</v>
      </c>
      <c r="I611">
        <v>5</v>
      </c>
      <c r="J611">
        <v>1.08</v>
      </c>
      <c r="K611" t="s">
        <v>1463</v>
      </c>
      <c r="L611">
        <v>0</v>
      </c>
      <c r="N611" t="s">
        <v>1464</v>
      </c>
      <c r="O611" t="s">
        <v>1465</v>
      </c>
      <c r="P611" t="s">
        <v>20</v>
      </c>
      <c r="Q611">
        <f>(VALUE(LEFT(SUBSTITUTE(O611,"T"," "),23)) - VALUE(LEFT(SUBSTITUTE(N611,"T"," "),23))) * 86400</f>
        <v>321.85000001918525</v>
      </c>
      <c r="R611">
        <f>I611/G611</f>
        <v>9.0161569532602417E-2</v>
      </c>
      <c r="S611">
        <f>H611/G611</f>
        <v>0.30654933641084825</v>
      </c>
    </row>
    <row r="612" spans="1:19" hidden="1" x14ac:dyDescent="0.2">
      <c r="A612">
        <v>26</v>
      </c>
      <c r="B612" t="s">
        <v>21</v>
      </c>
      <c r="C612">
        <v>70</v>
      </c>
      <c r="D612">
        <v>1</v>
      </c>
      <c r="E612">
        <v>1022</v>
      </c>
      <c r="F612" t="b">
        <v>1</v>
      </c>
      <c r="G612">
        <v>51.607999999999997</v>
      </c>
      <c r="H612">
        <v>18</v>
      </c>
      <c r="I612">
        <v>3</v>
      </c>
      <c r="J612">
        <v>0.48</v>
      </c>
      <c r="K612" t="s">
        <v>1472</v>
      </c>
      <c r="L612">
        <v>0</v>
      </c>
      <c r="N612" t="s">
        <v>1473</v>
      </c>
      <c r="O612" t="s">
        <v>1474</v>
      </c>
      <c r="P612" t="s">
        <v>20</v>
      </c>
      <c r="Q612">
        <f>(VALUE(LEFT(SUBSTITUTE(O612,"T"," "),23)) - VALUE(LEFT(SUBSTITUTE(N612,"T"," "),23))) * 86400</f>
        <v>233.44800013583153</v>
      </c>
      <c r="R612">
        <f>I612/G612</f>
        <v>5.8130522399627967E-2</v>
      </c>
      <c r="S612">
        <f>H612/G612</f>
        <v>0.34878313439776781</v>
      </c>
    </row>
    <row r="613" spans="1:19" hidden="1" x14ac:dyDescent="0.2">
      <c r="A613">
        <v>7</v>
      </c>
      <c r="B613" t="s">
        <v>3413</v>
      </c>
      <c r="C613">
        <v>-1</v>
      </c>
      <c r="D613">
        <v>4</v>
      </c>
      <c r="E613">
        <v>1023</v>
      </c>
      <c r="F613" t="b">
        <v>1</v>
      </c>
      <c r="G613">
        <v>44.04</v>
      </c>
      <c r="H613">
        <v>30</v>
      </c>
      <c r="I613">
        <v>3</v>
      </c>
      <c r="J613">
        <v>3.48</v>
      </c>
      <c r="K613" t="s">
        <v>3102</v>
      </c>
      <c r="L613">
        <v>0</v>
      </c>
      <c r="N613" t="s">
        <v>3103</v>
      </c>
      <c r="O613" t="s">
        <v>3104</v>
      </c>
      <c r="P613" t="s">
        <v>20</v>
      </c>
      <c r="Q613">
        <f>(VALUE(LEFT(SUBSTITUTE(O613,"T"," "),23)) - VALUE(LEFT(SUBSTITUTE(N613,"T"," "),23))) * 86400</f>
        <v>183.40499997138977</v>
      </c>
      <c r="R613">
        <f>I613/G613</f>
        <v>6.8119891008174394E-2</v>
      </c>
      <c r="S613">
        <f>H613/G613</f>
        <v>0.68119891008174394</v>
      </c>
    </row>
    <row r="614" spans="1:19" hidden="1" x14ac:dyDescent="0.2">
      <c r="A614">
        <v>6</v>
      </c>
      <c r="B614" t="s">
        <v>25</v>
      </c>
      <c r="C614">
        <v>0</v>
      </c>
      <c r="D614">
        <v>1</v>
      </c>
      <c r="E614">
        <v>1022</v>
      </c>
      <c r="F614" t="b">
        <v>1</v>
      </c>
      <c r="G614">
        <v>50.631999999999998</v>
      </c>
      <c r="H614">
        <v>25</v>
      </c>
      <c r="I614">
        <v>0</v>
      </c>
      <c r="J614">
        <v>0</v>
      </c>
      <c r="K614" t="s">
        <v>1412</v>
      </c>
      <c r="L614">
        <v>0</v>
      </c>
      <c r="N614" t="s">
        <v>1413</v>
      </c>
      <c r="O614" t="s">
        <v>1414</v>
      </c>
      <c r="P614" t="s">
        <v>20</v>
      </c>
      <c r="Q614">
        <f>(VALUE(LEFT(SUBSTITUTE(O614,"T"," "),23)) - VALUE(LEFT(SUBSTITUTE(N614,"T"," "),23))) * 86400</f>
        <v>222.19199978280813</v>
      </c>
      <c r="R614">
        <f>I614/G614</f>
        <v>0</v>
      </c>
      <c r="S614">
        <f>H614/G614</f>
        <v>0.49375888765997789</v>
      </c>
    </row>
    <row r="615" spans="1:19" x14ac:dyDescent="0.2">
      <c r="A615" s="1">
        <v>9</v>
      </c>
      <c r="B615" s="1" t="s">
        <v>25</v>
      </c>
      <c r="C615" s="1">
        <v>2</v>
      </c>
      <c r="D615" s="1">
        <v>1</v>
      </c>
      <c r="E615" s="1">
        <v>1021</v>
      </c>
      <c r="F615" s="1" t="b">
        <v>1</v>
      </c>
      <c r="G615" s="1">
        <v>66.932000000000002</v>
      </c>
      <c r="H615" s="1">
        <v>26</v>
      </c>
      <c r="I615" s="1">
        <v>1</v>
      </c>
      <c r="J615" s="1">
        <v>0.72</v>
      </c>
      <c r="K615" s="1" t="s">
        <v>476</v>
      </c>
      <c r="L615" s="1">
        <v>0</v>
      </c>
      <c r="M615" s="1"/>
      <c r="N615" s="1" t="s">
        <v>477</v>
      </c>
      <c r="O615" s="1" t="s">
        <v>478</v>
      </c>
      <c r="P615" s="1" t="s">
        <v>20</v>
      </c>
      <c r="Q615">
        <f>(VALUE(LEFT(SUBSTITUTE(O615,"T"," "),23)) - VALUE(LEFT(SUBSTITUTE(N615,"T"," "),23))) * 86400</f>
        <v>262.32400021981448</v>
      </c>
      <c r="R615">
        <f>I615/G615</f>
        <v>1.4940536664076973E-2</v>
      </c>
      <c r="S615">
        <f>H615/G615</f>
        <v>0.3884539532660013</v>
      </c>
    </row>
    <row r="616" spans="1:19" hidden="1" x14ac:dyDescent="0.2">
      <c r="A616">
        <v>12</v>
      </c>
      <c r="B616" t="s">
        <v>25</v>
      </c>
      <c r="C616">
        <v>5</v>
      </c>
      <c r="D616">
        <v>1</v>
      </c>
      <c r="E616">
        <v>1022</v>
      </c>
      <c r="F616" t="b">
        <v>1</v>
      </c>
      <c r="G616">
        <v>39.344000000000001</v>
      </c>
      <c r="H616">
        <v>22</v>
      </c>
      <c r="I616">
        <v>1</v>
      </c>
      <c r="J616">
        <v>0.18</v>
      </c>
      <c r="K616" t="s">
        <v>1430</v>
      </c>
      <c r="L616">
        <v>0</v>
      </c>
      <c r="N616" t="s">
        <v>1431</v>
      </c>
      <c r="O616" t="s">
        <v>1432</v>
      </c>
      <c r="P616" t="s">
        <v>20</v>
      </c>
      <c r="Q616">
        <f>(VALUE(LEFT(SUBSTITUTE(O616,"T"," "),23)) - VALUE(LEFT(SUBSTITUTE(N616,"T"," "),23))) * 86400</f>
        <v>125.95100034959614</v>
      </c>
      <c r="R616">
        <f>I616/G616</f>
        <v>2.5416836112240746E-2</v>
      </c>
      <c r="S616">
        <f>H616/G616</f>
        <v>0.55917039446929639</v>
      </c>
    </row>
    <row r="617" spans="1:19" hidden="1" x14ac:dyDescent="0.2">
      <c r="A617">
        <v>15</v>
      </c>
      <c r="B617" t="s">
        <v>25</v>
      </c>
      <c r="C617">
        <v>10</v>
      </c>
      <c r="D617">
        <v>1</v>
      </c>
      <c r="E617">
        <v>1022</v>
      </c>
      <c r="F617" t="b">
        <v>1</v>
      </c>
      <c r="G617">
        <v>52.676000000000002</v>
      </c>
      <c r="H617">
        <v>25</v>
      </c>
      <c r="I617">
        <v>3</v>
      </c>
      <c r="J617">
        <v>0.96</v>
      </c>
      <c r="K617" t="s">
        <v>1439</v>
      </c>
      <c r="L617">
        <v>0</v>
      </c>
      <c r="N617" t="s">
        <v>1440</v>
      </c>
      <c r="O617" t="s">
        <v>1441</v>
      </c>
      <c r="P617" t="s">
        <v>20</v>
      </c>
      <c r="Q617">
        <f>(VALUE(LEFT(SUBSTITUTE(O617,"T"," "),23)) - VALUE(LEFT(SUBSTITUTE(N617,"T"," "),23))) * 86400</f>
        <v>228.29899995122105</v>
      </c>
      <c r="R617">
        <f>I617/G617</f>
        <v>5.6951932568911838E-2</v>
      </c>
      <c r="S617">
        <f>H617/G617</f>
        <v>0.4745994380742653</v>
      </c>
    </row>
    <row r="618" spans="1:19" hidden="1" x14ac:dyDescent="0.2">
      <c r="A618">
        <v>18</v>
      </c>
      <c r="B618" t="s">
        <v>25</v>
      </c>
      <c r="C618">
        <v>15</v>
      </c>
      <c r="D618">
        <v>1</v>
      </c>
      <c r="E618">
        <v>1022</v>
      </c>
      <c r="F618" t="b">
        <v>1</v>
      </c>
      <c r="G618">
        <v>52.98</v>
      </c>
      <c r="H618">
        <v>20</v>
      </c>
      <c r="I618">
        <v>8</v>
      </c>
      <c r="J618">
        <v>2.52</v>
      </c>
      <c r="K618" t="s">
        <v>1448</v>
      </c>
      <c r="L618">
        <v>0</v>
      </c>
      <c r="N618" t="s">
        <v>1449</v>
      </c>
      <c r="O618" t="s">
        <v>1450</v>
      </c>
      <c r="P618" t="s">
        <v>20</v>
      </c>
      <c r="Q618">
        <f>(VALUE(LEFT(SUBSTITUTE(O618,"T"," "),23)) - VALUE(LEFT(SUBSTITUTE(N618,"T"," "),23))) * 86400</f>
        <v>280.13899989891797</v>
      </c>
      <c r="R618">
        <f>I618/G618</f>
        <v>0.15100037750094375</v>
      </c>
      <c r="S618">
        <f>H618/G618</f>
        <v>0.37750094375235943</v>
      </c>
    </row>
    <row r="619" spans="1:19" hidden="1" x14ac:dyDescent="0.2">
      <c r="A619">
        <v>21</v>
      </c>
      <c r="B619" t="s">
        <v>25</v>
      </c>
      <c r="C619">
        <v>20</v>
      </c>
      <c r="D619">
        <v>1</v>
      </c>
      <c r="E619">
        <v>1022</v>
      </c>
      <c r="F619" t="b">
        <v>1</v>
      </c>
      <c r="G619">
        <v>37.984000000000002</v>
      </c>
      <c r="H619">
        <v>24</v>
      </c>
      <c r="I619">
        <v>4</v>
      </c>
      <c r="J619">
        <v>0.78</v>
      </c>
      <c r="K619" t="s">
        <v>1457</v>
      </c>
      <c r="L619">
        <v>0</v>
      </c>
      <c r="N619" t="s">
        <v>1458</v>
      </c>
      <c r="O619" t="s">
        <v>1459</v>
      </c>
      <c r="P619" t="s">
        <v>20</v>
      </c>
      <c r="Q619">
        <f>(VALUE(LEFT(SUBSTITUTE(O619,"T"," "),23)) - VALUE(LEFT(SUBSTITUTE(N619,"T"," "),23))) * 86400</f>
        <v>167.08899952936918</v>
      </c>
      <c r="R619">
        <f>I619/G619</f>
        <v>0.10530749789385004</v>
      </c>
      <c r="S619">
        <f>H619/G619</f>
        <v>0.63184498736310024</v>
      </c>
    </row>
    <row r="620" spans="1:19" hidden="1" x14ac:dyDescent="0.2">
      <c r="A620">
        <v>24</v>
      </c>
      <c r="B620" t="s">
        <v>25</v>
      </c>
      <c r="C620">
        <v>50</v>
      </c>
      <c r="D620">
        <v>1</v>
      </c>
      <c r="E620">
        <v>1022</v>
      </c>
      <c r="F620" t="b">
        <v>1</v>
      </c>
      <c r="G620">
        <v>29.736000000000001</v>
      </c>
      <c r="H620">
        <v>23</v>
      </c>
      <c r="I620">
        <v>2</v>
      </c>
      <c r="J620">
        <v>0.96</v>
      </c>
      <c r="K620" t="s">
        <v>1466</v>
      </c>
      <c r="L620">
        <v>0</v>
      </c>
      <c r="N620" t="s">
        <v>1467</v>
      </c>
      <c r="O620" t="s">
        <v>1468</v>
      </c>
      <c r="P620" t="s">
        <v>20</v>
      </c>
      <c r="Q620">
        <f>(VALUE(LEFT(SUBSTITUTE(O620,"T"," "),23)) - VALUE(LEFT(SUBSTITUTE(N620,"T"," "),23))) * 86400</f>
        <v>140.09499989915639</v>
      </c>
      <c r="R620">
        <f>I620/G620</f>
        <v>6.7258541834813015E-2</v>
      </c>
      <c r="S620">
        <f>H620/G620</f>
        <v>0.77347323110034971</v>
      </c>
    </row>
    <row r="621" spans="1:19" hidden="1" x14ac:dyDescent="0.2">
      <c r="A621">
        <v>27</v>
      </c>
      <c r="B621" t="s">
        <v>25</v>
      </c>
      <c r="C621">
        <v>70</v>
      </c>
      <c r="D621">
        <v>1</v>
      </c>
      <c r="E621">
        <v>1022</v>
      </c>
      <c r="F621" t="b">
        <v>1</v>
      </c>
      <c r="G621">
        <v>29.58</v>
      </c>
      <c r="H621">
        <v>23</v>
      </c>
      <c r="I621">
        <v>1</v>
      </c>
      <c r="J621">
        <v>0.72</v>
      </c>
      <c r="K621" t="s">
        <v>1475</v>
      </c>
      <c r="L621">
        <v>0</v>
      </c>
      <c r="N621" t="s">
        <v>1476</v>
      </c>
      <c r="O621" t="s">
        <v>1477</v>
      </c>
      <c r="P621" t="s">
        <v>20</v>
      </c>
      <c r="Q621">
        <f>(VALUE(LEFT(SUBSTITUTE(O621,"T"," "),23)) - VALUE(LEFT(SUBSTITUTE(N621,"T"," "),23))) * 86400</f>
        <v>184.93899952154607</v>
      </c>
      <c r="R621">
        <f>I621/G621</f>
        <v>3.3806626098715348E-2</v>
      </c>
      <c r="S621">
        <f>H621/G621</f>
        <v>0.77755240027045303</v>
      </c>
    </row>
    <row r="622" spans="1:19" hidden="1" x14ac:dyDescent="0.2">
      <c r="A622">
        <v>5</v>
      </c>
      <c r="B622" t="s">
        <v>3413</v>
      </c>
      <c r="C622">
        <v>-1</v>
      </c>
      <c r="D622">
        <v>3</v>
      </c>
      <c r="E622">
        <v>1002</v>
      </c>
      <c r="F622" t="b">
        <v>1</v>
      </c>
      <c r="G622">
        <v>42.975999999999999</v>
      </c>
      <c r="H622">
        <v>29</v>
      </c>
      <c r="I622">
        <v>6</v>
      </c>
      <c r="J622">
        <v>6.48</v>
      </c>
      <c r="K622" t="s">
        <v>2977</v>
      </c>
      <c r="L622">
        <v>0</v>
      </c>
      <c r="N622" t="s">
        <v>2978</v>
      </c>
      <c r="O622" t="s">
        <v>2979</v>
      </c>
      <c r="P622" t="s">
        <v>20</v>
      </c>
      <c r="Q622">
        <f>(VALUE(LEFT(SUBSTITUTE(O622,"T"," "),23)) - VALUE(LEFT(SUBSTITUTE(N622,"T"," "),23))) * 86400</f>
        <v>183.24900039006025</v>
      </c>
      <c r="R622">
        <f>I622/G622</f>
        <v>0.13961280714817573</v>
      </c>
      <c r="S622">
        <f>H622/G622</f>
        <v>0.67479523454951607</v>
      </c>
    </row>
    <row r="623" spans="1:19" hidden="1" x14ac:dyDescent="0.2">
      <c r="A623">
        <v>4</v>
      </c>
      <c r="B623" t="s">
        <v>16</v>
      </c>
      <c r="C623">
        <v>0</v>
      </c>
      <c r="D623">
        <v>1</v>
      </c>
      <c r="E623">
        <v>1022</v>
      </c>
      <c r="F623" t="b">
        <v>1</v>
      </c>
      <c r="G623">
        <v>62.08</v>
      </c>
      <c r="H623">
        <v>19</v>
      </c>
      <c r="I623">
        <v>6</v>
      </c>
      <c r="J623">
        <v>1.44</v>
      </c>
      <c r="K623" t="s">
        <v>1406</v>
      </c>
      <c r="L623">
        <v>0</v>
      </c>
      <c r="N623" t="s">
        <v>1407</v>
      </c>
      <c r="O623" t="s">
        <v>1408</v>
      </c>
      <c r="P623" t="s">
        <v>20</v>
      </c>
      <c r="Q623">
        <f>(VALUE(LEFT(SUBSTITUTE(O623,"T"," "),23)) - VALUE(LEFT(SUBSTITUTE(N623,"T"," "),23))) * 86400</f>
        <v>283.78800004720688</v>
      </c>
      <c r="R623">
        <f>I623/G623</f>
        <v>9.6649484536082478E-2</v>
      </c>
      <c r="S623">
        <f>H623/G623</f>
        <v>0.30605670103092786</v>
      </c>
    </row>
    <row r="624" spans="1:19" x14ac:dyDescent="0.2">
      <c r="A624">
        <v>61</v>
      </c>
      <c r="B624" t="s">
        <v>16</v>
      </c>
      <c r="C624">
        <v>2</v>
      </c>
      <c r="D624">
        <v>3</v>
      </c>
      <c r="E624">
        <v>1024</v>
      </c>
      <c r="F624" t="b">
        <v>1</v>
      </c>
      <c r="G624">
        <v>73.287999999999997</v>
      </c>
      <c r="H624">
        <v>29</v>
      </c>
      <c r="I624">
        <v>1</v>
      </c>
      <c r="J624">
        <v>0.78</v>
      </c>
      <c r="K624" t="s">
        <v>1577</v>
      </c>
      <c r="L624">
        <v>0</v>
      </c>
      <c r="N624" t="s">
        <v>1578</v>
      </c>
      <c r="O624" t="s">
        <v>1579</v>
      </c>
      <c r="P624" t="s">
        <v>20</v>
      </c>
      <c r="Q624">
        <f>(VALUE(LEFT(SUBSTITUTE(O624,"T"," "),23)) - VALUE(LEFT(SUBSTITUTE(N624,"T"," "),23))) * 86400</f>
        <v>289.43899974692613</v>
      </c>
      <c r="R624">
        <f>I624/G624</f>
        <v>1.3644798602772623E-2</v>
      </c>
      <c r="S624">
        <f>H624/G624</f>
        <v>0.39569915948040607</v>
      </c>
    </row>
    <row r="625" spans="1:19" hidden="1" x14ac:dyDescent="0.2">
      <c r="A625">
        <v>10</v>
      </c>
      <c r="B625" t="s">
        <v>16</v>
      </c>
      <c r="C625">
        <v>5</v>
      </c>
      <c r="D625">
        <v>1</v>
      </c>
      <c r="E625">
        <v>1022</v>
      </c>
      <c r="F625" t="b">
        <v>1</v>
      </c>
      <c r="G625">
        <v>108.872</v>
      </c>
      <c r="H625">
        <v>20</v>
      </c>
      <c r="I625">
        <v>2</v>
      </c>
      <c r="J625">
        <v>0.12</v>
      </c>
      <c r="K625" t="s">
        <v>1424</v>
      </c>
      <c r="L625">
        <v>0</v>
      </c>
      <c r="N625" t="s">
        <v>1425</v>
      </c>
      <c r="O625" t="s">
        <v>1426</v>
      </c>
      <c r="P625" t="s">
        <v>20</v>
      </c>
      <c r="Q625">
        <f>(VALUE(LEFT(SUBSTITUTE(O625,"T"," "),23)) - VALUE(LEFT(SUBSTITUTE(N625,"T"," "),23))) * 86400</f>
        <v>458.36400005500764</v>
      </c>
      <c r="R625">
        <f>I625/G625</f>
        <v>1.837019619369535E-2</v>
      </c>
      <c r="S625">
        <f>H625/G625</f>
        <v>0.18370196193695348</v>
      </c>
    </row>
    <row r="626" spans="1:19" hidden="1" x14ac:dyDescent="0.2">
      <c r="A626">
        <v>13</v>
      </c>
      <c r="B626" t="s">
        <v>16</v>
      </c>
      <c r="C626">
        <v>10</v>
      </c>
      <c r="D626">
        <v>1</v>
      </c>
      <c r="E626">
        <v>1022</v>
      </c>
      <c r="F626" t="b">
        <v>1</v>
      </c>
      <c r="G626">
        <v>61.347999999999999</v>
      </c>
      <c r="H626">
        <v>19</v>
      </c>
      <c r="I626">
        <v>2</v>
      </c>
      <c r="J626">
        <v>0.54</v>
      </c>
      <c r="K626" t="s">
        <v>1433</v>
      </c>
      <c r="L626">
        <v>0</v>
      </c>
      <c r="N626" t="s">
        <v>1434</v>
      </c>
      <c r="O626" t="s">
        <v>1435</v>
      </c>
      <c r="P626" t="s">
        <v>20</v>
      </c>
      <c r="Q626">
        <f>(VALUE(LEFT(SUBSTITUTE(O626,"T"," "),23)) - VALUE(LEFT(SUBSTITUTE(N626,"T"," "),23))) * 86400</f>
        <v>287.46499994304031</v>
      </c>
      <c r="R626">
        <f>I626/G626</f>
        <v>3.2600899784834061E-2</v>
      </c>
      <c r="S626">
        <f>H626/G626</f>
        <v>0.30970854795592356</v>
      </c>
    </row>
    <row r="627" spans="1:19" hidden="1" x14ac:dyDescent="0.2">
      <c r="A627">
        <v>16</v>
      </c>
      <c r="B627" t="s">
        <v>16</v>
      </c>
      <c r="C627">
        <v>15</v>
      </c>
      <c r="D627">
        <v>1</v>
      </c>
      <c r="E627">
        <v>1022</v>
      </c>
      <c r="F627" t="b">
        <v>1</v>
      </c>
      <c r="G627">
        <v>108.16800000000001</v>
      </c>
      <c r="H627">
        <v>19</v>
      </c>
      <c r="I627">
        <v>11</v>
      </c>
      <c r="J627">
        <v>2.4</v>
      </c>
      <c r="K627" t="s">
        <v>1442</v>
      </c>
      <c r="L627">
        <v>0</v>
      </c>
      <c r="N627" t="s">
        <v>1443</v>
      </c>
      <c r="O627" t="s">
        <v>1444</v>
      </c>
      <c r="P627" t="s">
        <v>20</v>
      </c>
      <c r="Q627">
        <f>(VALUE(LEFT(SUBSTITUTE(O627,"T"," "),23)) - VALUE(LEFT(SUBSTITUTE(N627,"T"," "),23))) * 86400</f>
        <v>382.74399996735156</v>
      </c>
      <c r="R627">
        <f>I627/G627</f>
        <v>0.10169366171141188</v>
      </c>
      <c r="S627">
        <f>H627/G627</f>
        <v>0.17565268841062051</v>
      </c>
    </row>
    <row r="628" spans="1:19" hidden="1" x14ac:dyDescent="0.2">
      <c r="A628">
        <v>19</v>
      </c>
      <c r="B628" t="s">
        <v>16</v>
      </c>
      <c r="C628">
        <v>20</v>
      </c>
      <c r="D628">
        <v>1</v>
      </c>
      <c r="E628">
        <v>1022</v>
      </c>
      <c r="F628" t="b">
        <v>1</v>
      </c>
      <c r="G628">
        <v>84.652000000000001</v>
      </c>
      <c r="H628">
        <v>21</v>
      </c>
      <c r="I628">
        <v>2</v>
      </c>
      <c r="J628">
        <v>0.24</v>
      </c>
      <c r="K628" t="s">
        <v>1451</v>
      </c>
      <c r="L628">
        <v>0</v>
      </c>
      <c r="N628" t="s">
        <v>1452</v>
      </c>
      <c r="O628" t="s">
        <v>1453</v>
      </c>
      <c r="P628" t="s">
        <v>20</v>
      </c>
      <c r="Q628">
        <f>(VALUE(LEFT(SUBSTITUTE(O628,"T"," "),23)) - VALUE(LEFT(SUBSTITUTE(N628,"T"," "),23))) * 86400</f>
        <v>313.98800031747669</v>
      </c>
      <c r="R628">
        <f>I628/G628</f>
        <v>2.362613996125313E-2</v>
      </c>
      <c r="S628">
        <f>H628/G628</f>
        <v>0.24807446959315788</v>
      </c>
    </row>
    <row r="629" spans="1:19" hidden="1" x14ac:dyDescent="0.2">
      <c r="A629">
        <v>22</v>
      </c>
      <c r="B629" t="s">
        <v>16</v>
      </c>
      <c r="C629">
        <v>50</v>
      </c>
      <c r="D629">
        <v>1</v>
      </c>
      <c r="E629">
        <v>1022</v>
      </c>
      <c r="F629" t="b">
        <v>1</v>
      </c>
      <c r="G629">
        <v>76.304000000000002</v>
      </c>
      <c r="H629">
        <v>21</v>
      </c>
      <c r="I629">
        <v>11</v>
      </c>
      <c r="J629">
        <v>1.86</v>
      </c>
      <c r="K629" t="s">
        <v>1460</v>
      </c>
      <c r="L629">
        <v>0</v>
      </c>
      <c r="N629" t="s">
        <v>1461</v>
      </c>
      <c r="O629" t="s">
        <v>1462</v>
      </c>
      <c r="P629" t="s">
        <v>20</v>
      </c>
      <c r="Q629">
        <f>(VALUE(LEFT(SUBSTITUTE(O629,"T"," "),23)) - VALUE(LEFT(SUBSTITUTE(N629,"T"," "),23))) * 86400</f>
        <v>302.88599983323365</v>
      </c>
      <c r="R629">
        <f>I629/G629</f>
        <v>0.14416020130006291</v>
      </c>
      <c r="S629">
        <f>H629/G629</f>
        <v>0.27521492975466555</v>
      </c>
    </row>
    <row r="630" spans="1:19" hidden="1" x14ac:dyDescent="0.2">
      <c r="A630">
        <v>25</v>
      </c>
      <c r="B630" t="s">
        <v>16</v>
      </c>
      <c r="C630">
        <v>70</v>
      </c>
      <c r="D630">
        <v>1</v>
      </c>
      <c r="E630">
        <v>1022</v>
      </c>
      <c r="F630" t="b">
        <v>1</v>
      </c>
      <c r="G630">
        <v>51.228000000000002</v>
      </c>
      <c r="H630">
        <v>19</v>
      </c>
      <c r="I630">
        <v>8</v>
      </c>
      <c r="J630">
        <v>1.2</v>
      </c>
      <c r="K630" t="s">
        <v>1469</v>
      </c>
      <c r="L630">
        <v>0</v>
      </c>
      <c r="N630" t="s">
        <v>1470</v>
      </c>
      <c r="O630" t="s">
        <v>1471</v>
      </c>
      <c r="P630" t="s">
        <v>20</v>
      </c>
      <c r="Q630">
        <f>(VALUE(LEFT(SUBSTITUTE(O630,"T"," "),23)) - VALUE(LEFT(SUBSTITUTE(N630,"T"," "),23))) * 86400</f>
        <v>217.35300030559301</v>
      </c>
      <c r="R630">
        <f>I630/G630</f>
        <v>0.15616459748574998</v>
      </c>
      <c r="S630">
        <f>H630/G630</f>
        <v>0.37089091902865617</v>
      </c>
    </row>
    <row r="631" spans="1:19" hidden="1" x14ac:dyDescent="0.2">
      <c r="A631">
        <v>2</v>
      </c>
      <c r="B631" t="s">
        <v>25</v>
      </c>
      <c r="C631">
        <v>-1</v>
      </c>
      <c r="D631">
        <v>1</v>
      </c>
      <c r="E631">
        <v>1020</v>
      </c>
      <c r="F631" t="b">
        <v>1</v>
      </c>
      <c r="G631">
        <v>44.82</v>
      </c>
      <c r="H631">
        <v>30</v>
      </c>
      <c r="I631">
        <v>6</v>
      </c>
      <c r="J631">
        <v>4.8600000000000003</v>
      </c>
      <c r="K631" t="s">
        <v>3685</v>
      </c>
      <c r="L631">
        <v>0</v>
      </c>
      <c r="N631" t="s">
        <v>3686</v>
      </c>
      <c r="O631" t="s">
        <v>3687</v>
      </c>
      <c r="P631" t="s">
        <v>20</v>
      </c>
      <c r="Q631">
        <f>(VALUE(LEFT(SUBSTITUTE(O631,"T"," "),23)) - VALUE(LEFT(SUBSTITUTE(N631,"T"," "),23))) * 86400</f>
        <v>180.25499945506454</v>
      </c>
      <c r="R631">
        <f>I631/G631</f>
        <v>0.13386880856760375</v>
      </c>
      <c r="S631">
        <f>H631/G631</f>
        <v>0.66934404283801874</v>
      </c>
    </row>
    <row r="632" spans="1:19" hidden="1" x14ac:dyDescent="0.2">
      <c r="A632">
        <v>32</v>
      </c>
      <c r="B632" t="s">
        <v>21</v>
      </c>
      <c r="C632">
        <v>0</v>
      </c>
      <c r="D632">
        <v>2</v>
      </c>
      <c r="E632">
        <v>1023</v>
      </c>
      <c r="F632" t="b">
        <v>1</v>
      </c>
      <c r="G632">
        <v>126.3</v>
      </c>
      <c r="H632">
        <v>27</v>
      </c>
      <c r="I632">
        <v>2</v>
      </c>
      <c r="J632">
        <v>1.2</v>
      </c>
      <c r="K632" t="s">
        <v>1490</v>
      </c>
      <c r="L632">
        <v>0</v>
      </c>
      <c r="N632" t="s">
        <v>1491</v>
      </c>
      <c r="O632" t="s">
        <v>1492</v>
      </c>
      <c r="P632" t="s">
        <v>20</v>
      </c>
      <c r="Q632">
        <f>(VALUE(LEFT(SUBSTITUTE(O632,"T"," "),23)) - VALUE(LEFT(SUBSTITUTE(N632,"T"," "),23))) * 86400</f>
        <v>534.85300003085285</v>
      </c>
      <c r="R632">
        <f>I632/G632</f>
        <v>1.5835312747426764E-2</v>
      </c>
      <c r="S632">
        <f>H632/G632</f>
        <v>0.2137767220902613</v>
      </c>
    </row>
    <row r="633" spans="1:19" x14ac:dyDescent="0.2">
      <c r="A633" s="1">
        <v>8</v>
      </c>
      <c r="B633" s="1" t="s">
        <v>21</v>
      </c>
      <c r="C633" s="1">
        <v>2</v>
      </c>
      <c r="D633" s="1">
        <v>1</v>
      </c>
      <c r="E633" s="1">
        <v>1001</v>
      </c>
      <c r="F633" s="1" t="b">
        <v>1</v>
      </c>
      <c r="G633" s="1">
        <v>65.16</v>
      </c>
      <c r="H633" s="1">
        <v>26</v>
      </c>
      <c r="I633" s="1">
        <v>1</v>
      </c>
      <c r="J633" s="1">
        <v>0.06</v>
      </c>
      <c r="K633" s="1" t="s">
        <v>311</v>
      </c>
      <c r="L633" s="1">
        <v>0</v>
      </c>
      <c r="M633" s="1"/>
      <c r="N633" s="1" t="s">
        <v>312</v>
      </c>
      <c r="O633" s="1" t="s">
        <v>313</v>
      </c>
      <c r="P633" s="1" t="s">
        <v>20</v>
      </c>
      <c r="Q633">
        <f>(VALUE(LEFT(SUBSTITUTE(O633,"T"," "),23)) - VALUE(LEFT(SUBSTITUTE(N633,"T"," "),23))) * 86400</f>
        <v>355.24000008590519</v>
      </c>
      <c r="R633">
        <f>I633/G633</f>
        <v>1.5346838551258441E-2</v>
      </c>
      <c r="S633">
        <f>H633/G633</f>
        <v>0.3990178023327195</v>
      </c>
    </row>
    <row r="634" spans="1:19" hidden="1" x14ac:dyDescent="0.2">
      <c r="A634">
        <v>38</v>
      </c>
      <c r="B634" t="s">
        <v>21</v>
      </c>
      <c r="C634">
        <v>5</v>
      </c>
      <c r="D634">
        <v>2</v>
      </c>
      <c r="E634">
        <v>1023</v>
      </c>
      <c r="F634" t="b">
        <v>1</v>
      </c>
      <c r="G634">
        <v>56.404000000000003</v>
      </c>
      <c r="H634">
        <v>26</v>
      </c>
      <c r="I634">
        <v>2</v>
      </c>
      <c r="J634">
        <v>0.12</v>
      </c>
      <c r="K634" t="s">
        <v>1508</v>
      </c>
      <c r="L634">
        <v>0</v>
      </c>
      <c r="N634" t="s">
        <v>1509</v>
      </c>
      <c r="O634" t="s">
        <v>1510</v>
      </c>
      <c r="P634" t="s">
        <v>20</v>
      </c>
      <c r="Q634">
        <f>(VALUE(LEFT(SUBSTITUTE(O634,"T"," "),23)) - VALUE(LEFT(SUBSTITUTE(N634,"T"," "),23))) * 86400</f>
        <v>180.2119996631518</v>
      </c>
      <c r="R634">
        <f>I634/G634</f>
        <v>3.5458478122118997E-2</v>
      </c>
      <c r="S634">
        <f>H634/G634</f>
        <v>0.46096021558754696</v>
      </c>
    </row>
    <row r="635" spans="1:19" hidden="1" x14ac:dyDescent="0.2">
      <c r="A635">
        <v>41</v>
      </c>
      <c r="B635" t="s">
        <v>21</v>
      </c>
      <c r="C635">
        <v>10</v>
      </c>
      <c r="D635">
        <v>2</v>
      </c>
      <c r="E635">
        <v>1023</v>
      </c>
      <c r="F635" t="b">
        <v>1</v>
      </c>
      <c r="G635">
        <v>56.991999999999997</v>
      </c>
      <c r="H635">
        <v>26</v>
      </c>
      <c r="I635">
        <v>7</v>
      </c>
      <c r="J635">
        <v>2.76</v>
      </c>
      <c r="K635" t="s">
        <v>1517</v>
      </c>
      <c r="L635">
        <v>0</v>
      </c>
      <c r="N635" t="s">
        <v>1518</v>
      </c>
      <c r="O635" t="s">
        <v>1519</v>
      </c>
      <c r="P635" t="s">
        <v>20</v>
      </c>
      <c r="Q635">
        <f>(VALUE(LEFT(SUBSTITUTE(O635,"T"," "),23)) - VALUE(LEFT(SUBSTITUTE(N635,"T"," "),23))) * 86400</f>
        <v>304.80700002517551</v>
      </c>
      <c r="R635">
        <f>I635/G635</f>
        <v>0.12282425603593487</v>
      </c>
      <c r="S635">
        <f>H635/G635</f>
        <v>0.45620437956204379</v>
      </c>
    </row>
    <row r="636" spans="1:19" hidden="1" x14ac:dyDescent="0.2">
      <c r="A636">
        <v>44</v>
      </c>
      <c r="B636" t="s">
        <v>21</v>
      </c>
      <c r="C636">
        <v>15</v>
      </c>
      <c r="D636">
        <v>2</v>
      </c>
      <c r="E636">
        <v>1023</v>
      </c>
      <c r="F636" t="b">
        <v>1</v>
      </c>
      <c r="G636">
        <v>59.908000000000001</v>
      </c>
      <c r="H636">
        <v>23</v>
      </c>
      <c r="I636">
        <v>4</v>
      </c>
      <c r="J636">
        <v>1.74</v>
      </c>
      <c r="K636" t="s">
        <v>1526</v>
      </c>
      <c r="L636">
        <v>0</v>
      </c>
      <c r="N636" t="s">
        <v>1527</v>
      </c>
      <c r="O636" t="s">
        <v>1528</v>
      </c>
      <c r="P636" t="s">
        <v>20</v>
      </c>
      <c r="Q636">
        <f>(VALUE(LEFT(SUBSTITUTE(O636,"T"," "),23)) - VALUE(LEFT(SUBSTITUTE(N636,"T"," "),23))) * 86400</f>
        <v>298.34499964490533</v>
      </c>
      <c r="R636">
        <f>I636/G636</f>
        <v>6.6769045870334512E-2</v>
      </c>
      <c r="S636">
        <f>H636/G636</f>
        <v>0.38392201375442342</v>
      </c>
    </row>
    <row r="637" spans="1:19" hidden="1" x14ac:dyDescent="0.2">
      <c r="A637">
        <v>47</v>
      </c>
      <c r="B637" t="s">
        <v>21</v>
      </c>
      <c r="C637">
        <v>20</v>
      </c>
      <c r="D637">
        <v>2</v>
      </c>
      <c r="E637">
        <v>1023</v>
      </c>
      <c r="F637" t="b">
        <v>1</v>
      </c>
      <c r="G637">
        <v>87.391999999999996</v>
      </c>
      <c r="H637">
        <v>23</v>
      </c>
      <c r="I637">
        <v>8</v>
      </c>
      <c r="J637">
        <v>1.08</v>
      </c>
      <c r="K637" t="s">
        <v>1535</v>
      </c>
      <c r="L637">
        <v>0</v>
      </c>
      <c r="N637" t="s">
        <v>1536</v>
      </c>
      <c r="O637" t="s">
        <v>1537</v>
      </c>
      <c r="P637" t="s">
        <v>20</v>
      </c>
      <c r="Q637">
        <f>(VALUE(LEFT(SUBSTITUTE(O637,"T"," "),23)) - VALUE(LEFT(SUBSTITUTE(N637,"T"," "),23))) * 86400</f>
        <v>433.25800001621246</v>
      </c>
      <c r="R637">
        <f>I637/G637</f>
        <v>9.1541559868180161E-2</v>
      </c>
      <c r="S637">
        <f>H637/G637</f>
        <v>0.26318198462101794</v>
      </c>
    </row>
    <row r="638" spans="1:19" hidden="1" x14ac:dyDescent="0.2">
      <c r="A638">
        <v>50</v>
      </c>
      <c r="B638" t="s">
        <v>21</v>
      </c>
      <c r="C638">
        <v>50</v>
      </c>
      <c r="D638">
        <v>2</v>
      </c>
      <c r="E638">
        <v>1023</v>
      </c>
      <c r="F638" t="b">
        <v>1</v>
      </c>
      <c r="G638">
        <v>53.756</v>
      </c>
      <c r="H638">
        <v>25</v>
      </c>
      <c r="I638">
        <v>2</v>
      </c>
      <c r="J638">
        <v>0.54</v>
      </c>
      <c r="K638" t="s">
        <v>1544</v>
      </c>
      <c r="L638">
        <v>0</v>
      </c>
      <c r="N638" t="s">
        <v>1545</v>
      </c>
      <c r="O638" t="s">
        <v>1546</v>
      </c>
      <c r="P638" t="s">
        <v>20</v>
      </c>
      <c r="Q638">
        <f>(VALUE(LEFT(SUBSTITUTE(O638,"T"," "),23)) - VALUE(LEFT(SUBSTITUTE(N638,"T"," "),23))) * 86400</f>
        <v>223.03500026464462</v>
      </c>
      <c r="R638">
        <f>I638/G638</f>
        <v>3.7205149192648265E-2</v>
      </c>
      <c r="S638">
        <f>H638/G638</f>
        <v>0.46506436490810327</v>
      </c>
    </row>
    <row r="639" spans="1:19" hidden="1" x14ac:dyDescent="0.2">
      <c r="A639">
        <v>53</v>
      </c>
      <c r="B639" t="s">
        <v>21</v>
      </c>
      <c r="C639">
        <v>70</v>
      </c>
      <c r="D639">
        <v>2</v>
      </c>
      <c r="E639">
        <v>1023</v>
      </c>
      <c r="F639" t="b">
        <v>1</v>
      </c>
      <c r="G639">
        <v>54.055999999999997</v>
      </c>
      <c r="H639">
        <v>25</v>
      </c>
      <c r="I639">
        <v>1</v>
      </c>
      <c r="J639">
        <v>0.48</v>
      </c>
      <c r="K639" t="s">
        <v>1553</v>
      </c>
      <c r="L639">
        <v>0</v>
      </c>
      <c r="N639" t="s">
        <v>1554</v>
      </c>
      <c r="O639" t="s">
        <v>1555</v>
      </c>
      <c r="P639" t="s">
        <v>20</v>
      </c>
      <c r="Q639">
        <f>(VALUE(LEFT(SUBSTITUTE(O639,"T"," "),23)) - VALUE(LEFT(SUBSTITUTE(N639,"T"," "),23))) * 86400</f>
        <v>229.22600030433387</v>
      </c>
      <c r="R639">
        <f>I639/G639</f>
        <v>1.8499334023975137E-2</v>
      </c>
      <c r="S639">
        <f>H639/G639</f>
        <v>0.46248335059937845</v>
      </c>
    </row>
    <row r="640" spans="1:19" hidden="1" x14ac:dyDescent="0.2">
      <c r="A640">
        <v>3</v>
      </c>
      <c r="B640" t="s">
        <v>25</v>
      </c>
      <c r="C640">
        <v>-1</v>
      </c>
      <c r="D640">
        <v>1</v>
      </c>
      <c r="E640">
        <v>1012</v>
      </c>
      <c r="F640" t="b">
        <v>1</v>
      </c>
      <c r="G640">
        <v>38.908000000000001</v>
      </c>
      <c r="H640">
        <v>26</v>
      </c>
      <c r="I640">
        <v>6</v>
      </c>
      <c r="J640">
        <v>6.9</v>
      </c>
      <c r="K640" t="s">
        <v>982</v>
      </c>
      <c r="L640">
        <v>0</v>
      </c>
      <c r="N640" t="s">
        <v>983</v>
      </c>
      <c r="O640" t="s">
        <v>984</v>
      </c>
      <c r="P640" t="s">
        <v>20</v>
      </c>
      <c r="Q640">
        <f>(VALUE(LEFT(SUBSTITUTE(O640,"T"," "),23)) - VALUE(LEFT(SUBSTITUTE(N640,"T"," "),23))) * 86400</f>
        <v>142.25099994800985</v>
      </c>
      <c r="R640">
        <f>I640/G640</f>
        <v>0.1542099311195641</v>
      </c>
      <c r="S640">
        <f>H640/G640</f>
        <v>0.66824303485144443</v>
      </c>
    </row>
    <row r="641" spans="1:19" hidden="1" x14ac:dyDescent="0.2">
      <c r="A641">
        <v>33</v>
      </c>
      <c r="B641" t="s">
        <v>25</v>
      </c>
      <c r="C641">
        <v>0</v>
      </c>
      <c r="D641">
        <v>2</v>
      </c>
      <c r="E641">
        <v>1023</v>
      </c>
      <c r="F641" t="b">
        <v>1</v>
      </c>
      <c r="G641">
        <v>45.212000000000003</v>
      </c>
      <c r="H641">
        <v>28</v>
      </c>
      <c r="I641">
        <v>0</v>
      </c>
      <c r="J641">
        <v>0</v>
      </c>
      <c r="K641" t="s">
        <v>1493</v>
      </c>
      <c r="L641">
        <v>0</v>
      </c>
      <c r="N641" t="s">
        <v>1494</v>
      </c>
      <c r="O641" t="s">
        <v>1495</v>
      </c>
      <c r="P641" t="s">
        <v>20</v>
      </c>
      <c r="Q641">
        <f>(VALUE(LEFT(SUBSTITUTE(O641,"T"," "),23)) - VALUE(LEFT(SUBSTITUTE(N641,"T"," "),23))) * 86400</f>
        <v>156.81199959944934</v>
      </c>
      <c r="R641">
        <f>I641/G641</f>
        <v>0</v>
      </c>
      <c r="S641">
        <f>H641/G641</f>
        <v>0.61930460939573562</v>
      </c>
    </row>
    <row r="642" spans="1:19" x14ac:dyDescent="0.2">
      <c r="A642">
        <v>29</v>
      </c>
      <c r="B642" t="s">
        <v>2531</v>
      </c>
      <c r="C642">
        <v>2</v>
      </c>
      <c r="D642">
        <v>4</v>
      </c>
      <c r="E642">
        <v>1003</v>
      </c>
      <c r="F642" t="b">
        <v>1</v>
      </c>
      <c r="G642">
        <v>72.656000000000006</v>
      </c>
      <c r="H642">
        <v>29</v>
      </c>
      <c r="I642">
        <v>2</v>
      </c>
      <c r="J642">
        <v>0.18</v>
      </c>
      <c r="K642" t="s">
        <v>2616</v>
      </c>
      <c r="L642">
        <v>0</v>
      </c>
      <c r="N642" t="s">
        <v>2617</v>
      </c>
      <c r="O642" t="s">
        <v>2618</v>
      </c>
      <c r="P642" t="s">
        <v>20</v>
      </c>
      <c r="Q642">
        <f>(VALUE(LEFT(SUBSTITUTE(O642,"T"," "),23)) - VALUE(LEFT(SUBSTITUTE(N642,"T"," "),23))) * 86400</f>
        <v>324.63400033302605</v>
      </c>
      <c r="R642">
        <f>I642/G642</f>
        <v>2.7526976436908168E-2</v>
      </c>
      <c r="S642">
        <f>H642/G642</f>
        <v>0.39914115833516844</v>
      </c>
    </row>
    <row r="643" spans="1:19" hidden="1" x14ac:dyDescent="0.2">
      <c r="A643">
        <v>39</v>
      </c>
      <c r="B643" t="s">
        <v>25</v>
      </c>
      <c r="C643">
        <v>5</v>
      </c>
      <c r="D643">
        <v>2</v>
      </c>
      <c r="E643">
        <v>1023</v>
      </c>
      <c r="F643" t="b">
        <v>1</v>
      </c>
      <c r="G643">
        <v>63.835999999999999</v>
      </c>
      <c r="H643">
        <v>25</v>
      </c>
      <c r="I643">
        <v>2</v>
      </c>
      <c r="J643">
        <v>0.18</v>
      </c>
      <c r="K643" t="s">
        <v>1511</v>
      </c>
      <c r="L643">
        <v>0</v>
      </c>
      <c r="N643" t="s">
        <v>1512</v>
      </c>
      <c r="O643" t="s">
        <v>1513</v>
      </c>
      <c r="P643" t="s">
        <v>20</v>
      </c>
      <c r="Q643">
        <f>(VALUE(LEFT(SUBSTITUTE(O643,"T"," "),23)) - VALUE(LEFT(SUBSTITUTE(N643,"T"," "),23))) * 86400</f>
        <v>235.69300028029829</v>
      </c>
      <c r="R643">
        <f>I643/G643</f>
        <v>3.1330283852371701E-2</v>
      </c>
      <c r="S643">
        <f>H643/G643</f>
        <v>0.39162854815464632</v>
      </c>
    </row>
    <row r="644" spans="1:19" hidden="1" x14ac:dyDescent="0.2">
      <c r="A644">
        <v>42</v>
      </c>
      <c r="B644" t="s">
        <v>25</v>
      </c>
      <c r="C644">
        <v>10</v>
      </c>
      <c r="D644">
        <v>2</v>
      </c>
      <c r="E644">
        <v>1023</v>
      </c>
      <c r="F644" t="b">
        <v>1</v>
      </c>
      <c r="G644">
        <v>51.423999999999999</v>
      </c>
      <c r="H644">
        <v>28</v>
      </c>
      <c r="I644">
        <v>1</v>
      </c>
      <c r="J644">
        <v>0.3</v>
      </c>
      <c r="K644" t="s">
        <v>1520</v>
      </c>
      <c r="L644">
        <v>0</v>
      </c>
      <c r="N644" t="s">
        <v>1521</v>
      </c>
      <c r="O644" t="s">
        <v>1522</v>
      </c>
      <c r="P644" t="s">
        <v>20</v>
      </c>
      <c r="Q644">
        <f>(VALUE(LEFT(SUBSTITUTE(O644,"T"," "),23)) - VALUE(LEFT(SUBSTITUTE(N644,"T"," "),23))) * 86400</f>
        <v>232.53500028513372</v>
      </c>
      <c r="R644">
        <f>I644/G644</f>
        <v>1.9446172993154948E-2</v>
      </c>
      <c r="S644">
        <f>H644/G644</f>
        <v>0.54449284380833851</v>
      </c>
    </row>
    <row r="645" spans="1:19" hidden="1" x14ac:dyDescent="0.2">
      <c r="A645">
        <v>45</v>
      </c>
      <c r="B645" t="s">
        <v>25</v>
      </c>
      <c r="C645">
        <v>15</v>
      </c>
      <c r="D645">
        <v>2</v>
      </c>
      <c r="E645">
        <v>1023</v>
      </c>
      <c r="F645" t="b">
        <v>1</v>
      </c>
      <c r="G645">
        <v>48.292000000000002</v>
      </c>
      <c r="H645">
        <v>30</v>
      </c>
      <c r="I645">
        <v>1</v>
      </c>
      <c r="J645">
        <v>1.02</v>
      </c>
      <c r="K645" t="s">
        <v>1529</v>
      </c>
      <c r="L645">
        <v>0</v>
      </c>
      <c r="N645" t="s">
        <v>1530</v>
      </c>
      <c r="O645" t="s">
        <v>1531</v>
      </c>
      <c r="P645" t="s">
        <v>20</v>
      </c>
      <c r="Q645">
        <f>(VALUE(LEFT(SUBSTITUTE(O645,"T"," "),23)) - VALUE(LEFT(SUBSTITUTE(N645,"T"," "),23))) * 86400</f>
        <v>219.56600002013147</v>
      </c>
      <c r="R645">
        <f>I645/G645</f>
        <v>2.0707363538474282E-2</v>
      </c>
      <c r="S645">
        <f>H645/G645</f>
        <v>0.62122090615422842</v>
      </c>
    </row>
    <row r="646" spans="1:19" hidden="1" x14ac:dyDescent="0.2">
      <c r="A646">
        <v>48</v>
      </c>
      <c r="B646" t="s">
        <v>25</v>
      </c>
      <c r="C646">
        <v>20</v>
      </c>
      <c r="D646">
        <v>2</v>
      </c>
      <c r="E646">
        <v>1023</v>
      </c>
      <c r="F646" t="b">
        <v>1</v>
      </c>
      <c r="G646">
        <v>56.468000000000004</v>
      </c>
      <c r="H646">
        <v>26</v>
      </c>
      <c r="I646">
        <v>2</v>
      </c>
      <c r="J646">
        <v>0.18</v>
      </c>
      <c r="K646" t="s">
        <v>1538</v>
      </c>
      <c r="L646">
        <v>0</v>
      </c>
      <c r="N646" t="s">
        <v>1539</v>
      </c>
      <c r="O646" t="s">
        <v>1540</v>
      </c>
      <c r="P646" t="s">
        <v>20</v>
      </c>
      <c r="Q646">
        <f>(VALUE(LEFT(SUBSTITUTE(O646,"T"," "),23)) - VALUE(LEFT(SUBSTITUTE(N646,"T"," "),23))) * 86400</f>
        <v>164.19899999164045</v>
      </c>
      <c r="R646">
        <f>I646/G646</f>
        <v>3.5418290004958559E-2</v>
      </c>
      <c r="S646">
        <f>H646/G646</f>
        <v>0.46043777006446124</v>
      </c>
    </row>
    <row r="647" spans="1:19" hidden="1" x14ac:dyDescent="0.2">
      <c r="A647">
        <v>51</v>
      </c>
      <c r="B647" t="s">
        <v>25</v>
      </c>
      <c r="C647">
        <v>50</v>
      </c>
      <c r="D647">
        <v>2</v>
      </c>
      <c r="E647">
        <v>1023</v>
      </c>
      <c r="F647" t="b">
        <v>1</v>
      </c>
      <c r="G647">
        <v>37.112000000000002</v>
      </c>
      <c r="H647">
        <v>27</v>
      </c>
      <c r="I647">
        <v>0</v>
      </c>
      <c r="J647">
        <v>0</v>
      </c>
      <c r="K647" t="s">
        <v>1547</v>
      </c>
      <c r="L647">
        <v>0</v>
      </c>
      <c r="N647" t="s">
        <v>1548</v>
      </c>
      <c r="O647" t="s">
        <v>1549</v>
      </c>
      <c r="P647" t="s">
        <v>20</v>
      </c>
      <c r="Q647">
        <f>(VALUE(LEFT(SUBSTITUTE(O647,"T"," "),23)) - VALUE(LEFT(SUBSTITUTE(N647,"T"," "),23))) * 86400</f>
        <v>166.5009998017922</v>
      </c>
      <c r="R647">
        <f>I647/G647</f>
        <v>0</v>
      </c>
      <c r="S647">
        <f>H647/G647</f>
        <v>0.72752748437163173</v>
      </c>
    </row>
    <row r="648" spans="1:19" hidden="1" x14ac:dyDescent="0.2">
      <c r="A648">
        <v>54</v>
      </c>
      <c r="B648" t="s">
        <v>25</v>
      </c>
      <c r="C648">
        <v>70</v>
      </c>
      <c r="D648">
        <v>2</v>
      </c>
      <c r="E648">
        <v>1023</v>
      </c>
      <c r="F648" t="b">
        <v>1</v>
      </c>
      <c r="G648">
        <v>40.283999999999999</v>
      </c>
      <c r="H648">
        <v>25</v>
      </c>
      <c r="I648">
        <v>1</v>
      </c>
      <c r="J648">
        <v>0.9</v>
      </c>
      <c r="K648" t="s">
        <v>1556</v>
      </c>
      <c r="L648">
        <v>0</v>
      </c>
      <c r="N648" t="s">
        <v>1557</v>
      </c>
      <c r="O648" t="s">
        <v>1558</v>
      </c>
      <c r="P648" t="s">
        <v>20</v>
      </c>
      <c r="Q648">
        <f>(VALUE(LEFT(SUBSTITUTE(O648,"T"," "),23)) - VALUE(LEFT(SUBSTITUTE(N648,"T"," "),23))) * 86400</f>
        <v>197.79099994339049</v>
      </c>
      <c r="R648">
        <f>I648/G648</f>
        <v>2.4823751365306325E-2</v>
      </c>
      <c r="S648">
        <f>H648/G648</f>
        <v>0.6205937841326582</v>
      </c>
    </row>
    <row r="649" spans="1:19" hidden="1" x14ac:dyDescent="0.2">
      <c r="A649" s="1">
        <v>3</v>
      </c>
      <c r="B649" s="1" t="s">
        <v>25</v>
      </c>
      <c r="C649" s="1">
        <v>-1</v>
      </c>
      <c r="D649" s="1">
        <v>1</v>
      </c>
      <c r="E649" s="1">
        <v>1011</v>
      </c>
      <c r="F649" s="1" t="b">
        <v>1</v>
      </c>
      <c r="G649" s="1">
        <v>37.816000000000003</v>
      </c>
      <c r="H649" s="1">
        <v>25</v>
      </c>
      <c r="I649" s="1">
        <v>5</v>
      </c>
      <c r="J649" s="1">
        <v>5.64</v>
      </c>
      <c r="K649" s="1" t="s">
        <v>377</v>
      </c>
      <c r="L649" s="1">
        <v>0</v>
      </c>
      <c r="M649" s="1"/>
      <c r="N649" s="1" t="s">
        <v>378</v>
      </c>
      <c r="O649" s="1" t="s">
        <v>379</v>
      </c>
      <c r="P649" s="1" t="s">
        <v>20</v>
      </c>
      <c r="Q649">
        <f>(VALUE(LEFT(SUBSTITUTE(O649,"T"," "),23)) - VALUE(LEFT(SUBSTITUTE(N649,"T"," "),23))) * 86400</f>
        <v>170.4580003162846</v>
      </c>
      <c r="R649">
        <f>I649/G649</f>
        <v>0.13221916649037443</v>
      </c>
      <c r="S649">
        <f>H649/G649</f>
        <v>0.6610958324518722</v>
      </c>
    </row>
    <row r="650" spans="1:19" hidden="1" x14ac:dyDescent="0.2">
      <c r="A650">
        <v>31</v>
      </c>
      <c r="B650" t="s">
        <v>16</v>
      </c>
      <c r="C650">
        <v>0</v>
      </c>
      <c r="D650">
        <v>2</v>
      </c>
      <c r="E650">
        <v>1023</v>
      </c>
      <c r="F650" t="b">
        <v>1</v>
      </c>
      <c r="G650">
        <v>85.215999999999994</v>
      </c>
      <c r="H650">
        <v>24</v>
      </c>
      <c r="I650">
        <v>3</v>
      </c>
      <c r="J650">
        <v>0.54</v>
      </c>
      <c r="K650" t="s">
        <v>1487</v>
      </c>
      <c r="L650">
        <v>0</v>
      </c>
      <c r="N650" t="s">
        <v>1488</v>
      </c>
      <c r="O650" t="s">
        <v>1489</v>
      </c>
      <c r="P650" t="s">
        <v>20</v>
      </c>
      <c r="Q650">
        <f>(VALUE(LEFT(SUBSTITUTE(O650,"T"," "),23)) - VALUE(LEFT(SUBSTITUTE(N650,"T"," "),23))) * 86400</f>
        <v>407.07100038416684</v>
      </c>
      <c r="R650">
        <f>I650/G650</f>
        <v>3.5204656402553512E-2</v>
      </c>
      <c r="S650">
        <f>H650/G650</f>
        <v>0.2816372512204281</v>
      </c>
    </row>
    <row r="651" spans="1:19" x14ac:dyDescent="0.2">
      <c r="A651">
        <v>37</v>
      </c>
      <c r="B651" t="s">
        <v>2531</v>
      </c>
      <c r="C651">
        <v>2</v>
      </c>
      <c r="D651">
        <v>5</v>
      </c>
      <c r="E651">
        <v>1014</v>
      </c>
      <c r="F651" t="b">
        <v>1</v>
      </c>
      <c r="G651">
        <v>72.48</v>
      </c>
      <c r="H651">
        <v>29</v>
      </c>
      <c r="I651">
        <v>2</v>
      </c>
      <c r="J651">
        <v>0.18</v>
      </c>
      <c r="K651" t="s">
        <v>2760</v>
      </c>
      <c r="L651">
        <v>0</v>
      </c>
      <c r="N651" t="s">
        <v>2761</v>
      </c>
      <c r="O651" t="s">
        <v>2762</v>
      </c>
      <c r="P651" t="s">
        <v>20</v>
      </c>
      <c r="Q651">
        <f>(VALUE(LEFT(SUBSTITUTE(O651,"T"," "),23)) - VALUE(LEFT(SUBSTITUTE(N651,"T"," "),23))) * 86400</f>
        <v>400.93999989330769</v>
      </c>
      <c r="R651">
        <f>I651/G651</f>
        <v>2.759381898454746E-2</v>
      </c>
      <c r="S651">
        <f>H651/G651</f>
        <v>0.40011037527593818</v>
      </c>
    </row>
    <row r="652" spans="1:19" hidden="1" x14ac:dyDescent="0.2">
      <c r="A652">
        <v>37</v>
      </c>
      <c r="B652" t="s">
        <v>16</v>
      </c>
      <c r="C652">
        <v>5</v>
      </c>
      <c r="D652">
        <v>2</v>
      </c>
      <c r="E652">
        <v>1023</v>
      </c>
      <c r="F652" t="b">
        <v>1</v>
      </c>
      <c r="G652">
        <v>50.32</v>
      </c>
      <c r="H652">
        <v>29</v>
      </c>
      <c r="I652">
        <v>0</v>
      </c>
      <c r="J652">
        <v>0</v>
      </c>
      <c r="K652" t="s">
        <v>1505</v>
      </c>
      <c r="L652">
        <v>0</v>
      </c>
      <c r="N652" t="s">
        <v>1506</v>
      </c>
      <c r="O652" t="s">
        <v>1507</v>
      </c>
      <c r="P652" t="s">
        <v>20</v>
      </c>
      <c r="Q652">
        <f>(VALUE(LEFT(SUBSTITUTE(O652,"T"," "),23)) - VALUE(LEFT(SUBSTITUTE(N652,"T"," "),23))) * 86400</f>
        <v>280.19200013950467</v>
      </c>
      <c r="R652">
        <f>I652/G652</f>
        <v>0</v>
      </c>
      <c r="S652">
        <f>H652/G652</f>
        <v>0.57631160572337048</v>
      </c>
    </row>
    <row r="653" spans="1:19" hidden="1" x14ac:dyDescent="0.2">
      <c r="A653">
        <v>40</v>
      </c>
      <c r="B653" t="s">
        <v>16</v>
      </c>
      <c r="C653">
        <v>10</v>
      </c>
      <c r="D653">
        <v>2</v>
      </c>
      <c r="E653">
        <v>1023</v>
      </c>
      <c r="F653" t="b">
        <v>1</v>
      </c>
      <c r="G653">
        <v>72.62</v>
      </c>
      <c r="H653">
        <v>24</v>
      </c>
      <c r="I653">
        <v>5</v>
      </c>
      <c r="J653">
        <v>1.02</v>
      </c>
      <c r="K653" t="s">
        <v>1514</v>
      </c>
      <c r="L653">
        <v>0</v>
      </c>
      <c r="N653" t="s">
        <v>1515</v>
      </c>
      <c r="O653" t="s">
        <v>1516</v>
      </c>
      <c r="P653" t="s">
        <v>20</v>
      </c>
      <c r="Q653">
        <f>(VALUE(LEFT(SUBSTITUTE(O653,"T"," "),23)) - VALUE(LEFT(SUBSTITUTE(N653,"T"," "),23))) * 86400</f>
        <v>334.77100026793778</v>
      </c>
      <c r="R653">
        <f>I653/G653</f>
        <v>6.8851556045166615E-2</v>
      </c>
      <c r="S653">
        <f>H653/G653</f>
        <v>0.33048746901679976</v>
      </c>
    </row>
    <row r="654" spans="1:19" hidden="1" x14ac:dyDescent="0.2">
      <c r="A654">
        <v>43</v>
      </c>
      <c r="B654" t="s">
        <v>16</v>
      </c>
      <c r="C654">
        <v>15</v>
      </c>
      <c r="D654">
        <v>2</v>
      </c>
      <c r="E654">
        <v>1023</v>
      </c>
      <c r="F654" t="b">
        <v>1</v>
      </c>
      <c r="G654">
        <v>92.24</v>
      </c>
      <c r="H654">
        <v>27</v>
      </c>
      <c r="I654">
        <v>8</v>
      </c>
      <c r="J654">
        <v>3.54</v>
      </c>
      <c r="K654" t="s">
        <v>1523</v>
      </c>
      <c r="L654">
        <v>0</v>
      </c>
      <c r="N654" t="s">
        <v>1524</v>
      </c>
      <c r="O654" t="s">
        <v>1525</v>
      </c>
      <c r="P654" t="s">
        <v>20</v>
      </c>
      <c r="Q654">
        <f>(VALUE(LEFT(SUBSTITUTE(O654,"T"," "),23)) - VALUE(LEFT(SUBSTITUTE(N654,"T"," "),23))) * 86400</f>
        <v>411.82300010696054</v>
      </c>
      <c r="R654">
        <f>I654/G654</f>
        <v>8.6730268863833476E-2</v>
      </c>
      <c r="S654">
        <f>H654/G654</f>
        <v>0.29271465741543801</v>
      </c>
    </row>
    <row r="655" spans="1:19" hidden="1" x14ac:dyDescent="0.2">
      <c r="A655">
        <v>46</v>
      </c>
      <c r="B655" t="s">
        <v>16</v>
      </c>
      <c r="C655">
        <v>20</v>
      </c>
      <c r="D655">
        <v>2</v>
      </c>
      <c r="E655">
        <v>1023</v>
      </c>
      <c r="F655" t="b">
        <v>1</v>
      </c>
      <c r="G655">
        <v>58.128</v>
      </c>
      <c r="H655">
        <v>27</v>
      </c>
      <c r="I655">
        <v>2</v>
      </c>
      <c r="J655">
        <v>0.12</v>
      </c>
      <c r="K655" t="s">
        <v>1532</v>
      </c>
      <c r="L655">
        <v>0</v>
      </c>
      <c r="N655" t="s">
        <v>1533</v>
      </c>
      <c r="O655" t="s">
        <v>1534</v>
      </c>
      <c r="P655" t="s">
        <v>20</v>
      </c>
      <c r="Q655">
        <f>(VALUE(LEFT(SUBSTITUTE(O655,"T"," "),23)) - VALUE(LEFT(SUBSTITUTE(N655,"T"," "),23))) * 86400</f>
        <v>264.5479999249801</v>
      </c>
      <c r="R655">
        <f>I655/G655</f>
        <v>3.4406826314340763E-2</v>
      </c>
      <c r="S655">
        <f>H655/G655</f>
        <v>0.46449215524360032</v>
      </c>
    </row>
    <row r="656" spans="1:19" hidden="1" x14ac:dyDescent="0.2">
      <c r="A656">
        <v>49</v>
      </c>
      <c r="B656" t="s">
        <v>16</v>
      </c>
      <c r="C656">
        <v>50</v>
      </c>
      <c r="D656">
        <v>2</v>
      </c>
      <c r="E656">
        <v>1023</v>
      </c>
      <c r="F656" t="b">
        <v>1</v>
      </c>
      <c r="G656">
        <v>74.028000000000006</v>
      </c>
      <c r="H656">
        <v>24</v>
      </c>
      <c r="I656">
        <v>8</v>
      </c>
      <c r="J656">
        <v>1.1399999999999999</v>
      </c>
      <c r="K656" t="s">
        <v>1541</v>
      </c>
      <c r="L656">
        <v>0</v>
      </c>
      <c r="N656" t="s">
        <v>1542</v>
      </c>
      <c r="O656" t="s">
        <v>1543</v>
      </c>
      <c r="P656" t="s">
        <v>20</v>
      </c>
      <c r="Q656">
        <f>(VALUE(LEFT(SUBSTITUTE(O656,"T"," "),23)) - VALUE(LEFT(SUBSTITUTE(N656,"T"," "),23))) * 86400</f>
        <v>274.36600013170391</v>
      </c>
      <c r="R656">
        <f>I656/G656</f>
        <v>0.10806721780947749</v>
      </c>
      <c r="S656">
        <f>H656/G656</f>
        <v>0.32420165342843243</v>
      </c>
    </row>
    <row r="657" spans="1:19" hidden="1" x14ac:dyDescent="0.2">
      <c r="A657">
        <v>52</v>
      </c>
      <c r="B657" t="s">
        <v>16</v>
      </c>
      <c r="C657">
        <v>70</v>
      </c>
      <c r="D657">
        <v>2</v>
      </c>
      <c r="E657">
        <v>1023</v>
      </c>
      <c r="F657" t="b">
        <v>1</v>
      </c>
      <c r="G657">
        <v>63.148000000000003</v>
      </c>
      <c r="H657">
        <v>25</v>
      </c>
      <c r="I657">
        <v>7</v>
      </c>
      <c r="J657">
        <v>0.96</v>
      </c>
      <c r="K657" t="s">
        <v>1550</v>
      </c>
      <c r="L657">
        <v>0</v>
      </c>
      <c r="N657" t="s">
        <v>1551</v>
      </c>
      <c r="O657" t="s">
        <v>1552</v>
      </c>
      <c r="P657" t="s">
        <v>20</v>
      </c>
      <c r="Q657">
        <f>(VALUE(LEFT(SUBSTITUTE(O657,"T"," "),23)) - VALUE(LEFT(SUBSTITUTE(N657,"T"," "),23))) * 86400</f>
        <v>289.49600004125386</v>
      </c>
      <c r="R657">
        <f>I657/G657</f>
        <v>0.11085069994299106</v>
      </c>
      <c r="S657">
        <f>H657/G657</f>
        <v>0.39589535693925382</v>
      </c>
    </row>
    <row r="658" spans="1:19" hidden="1" x14ac:dyDescent="0.2">
      <c r="A658">
        <v>33</v>
      </c>
      <c r="B658" t="s">
        <v>2531</v>
      </c>
      <c r="C658">
        <v>-1</v>
      </c>
      <c r="D658">
        <v>5</v>
      </c>
      <c r="E658">
        <v>1024</v>
      </c>
      <c r="F658" t="b">
        <v>1</v>
      </c>
      <c r="G658">
        <v>45.543999999999997</v>
      </c>
      <c r="H658">
        <v>30</v>
      </c>
      <c r="I658">
        <v>3</v>
      </c>
      <c r="J658">
        <v>1.74</v>
      </c>
      <c r="K658" t="s">
        <v>2868</v>
      </c>
      <c r="L658">
        <v>0</v>
      </c>
      <c r="N658" t="s">
        <v>2869</v>
      </c>
      <c r="O658" t="s">
        <v>2870</v>
      </c>
      <c r="P658" t="s">
        <v>20</v>
      </c>
      <c r="Q658">
        <f>(VALUE(LEFT(SUBSTITUTE(O658,"T"," "),23)) - VALUE(LEFT(SUBSTITUTE(N658,"T"," "),23))) * 86400</f>
        <v>287.33700010925531</v>
      </c>
      <c r="R658">
        <f>I658/G658</f>
        <v>6.5870367117512735E-2</v>
      </c>
      <c r="S658">
        <f>H658/G658</f>
        <v>0.6587036711751274</v>
      </c>
    </row>
    <row r="659" spans="1:19" hidden="1" x14ac:dyDescent="0.2">
      <c r="A659">
        <v>59</v>
      </c>
      <c r="B659" t="s">
        <v>21</v>
      </c>
      <c r="C659">
        <v>0</v>
      </c>
      <c r="D659">
        <v>3</v>
      </c>
      <c r="E659">
        <v>1024</v>
      </c>
      <c r="F659" t="b">
        <v>1</v>
      </c>
      <c r="G659">
        <v>63.027999999999999</v>
      </c>
      <c r="H659">
        <v>29</v>
      </c>
      <c r="I659">
        <v>2</v>
      </c>
      <c r="J659">
        <v>2.46</v>
      </c>
      <c r="K659" t="s">
        <v>1571</v>
      </c>
      <c r="L659">
        <v>0</v>
      </c>
      <c r="N659" t="s">
        <v>1572</v>
      </c>
      <c r="O659" t="s">
        <v>1573</v>
      </c>
      <c r="P659" t="s">
        <v>20</v>
      </c>
      <c r="Q659">
        <f>(VALUE(LEFT(SUBSTITUTE(O659,"T"," "),23)) - VALUE(LEFT(SUBSTITUTE(N659,"T"," "),23))) * 86400</f>
        <v>355.38700001779944</v>
      </c>
      <c r="R659">
        <f>I659/G659</f>
        <v>3.1731928666624359E-2</v>
      </c>
      <c r="S659">
        <f>H659/G659</f>
        <v>0.4601129656660532</v>
      </c>
    </row>
    <row r="660" spans="1:19" x14ac:dyDescent="0.2">
      <c r="A660">
        <v>62</v>
      </c>
      <c r="B660" t="s">
        <v>21</v>
      </c>
      <c r="C660">
        <v>2</v>
      </c>
      <c r="D660">
        <v>3</v>
      </c>
      <c r="E660">
        <v>1019</v>
      </c>
      <c r="F660" t="b">
        <v>1</v>
      </c>
      <c r="G660">
        <v>59.264000000000003</v>
      </c>
      <c r="H660">
        <v>24</v>
      </c>
      <c r="I660">
        <v>1</v>
      </c>
      <c r="J660">
        <v>0.12</v>
      </c>
      <c r="K660" t="s">
        <v>2174</v>
      </c>
      <c r="L660">
        <v>0</v>
      </c>
      <c r="N660" t="s">
        <v>2175</v>
      </c>
      <c r="O660" t="s">
        <v>2176</v>
      </c>
      <c r="P660" t="s">
        <v>20</v>
      </c>
      <c r="Q660">
        <f>(VALUE(LEFT(SUBSTITUTE(O660,"T"," "),23)) - VALUE(LEFT(SUBSTITUTE(N660,"T"," "),23))) * 86400</f>
        <v>144.7699996875599</v>
      </c>
      <c r="R660">
        <f>I660/G660</f>
        <v>1.6873650107991359E-2</v>
      </c>
      <c r="S660">
        <f>H660/G660</f>
        <v>0.40496760259179265</v>
      </c>
    </row>
    <row r="661" spans="1:19" hidden="1" x14ac:dyDescent="0.2">
      <c r="A661">
        <v>65</v>
      </c>
      <c r="B661" t="s">
        <v>21</v>
      </c>
      <c r="C661">
        <v>5</v>
      </c>
      <c r="D661">
        <v>3</v>
      </c>
      <c r="E661">
        <v>1024</v>
      </c>
      <c r="F661" t="b">
        <v>1</v>
      </c>
      <c r="G661">
        <v>91.144000000000005</v>
      </c>
      <c r="H661">
        <v>25</v>
      </c>
      <c r="I661">
        <v>6</v>
      </c>
      <c r="J661">
        <v>2.16</v>
      </c>
      <c r="K661" t="s">
        <v>1589</v>
      </c>
      <c r="L661">
        <v>0</v>
      </c>
      <c r="N661" t="s">
        <v>1590</v>
      </c>
      <c r="O661" t="s">
        <v>1591</v>
      </c>
      <c r="P661" t="s">
        <v>20</v>
      </c>
      <c r="Q661">
        <f>(VALUE(LEFT(SUBSTITUTE(O661,"T"," "),23)) - VALUE(LEFT(SUBSTITUTE(N661,"T"," "),23))) * 86400</f>
        <v>401.99299973901361</v>
      </c>
      <c r="R661">
        <f>I661/G661</f>
        <v>6.5829895549899056E-2</v>
      </c>
      <c r="S661">
        <f>H661/G661</f>
        <v>0.27429123145791273</v>
      </c>
    </row>
    <row r="662" spans="1:19" hidden="1" x14ac:dyDescent="0.2">
      <c r="A662">
        <v>68</v>
      </c>
      <c r="B662" t="s">
        <v>21</v>
      </c>
      <c r="C662">
        <v>10</v>
      </c>
      <c r="D662">
        <v>3</v>
      </c>
      <c r="E662">
        <v>1024</v>
      </c>
      <c r="F662" t="b">
        <v>1</v>
      </c>
      <c r="G662">
        <v>65.275999999999996</v>
      </c>
      <c r="H662">
        <v>27</v>
      </c>
      <c r="I662">
        <v>4</v>
      </c>
      <c r="J662">
        <v>1.26</v>
      </c>
      <c r="K662" t="s">
        <v>1598</v>
      </c>
      <c r="L662">
        <v>0</v>
      </c>
      <c r="N662" t="s">
        <v>1599</v>
      </c>
      <c r="O662" t="s">
        <v>1600</v>
      </c>
      <c r="P662" t="s">
        <v>20</v>
      </c>
      <c r="Q662">
        <f>(VALUE(LEFT(SUBSTITUTE(O662,"T"," "),23)) - VALUE(LEFT(SUBSTITUTE(N662,"T"," "),23))) * 86400</f>
        <v>294.24199999775738</v>
      </c>
      <c r="R662">
        <f>I662/G662</f>
        <v>6.1278264599546543E-2</v>
      </c>
      <c r="S662">
        <f>H662/G662</f>
        <v>0.41362828604693919</v>
      </c>
    </row>
    <row r="663" spans="1:19" hidden="1" x14ac:dyDescent="0.2">
      <c r="A663">
        <v>71</v>
      </c>
      <c r="B663" t="s">
        <v>21</v>
      </c>
      <c r="C663">
        <v>15</v>
      </c>
      <c r="D663">
        <v>3</v>
      </c>
      <c r="E663">
        <v>1024</v>
      </c>
      <c r="F663" t="b">
        <v>1</v>
      </c>
      <c r="G663">
        <v>80.248000000000005</v>
      </c>
      <c r="H663">
        <v>23</v>
      </c>
      <c r="I663">
        <v>7</v>
      </c>
      <c r="J663">
        <v>1.5</v>
      </c>
      <c r="K663" t="s">
        <v>1607</v>
      </c>
      <c r="L663">
        <v>0</v>
      </c>
      <c r="N663" t="s">
        <v>1608</v>
      </c>
      <c r="O663" t="s">
        <v>1609</v>
      </c>
      <c r="P663" t="s">
        <v>20</v>
      </c>
      <c r="Q663">
        <f>(VALUE(LEFT(SUBSTITUTE(O663,"T"," "),23)) - VALUE(LEFT(SUBSTITUTE(N663,"T"," "),23))) * 86400</f>
        <v>380.34200007095933</v>
      </c>
      <c r="R663">
        <f>I663/G663</f>
        <v>8.7229588276343334E-2</v>
      </c>
      <c r="S663">
        <f>H663/G663</f>
        <v>0.28661150433655663</v>
      </c>
    </row>
    <row r="664" spans="1:19" hidden="1" x14ac:dyDescent="0.2">
      <c r="A664">
        <v>74</v>
      </c>
      <c r="B664" t="s">
        <v>21</v>
      </c>
      <c r="C664">
        <v>20</v>
      </c>
      <c r="D664">
        <v>3</v>
      </c>
      <c r="E664">
        <v>1024</v>
      </c>
      <c r="F664" t="b">
        <v>1</v>
      </c>
      <c r="G664">
        <v>62.072000000000003</v>
      </c>
      <c r="H664">
        <v>27</v>
      </c>
      <c r="I664">
        <v>4</v>
      </c>
      <c r="J664">
        <v>0.66</v>
      </c>
      <c r="K664" t="s">
        <v>1616</v>
      </c>
      <c r="L664">
        <v>0</v>
      </c>
      <c r="N664" t="s">
        <v>1617</v>
      </c>
      <c r="O664" t="s">
        <v>1618</v>
      </c>
      <c r="P664" t="s">
        <v>20</v>
      </c>
      <c r="Q664">
        <f>(VALUE(LEFT(SUBSTITUTE(O664,"T"," "),23)) - VALUE(LEFT(SUBSTITUTE(N664,"T"," "),23))) * 86400</f>
        <v>327.65199970453978</v>
      </c>
      <c r="R664">
        <f>I664/G664</f>
        <v>6.4441293981183145E-2</v>
      </c>
      <c r="S664">
        <f>H664/G664</f>
        <v>0.43497873437298618</v>
      </c>
    </row>
    <row r="665" spans="1:19" hidden="1" x14ac:dyDescent="0.2">
      <c r="A665">
        <v>77</v>
      </c>
      <c r="B665" t="s">
        <v>21</v>
      </c>
      <c r="C665">
        <v>50</v>
      </c>
      <c r="D665">
        <v>3</v>
      </c>
      <c r="E665">
        <v>1024</v>
      </c>
      <c r="F665" t="b">
        <v>1</v>
      </c>
      <c r="G665">
        <v>87.7</v>
      </c>
      <c r="H665">
        <v>26</v>
      </c>
      <c r="I665">
        <v>11</v>
      </c>
      <c r="J665">
        <v>2.04</v>
      </c>
      <c r="K665" t="s">
        <v>1625</v>
      </c>
      <c r="L665">
        <v>0</v>
      </c>
      <c r="N665" t="s">
        <v>1626</v>
      </c>
      <c r="O665" t="s">
        <v>1627</v>
      </c>
      <c r="P665" t="s">
        <v>20</v>
      </c>
      <c r="Q665">
        <f>(VALUE(LEFT(SUBSTITUTE(O665,"T"," "),23)) - VALUE(LEFT(SUBSTITUTE(N665,"T"," "),23))) * 86400</f>
        <v>274.67000044416636</v>
      </c>
      <c r="R665">
        <f>I665/G665</f>
        <v>0.12542759407069554</v>
      </c>
      <c r="S665">
        <f>H665/G665</f>
        <v>0.29646522234891676</v>
      </c>
    </row>
    <row r="666" spans="1:19" hidden="1" x14ac:dyDescent="0.2">
      <c r="A666">
        <v>80</v>
      </c>
      <c r="B666" t="s">
        <v>21</v>
      </c>
      <c r="C666">
        <v>70</v>
      </c>
      <c r="D666">
        <v>3</v>
      </c>
      <c r="E666">
        <v>1024</v>
      </c>
      <c r="F666" t="b">
        <v>1</v>
      </c>
      <c r="G666">
        <v>56.155999999999999</v>
      </c>
      <c r="H666">
        <v>28</v>
      </c>
      <c r="I666">
        <v>7</v>
      </c>
      <c r="J666">
        <v>0.6</v>
      </c>
      <c r="K666" t="s">
        <v>1634</v>
      </c>
      <c r="L666">
        <v>0</v>
      </c>
      <c r="N666" t="s">
        <v>1635</v>
      </c>
      <c r="O666" t="s">
        <v>1636</v>
      </c>
      <c r="P666" t="s">
        <v>20</v>
      </c>
      <c r="Q666">
        <f>(VALUE(LEFT(SUBSTITUTE(O666,"T"," "),23)) - VALUE(LEFT(SUBSTITUTE(N666,"T"," "),23))) * 86400</f>
        <v>270.33800007775426</v>
      </c>
      <c r="R666">
        <f>I666/G666</f>
        <v>0.12465275304508869</v>
      </c>
      <c r="S666">
        <f>H666/G666</f>
        <v>0.49861101218035475</v>
      </c>
    </row>
    <row r="667" spans="1:19" hidden="1" x14ac:dyDescent="0.2">
      <c r="A667">
        <v>12</v>
      </c>
      <c r="B667" t="s">
        <v>25</v>
      </c>
      <c r="C667">
        <v>-1</v>
      </c>
      <c r="D667">
        <v>2</v>
      </c>
      <c r="E667">
        <v>1021</v>
      </c>
      <c r="F667" t="b">
        <v>1</v>
      </c>
      <c r="G667">
        <v>45.927999999999997</v>
      </c>
      <c r="H667">
        <v>30</v>
      </c>
      <c r="I667">
        <v>7</v>
      </c>
      <c r="J667">
        <v>9.36</v>
      </c>
      <c r="K667" t="s">
        <v>3715</v>
      </c>
      <c r="L667">
        <v>0</v>
      </c>
      <c r="N667" t="s">
        <v>3716</v>
      </c>
      <c r="O667" t="s">
        <v>3717</v>
      </c>
      <c r="P667" t="s">
        <v>20</v>
      </c>
      <c r="Q667">
        <f>(VALUE(LEFT(SUBSTITUTE(O667,"T"," "),23)) - VALUE(LEFT(SUBSTITUTE(N667,"T"," "),23))) * 86400</f>
        <v>221.1890002945438</v>
      </c>
      <c r="R667">
        <f>I667/G667</f>
        <v>0.15241247169482669</v>
      </c>
      <c r="S667">
        <f>H667/G667</f>
        <v>0.65319630726354294</v>
      </c>
    </row>
    <row r="668" spans="1:19" hidden="1" x14ac:dyDescent="0.2">
      <c r="A668">
        <v>60</v>
      </c>
      <c r="B668" t="s">
        <v>25</v>
      </c>
      <c r="C668">
        <v>0</v>
      </c>
      <c r="D668">
        <v>3</v>
      </c>
      <c r="E668">
        <v>1024</v>
      </c>
      <c r="F668" t="b">
        <v>1</v>
      </c>
      <c r="G668">
        <v>60.96</v>
      </c>
      <c r="H668">
        <v>26</v>
      </c>
      <c r="I668">
        <v>2</v>
      </c>
      <c r="J668">
        <v>0.48</v>
      </c>
      <c r="K668" t="s">
        <v>1574</v>
      </c>
      <c r="L668">
        <v>0</v>
      </c>
      <c r="N668" t="s">
        <v>1575</v>
      </c>
      <c r="O668" t="s">
        <v>1576</v>
      </c>
      <c r="P668" t="s">
        <v>20</v>
      </c>
      <c r="Q668">
        <f>(VALUE(LEFT(SUBSTITUTE(O668,"T"," "),23)) - VALUE(LEFT(SUBSTITUTE(N668,"T"," "),23))) * 86400</f>
        <v>276.10100002493709</v>
      </c>
      <c r="R668">
        <f>I668/G668</f>
        <v>3.2808398950131233E-2</v>
      </c>
      <c r="S668">
        <f>H668/G668</f>
        <v>0.42650918635170604</v>
      </c>
    </row>
    <row r="669" spans="1:19" x14ac:dyDescent="0.2">
      <c r="A669">
        <v>13</v>
      </c>
      <c r="B669" t="s">
        <v>2531</v>
      </c>
      <c r="C669">
        <v>2</v>
      </c>
      <c r="D669">
        <v>2</v>
      </c>
      <c r="E669">
        <v>1001</v>
      </c>
      <c r="F669" t="b">
        <v>1</v>
      </c>
      <c r="G669">
        <v>59.24</v>
      </c>
      <c r="H669">
        <v>24</v>
      </c>
      <c r="I669">
        <v>10</v>
      </c>
      <c r="J669">
        <v>1.1399999999999999</v>
      </c>
      <c r="K669" t="s">
        <v>2568</v>
      </c>
      <c r="L669">
        <v>0</v>
      </c>
      <c r="N669" t="s">
        <v>2569</v>
      </c>
      <c r="O669" t="s">
        <v>2570</v>
      </c>
      <c r="P669" t="s">
        <v>20</v>
      </c>
      <c r="Q669">
        <f>(VALUE(LEFT(SUBSTITUTE(O669,"T"," "),23)) - VALUE(LEFT(SUBSTITUTE(N669,"T"," "),23))) * 86400</f>
        <v>629.08099992200732</v>
      </c>
      <c r="R669">
        <f>I669/G669</f>
        <v>0.16880486158001351</v>
      </c>
      <c r="S669">
        <f>H669/G669</f>
        <v>0.40513166779203241</v>
      </c>
    </row>
    <row r="670" spans="1:19" hidden="1" x14ac:dyDescent="0.2">
      <c r="A670">
        <v>66</v>
      </c>
      <c r="B670" t="s">
        <v>25</v>
      </c>
      <c r="C670">
        <v>5</v>
      </c>
      <c r="D670">
        <v>3</v>
      </c>
      <c r="E670">
        <v>1024</v>
      </c>
      <c r="F670" t="b">
        <v>1</v>
      </c>
      <c r="G670">
        <v>39.875999999999998</v>
      </c>
      <c r="H670">
        <v>30</v>
      </c>
      <c r="I670">
        <v>0</v>
      </c>
      <c r="J670">
        <v>0</v>
      </c>
      <c r="K670" t="s">
        <v>1592</v>
      </c>
      <c r="L670">
        <v>0</v>
      </c>
      <c r="N670" t="s">
        <v>1593</v>
      </c>
      <c r="O670" t="s">
        <v>1594</v>
      </c>
      <c r="P670" t="s">
        <v>20</v>
      </c>
      <c r="Q670">
        <f>(VALUE(LEFT(SUBSTITUTE(O670,"T"," "),23)) - VALUE(LEFT(SUBSTITUTE(N670,"T"," "),23))) * 86400</f>
        <v>150.17100011464208</v>
      </c>
      <c r="R670">
        <f>I670/G670</f>
        <v>0</v>
      </c>
      <c r="S670">
        <f>H670/G670</f>
        <v>0.75233222991272952</v>
      </c>
    </row>
    <row r="671" spans="1:19" hidden="1" x14ac:dyDescent="0.2">
      <c r="A671">
        <v>69</v>
      </c>
      <c r="B671" t="s">
        <v>25</v>
      </c>
      <c r="C671">
        <v>10</v>
      </c>
      <c r="D671">
        <v>3</v>
      </c>
      <c r="E671">
        <v>1024</v>
      </c>
      <c r="F671" t="b">
        <v>1</v>
      </c>
      <c r="G671">
        <v>57.844000000000001</v>
      </c>
      <c r="H671">
        <v>29</v>
      </c>
      <c r="I671">
        <v>0</v>
      </c>
      <c r="J671">
        <v>0</v>
      </c>
      <c r="K671" t="s">
        <v>1601</v>
      </c>
      <c r="L671">
        <v>0</v>
      </c>
      <c r="N671" t="s">
        <v>1602</v>
      </c>
      <c r="O671" t="s">
        <v>1603</v>
      </c>
      <c r="P671" t="s">
        <v>20</v>
      </c>
      <c r="Q671">
        <f>(VALUE(LEFT(SUBSTITUTE(O671,"T"," "),23)) - VALUE(LEFT(SUBSTITUTE(N671,"T"," "),23))) * 86400</f>
        <v>277.358000096865</v>
      </c>
      <c r="R671">
        <f>I671/G671</f>
        <v>0</v>
      </c>
      <c r="S671">
        <f>H671/G671</f>
        <v>0.50134845446373</v>
      </c>
    </row>
    <row r="672" spans="1:19" hidden="1" x14ac:dyDescent="0.2">
      <c r="A672">
        <v>72</v>
      </c>
      <c r="B672" t="s">
        <v>25</v>
      </c>
      <c r="C672">
        <v>15</v>
      </c>
      <c r="D672">
        <v>3</v>
      </c>
      <c r="E672">
        <v>1024</v>
      </c>
      <c r="F672" t="b">
        <v>1</v>
      </c>
      <c r="G672">
        <v>57.9</v>
      </c>
      <c r="H672">
        <v>28</v>
      </c>
      <c r="I672">
        <v>1</v>
      </c>
      <c r="J672">
        <v>0.36</v>
      </c>
      <c r="K672" t="s">
        <v>1610</v>
      </c>
      <c r="L672">
        <v>0</v>
      </c>
      <c r="N672" t="s">
        <v>1611</v>
      </c>
      <c r="O672" t="s">
        <v>1612</v>
      </c>
      <c r="P672" t="s">
        <v>20</v>
      </c>
      <c r="Q672">
        <f>(VALUE(LEFT(SUBSTITUTE(O672,"T"," "),23)) - VALUE(LEFT(SUBSTITUTE(N672,"T"," "),23))) * 86400</f>
        <v>309.66000000480562</v>
      </c>
      <c r="R672">
        <f>I672/G672</f>
        <v>1.7271157167530225E-2</v>
      </c>
      <c r="S672">
        <f>H672/G672</f>
        <v>0.4835924006908463</v>
      </c>
    </row>
    <row r="673" spans="1:19" hidden="1" x14ac:dyDescent="0.2">
      <c r="A673">
        <v>75</v>
      </c>
      <c r="B673" t="s">
        <v>25</v>
      </c>
      <c r="C673">
        <v>20</v>
      </c>
      <c r="D673">
        <v>3</v>
      </c>
      <c r="E673">
        <v>1024</v>
      </c>
      <c r="F673" t="b">
        <v>1</v>
      </c>
      <c r="G673">
        <v>52.067999999999998</v>
      </c>
      <c r="H673">
        <v>26</v>
      </c>
      <c r="I673">
        <v>4</v>
      </c>
      <c r="J673">
        <v>1.44</v>
      </c>
      <c r="K673" t="s">
        <v>1619</v>
      </c>
      <c r="L673">
        <v>0</v>
      </c>
      <c r="N673" t="s">
        <v>1620</v>
      </c>
      <c r="O673" t="s">
        <v>1621</v>
      </c>
      <c r="P673" t="s">
        <v>20</v>
      </c>
      <c r="Q673">
        <f>(VALUE(LEFT(SUBSTITUTE(O673,"T"," "),23)) - VALUE(LEFT(SUBSTITUTE(N673,"T"," "),23))) * 86400</f>
        <v>214.7679999936372</v>
      </c>
      <c r="R673">
        <f>I673/G673</f>
        <v>7.6822616578320665E-2</v>
      </c>
      <c r="S673">
        <f>H673/G673</f>
        <v>0.4993470077590843</v>
      </c>
    </row>
    <row r="674" spans="1:19" hidden="1" x14ac:dyDescent="0.2">
      <c r="A674">
        <v>78</v>
      </c>
      <c r="B674" t="s">
        <v>25</v>
      </c>
      <c r="C674">
        <v>50</v>
      </c>
      <c r="D674">
        <v>3</v>
      </c>
      <c r="E674">
        <v>1024</v>
      </c>
      <c r="F674" t="b">
        <v>1</v>
      </c>
      <c r="G674">
        <v>52.48</v>
      </c>
      <c r="H674">
        <v>30</v>
      </c>
      <c r="I674">
        <v>10</v>
      </c>
      <c r="J674">
        <v>3.24</v>
      </c>
      <c r="K674" t="s">
        <v>1628</v>
      </c>
      <c r="L674">
        <v>0</v>
      </c>
      <c r="N674" t="s">
        <v>1629</v>
      </c>
      <c r="O674" t="s">
        <v>1630</v>
      </c>
      <c r="P674" t="s">
        <v>20</v>
      </c>
      <c r="Q674">
        <f>(VALUE(LEFT(SUBSTITUTE(O674,"T"," "),23)) - VALUE(LEFT(SUBSTITUTE(N674,"T"," "),23))) * 86400</f>
        <v>204.86099969130009</v>
      </c>
      <c r="R674">
        <f>I674/G674</f>
        <v>0.19054878048780488</v>
      </c>
      <c r="S674">
        <f>H674/G674</f>
        <v>0.57164634146341464</v>
      </c>
    </row>
    <row r="675" spans="1:19" hidden="1" x14ac:dyDescent="0.2">
      <c r="A675">
        <v>81</v>
      </c>
      <c r="B675" t="s">
        <v>25</v>
      </c>
      <c r="C675">
        <v>70</v>
      </c>
      <c r="D675">
        <v>3</v>
      </c>
      <c r="E675">
        <v>1024</v>
      </c>
      <c r="F675" t="b">
        <v>1</v>
      </c>
      <c r="G675">
        <v>52.991999999999997</v>
      </c>
      <c r="H675">
        <v>30</v>
      </c>
      <c r="I675">
        <v>2</v>
      </c>
      <c r="J675">
        <v>0.66</v>
      </c>
      <c r="K675" t="s">
        <v>1637</v>
      </c>
      <c r="L675">
        <v>0</v>
      </c>
      <c r="N675" t="s">
        <v>1638</v>
      </c>
      <c r="O675" t="s">
        <v>1639</v>
      </c>
      <c r="P675" t="s">
        <v>20</v>
      </c>
      <c r="Q675">
        <f>(VALUE(LEFT(SUBSTITUTE(O675,"T"," "),23)) - VALUE(LEFT(SUBSTITUTE(N675,"T"," "),23))) * 86400</f>
        <v>155.33599988557398</v>
      </c>
      <c r="R675">
        <f>I675/G675</f>
        <v>3.7741545893719808E-2</v>
      </c>
      <c r="S675">
        <f>H675/G675</f>
        <v>0.56612318840579712</v>
      </c>
    </row>
    <row r="676" spans="1:19" hidden="1" x14ac:dyDescent="0.2">
      <c r="A676">
        <v>84</v>
      </c>
      <c r="B676" t="s">
        <v>25</v>
      </c>
      <c r="C676">
        <v>-1</v>
      </c>
      <c r="D676">
        <v>4</v>
      </c>
      <c r="E676">
        <v>1025</v>
      </c>
      <c r="F676" t="b">
        <v>1</v>
      </c>
      <c r="G676">
        <v>41.7</v>
      </c>
      <c r="H676">
        <v>27</v>
      </c>
      <c r="I676">
        <v>7</v>
      </c>
      <c r="J676">
        <v>4.0199999999999996</v>
      </c>
      <c r="K676" t="s">
        <v>1646</v>
      </c>
      <c r="L676">
        <v>0</v>
      </c>
      <c r="N676" t="s">
        <v>1647</v>
      </c>
      <c r="O676" t="s">
        <v>1648</v>
      </c>
      <c r="P676" t="s">
        <v>20</v>
      </c>
      <c r="Q676">
        <f>(VALUE(LEFT(SUBSTITUTE(O676,"T"," "),23)) - VALUE(LEFT(SUBSTITUTE(N676,"T"," "),23))) * 86400</f>
        <v>228.30799960065633</v>
      </c>
      <c r="R676">
        <f>I676/G676</f>
        <v>0.16786570743405274</v>
      </c>
      <c r="S676">
        <f>H676/G676</f>
        <v>0.64748201438848918</v>
      </c>
    </row>
    <row r="677" spans="1:19" hidden="1" x14ac:dyDescent="0.2">
      <c r="A677">
        <v>58</v>
      </c>
      <c r="B677" t="s">
        <v>16</v>
      </c>
      <c r="C677">
        <v>0</v>
      </c>
      <c r="D677">
        <v>3</v>
      </c>
      <c r="E677">
        <v>1024</v>
      </c>
      <c r="F677" t="b">
        <v>1</v>
      </c>
      <c r="G677">
        <v>76.536000000000001</v>
      </c>
      <c r="H677">
        <v>29</v>
      </c>
      <c r="I677">
        <v>1</v>
      </c>
      <c r="J677">
        <v>0.9</v>
      </c>
      <c r="K677" t="s">
        <v>1568</v>
      </c>
      <c r="L677">
        <v>0</v>
      </c>
      <c r="N677" t="s">
        <v>1569</v>
      </c>
      <c r="O677" t="s">
        <v>1570</v>
      </c>
      <c r="P677" t="s">
        <v>20</v>
      </c>
      <c r="Q677">
        <f>(VALUE(LEFT(SUBSTITUTE(O677,"T"," "),23)) - VALUE(LEFT(SUBSTITUTE(N677,"T"," "),23))) * 86400</f>
        <v>268.78799968399107</v>
      </c>
      <c r="R677">
        <f>I677/G677</f>
        <v>1.3065746838089264E-2</v>
      </c>
      <c r="S677">
        <f>H677/G677</f>
        <v>0.37890665830458869</v>
      </c>
    </row>
    <row r="678" spans="1:19" hidden="1" x14ac:dyDescent="0.2">
      <c r="A678">
        <v>55</v>
      </c>
      <c r="B678" t="s">
        <v>16</v>
      </c>
      <c r="C678">
        <v>-1</v>
      </c>
      <c r="D678">
        <v>3</v>
      </c>
      <c r="E678">
        <v>1024</v>
      </c>
      <c r="F678" t="b">
        <v>1</v>
      </c>
      <c r="G678">
        <v>46.531999999999996</v>
      </c>
      <c r="H678">
        <v>30</v>
      </c>
      <c r="I678">
        <v>4</v>
      </c>
      <c r="J678">
        <v>4.9800000000000004</v>
      </c>
      <c r="K678" t="s">
        <v>1559</v>
      </c>
      <c r="L678">
        <v>0</v>
      </c>
      <c r="N678" t="s">
        <v>1560</v>
      </c>
      <c r="O678" t="s">
        <v>1561</v>
      </c>
      <c r="P678" t="s">
        <v>20</v>
      </c>
      <c r="Q678">
        <f>(VALUE(LEFT(SUBSTITUTE(O678,"T"," "),23)) - VALUE(LEFT(SUBSTITUTE(N678,"T"," "),23))) * 86400</f>
        <v>142.73600033484399</v>
      </c>
      <c r="R678">
        <f>I678/G678</f>
        <v>8.5962348491360793E-2</v>
      </c>
      <c r="S678">
        <f>H678/G678</f>
        <v>0.64471761368520597</v>
      </c>
    </row>
    <row r="679" spans="1:19" hidden="1" x14ac:dyDescent="0.2">
      <c r="A679">
        <v>64</v>
      </c>
      <c r="B679" t="s">
        <v>16</v>
      </c>
      <c r="C679">
        <v>5</v>
      </c>
      <c r="D679">
        <v>3</v>
      </c>
      <c r="E679">
        <v>1024</v>
      </c>
      <c r="F679" t="b">
        <v>1</v>
      </c>
      <c r="G679">
        <v>74.968000000000004</v>
      </c>
      <c r="H679">
        <v>29</v>
      </c>
      <c r="I679">
        <v>1</v>
      </c>
      <c r="J679">
        <v>0.78</v>
      </c>
      <c r="K679" t="s">
        <v>1586</v>
      </c>
      <c r="L679">
        <v>0</v>
      </c>
      <c r="N679" t="s">
        <v>1587</v>
      </c>
      <c r="O679" t="s">
        <v>1588</v>
      </c>
      <c r="P679" t="s">
        <v>20</v>
      </c>
      <c r="Q679">
        <f>(VALUE(LEFT(SUBSTITUTE(O679,"T"," "),23)) - VALUE(LEFT(SUBSTITUTE(N679,"T"," "),23))) * 86400</f>
        <v>288.48800032865256</v>
      </c>
      <c r="R679">
        <f>I679/G679</f>
        <v>1.3339024650517553E-2</v>
      </c>
      <c r="S679">
        <f>H679/G679</f>
        <v>0.38683171486500906</v>
      </c>
    </row>
    <row r="680" spans="1:19" hidden="1" x14ac:dyDescent="0.2">
      <c r="A680">
        <v>67</v>
      </c>
      <c r="B680" t="s">
        <v>16</v>
      </c>
      <c r="C680">
        <v>10</v>
      </c>
      <c r="D680">
        <v>3</v>
      </c>
      <c r="E680">
        <v>1024</v>
      </c>
      <c r="F680" t="b">
        <v>1</v>
      </c>
      <c r="G680">
        <v>96.456000000000003</v>
      </c>
      <c r="H680">
        <v>29</v>
      </c>
      <c r="I680">
        <v>3</v>
      </c>
      <c r="J680">
        <v>1.02</v>
      </c>
      <c r="K680" t="s">
        <v>1595</v>
      </c>
      <c r="L680">
        <v>0</v>
      </c>
      <c r="N680" t="s">
        <v>1596</v>
      </c>
      <c r="O680" t="s">
        <v>1597</v>
      </c>
      <c r="P680" t="s">
        <v>20</v>
      </c>
      <c r="Q680">
        <f>(VALUE(LEFT(SUBSTITUTE(O680,"T"," "),23)) - VALUE(LEFT(SUBSTITUTE(N680,"T"," "),23))) * 86400</f>
        <v>471.46699992008507</v>
      </c>
      <c r="R680">
        <f>I680/G680</f>
        <v>3.1102264244837023E-2</v>
      </c>
      <c r="S680">
        <f>H680/G680</f>
        <v>0.30065522103342457</v>
      </c>
    </row>
    <row r="681" spans="1:19" hidden="1" x14ac:dyDescent="0.2">
      <c r="A681">
        <v>70</v>
      </c>
      <c r="B681" t="s">
        <v>16</v>
      </c>
      <c r="C681">
        <v>15</v>
      </c>
      <c r="D681">
        <v>3</v>
      </c>
      <c r="E681">
        <v>1024</v>
      </c>
      <c r="F681" t="b">
        <v>1</v>
      </c>
      <c r="G681">
        <v>62.372</v>
      </c>
      <c r="H681">
        <v>29</v>
      </c>
      <c r="I681">
        <v>6</v>
      </c>
      <c r="J681">
        <v>1.32</v>
      </c>
      <c r="K681" t="s">
        <v>1604</v>
      </c>
      <c r="L681">
        <v>0</v>
      </c>
      <c r="N681" t="s">
        <v>1605</v>
      </c>
      <c r="O681" t="s">
        <v>1606</v>
      </c>
      <c r="P681" t="s">
        <v>20</v>
      </c>
      <c r="Q681">
        <f>(VALUE(LEFT(SUBSTITUTE(O681,"T"," "),23)) - VALUE(LEFT(SUBSTITUTE(N681,"T"," "),23))) * 86400</f>
        <v>325.02399960067123</v>
      </c>
      <c r="R681">
        <f>I681/G681</f>
        <v>9.6197011479510042E-2</v>
      </c>
      <c r="S681">
        <f>H681/G681</f>
        <v>0.46495222215096516</v>
      </c>
    </row>
    <row r="682" spans="1:19" hidden="1" x14ac:dyDescent="0.2">
      <c r="A682">
        <v>73</v>
      </c>
      <c r="B682" t="s">
        <v>16</v>
      </c>
      <c r="C682">
        <v>20</v>
      </c>
      <c r="D682">
        <v>3</v>
      </c>
      <c r="E682">
        <v>1024</v>
      </c>
      <c r="F682" t="b">
        <v>1</v>
      </c>
      <c r="G682">
        <v>50.76</v>
      </c>
      <c r="H682">
        <v>29</v>
      </c>
      <c r="I682">
        <v>1</v>
      </c>
      <c r="J682">
        <v>0.72</v>
      </c>
      <c r="K682" t="s">
        <v>1613</v>
      </c>
      <c r="L682">
        <v>0</v>
      </c>
      <c r="N682" t="s">
        <v>1614</v>
      </c>
      <c r="O682" t="s">
        <v>1615</v>
      </c>
      <c r="P682" t="s">
        <v>20</v>
      </c>
      <c r="Q682">
        <f>(VALUE(LEFT(SUBSTITUTE(O682,"T"," "),23)) - VALUE(LEFT(SUBSTITUTE(N682,"T"," "),23))) * 86400</f>
        <v>227.16199960559607</v>
      </c>
      <c r="R682">
        <f>I682/G682</f>
        <v>1.9700551615445233E-2</v>
      </c>
      <c r="S682">
        <f>H682/G682</f>
        <v>0.57131599684791179</v>
      </c>
    </row>
    <row r="683" spans="1:19" hidden="1" x14ac:dyDescent="0.2">
      <c r="A683">
        <v>76</v>
      </c>
      <c r="B683" t="s">
        <v>16</v>
      </c>
      <c r="C683">
        <v>50</v>
      </c>
      <c r="D683">
        <v>3</v>
      </c>
      <c r="E683">
        <v>1024</v>
      </c>
      <c r="F683" t="b">
        <v>1</v>
      </c>
      <c r="G683">
        <v>94.02</v>
      </c>
      <c r="H683">
        <v>29</v>
      </c>
      <c r="I683">
        <v>9</v>
      </c>
      <c r="J683">
        <v>1.8</v>
      </c>
      <c r="K683" t="s">
        <v>1622</v>
      </c>
      <c r="L683">
        <v>0</v>
      </c>
      <c r="N683" t="s">
        <v>1623</v>
      </c>
      <c r="O683" t="s">
        <v>1624</v>
      </c>
      <c r="P683" t="s">
        <v>20</v>
      </c>
      <c r="Q683">
        <f>(VALUE(LEFT(SUBSTITUTE(O683,"T"," "),23)) - VALUE(LEFT(SUBSTITUTE(N683,"T"," "),23))) * 86400</f>
        <v>397.44900029618293</v>
      </c>
      <c r="R683">
        <f>I683/G683</f>
        <v>9.5724313975749847E-2</v>
      </c>
      <c r="S683">
        <f>H683/G683</f>
        <v>0.30844501169963839</v>
      </c>
    </row>
    <row r="684" spans="1:19" hidden="1" x14ac:dyDescent="0.2">
      <c r="A684">
        <v>79</v>
      </c>
      <c r="B684" t="s">
        <v>16</v>
      </c>
      <c r="C684">
        <v>70</v>
      </c>
      <c r="D684">
        <v>3</v>
      </c>
      <c r="E684">
        <v>1024</v>
      </c>
      <c r="F684" t="b">
        <v>1</v>
      </c>
      <c r="G684">
        <v>67.031999999999996</v>
      </c>
      <c r="H684">
        <v>26</v>
      </c>
      <c r="I684">
        <v>11</v>
      </c>
      <c r="J684">
        <v>1.74</v>
      </c>
      <c r="K684" t="s">
        <v>1631</v>
      </c>
      <c r="L684">
        <v>0</v>
      </c>
      <c r="N684" t="s">
        <v>1632</v>
      </c>
      <c r="O684" t="s">
        <v>1633</v>
      </c>
      <c r="P684" t="s">
        <v>20</v>
      </c>
      <c r="Q684">
        <f>(VALUE(LEFT(SUBSTITUTE(O684,"T"," "),23)) - VALUE(LEFT(SUBSTITUTE(N684,"T"," "),23))) * 86400</f>
        <v>337.57600039243698</v>
      </c>
      <c r="R684">
        <f>I684/G684</f>
        <v>0.16410072801050246</v>
      </c>
      <c r="S684">
        <f>H684/G684</f>
        <v>0.38787444802482396</v>
      </c>
    </row>
    <row r="685" spans="1:19" hidden="1" x14ac:dyDescent="0.2">
      <c r="A685">
        <v>18</v>
      </c>
      <c r="B685" t="s">
        <v>2476</v>
      </c>
      <c r="C685">
        <v>-1</v>
      </c>
      <c r="D685">
        <v>3</v>
      </c>
      <c r="E685">
        <v>1002</v>
      </c>
      <c r="F685" t="b">
        <v>1</v>
      </c>
      <c r="G685">
        <v>42.043999999999997</v>
      </c>
      <c r="H685">
        <v>27</v>
      </c>
      <c r="I685">
        <v>5</v>
      </c>
      <c r="J685">
        <v>3.66</v>
      </c>
      <c r="K685" t="s">
        <v>2583</v>
      </c>
      <c r="L685">
        <v>0</v>
      </c>
      <c r="N685" t="s">
        <v>2584</v>
      </c>
      <c r="O685" t="s">
        <v>2585</v>
      </c>
      <c r="P685" t="s">
        <v>20</v>
      </c>
      <c r="Q685">
        <f>(VALUE(LEFT(SUBSTITUTE(O685,"T"," "),23)) - VALUE(LEFT(SUBSTITUTE(N685,"T"," "),23))) * 86400</f>
        <v>228.0120000243187</v>
      </c>
      <c r="R685">
        <f>I685/G685</f>
        <v>0.11892303301303397</v>
      </c>
      <c r="S685">
        <f>H685/G685</f>
        <v>0.64218437827038344</v>
      </c>
    </row>
    <row r="686" spans="1:19" hidden="1" x14ac:dyDescent="0.2">
      <c r="A686">
        <v>86</v>
      </c>
      <c r="B686" t="s">
        <v>21</v>
      </c>
      <c r="C686">
        <v>0</v>
      </c>
      <c r="D686">
        <v>4</v>
      </c>
      <c r="E686">
        <v>1025</v>
      </c>
      <c r="F686" t="b">
        <v>1</v>
      </c>
      <c r="G686">
        <v>71.828000000000003</v>
      </c>
      <c r="H686">
        <v>21</v>
      </c>
      <c r="I686">
        <v>0</v>
      </c>
      <c r="J686">
        <v>0</v>
      </c>
      <c r="K686" t="s">
        <v>1652</v>
      </c>
      <c r="L686">
        <v>0</v>
      </c>
      <c r="N686" t="s">
        <v>1653</v>
      </c>
      <c r="O686" t="s">
        <v>1654</v>
      </c>
      <c r="P686" t="s">
        <v>20</v>
      </c>
      <c r="Q686">
        <f>(VALUE(LEFT(SUBSTITUTE(O686,"T"," "),23)) - VALUE(LEFT(SUBSTITUTE(N686,"T"," "),23))) * 86400</f>
        <v>343.87799988035113</v>
      </c>
      <c r="R686">
        <f>I686/G686</f>
        <v>0</v>
      </c>
      <c r="S686">
        <f>H686/G686</f>
        <v>0.29236509439215902</v>
      </c>
    </row>
    <row r="687" spans="1:19" x14ac:dyDescent="0.2">
      <c r="A687">
        <v>90</v>
      </c>
      <c r="B687" t="s">
        <v>25</v>
      </c>
      <c r="C687">
        <v>2</v>
      </c>
      <c r="D687">
        <v>4</v>
      </c>
      <c r="E687">
        <v>1025</v>
      </c>
      <c r="F687" t="b">
        <v>1</v>
      </c>
      <c r="G687">
        <v>51.764000000000003</v>
      </c>
      <c r="H687">
        <v>21</v>
      </c>
      <c r="I687">
        <v>2</v>
      </c>
      <c r="J687">
        <v>0.42</v>
      </c>
      <c r="K687" t="s">
        <v>1664</v>
      </c>
      <c r="L687">
        <v>0</v>
      </c>
      <c r="N687" t="s">
        <v>1665</v>
      </c>
      <c r="O687" t="s">
        <v>1666</v>
      </c>
      <c r="P687" t="s">
        <v>20</v>
      </c>
      <c r="Q687">
        <f>(VALUE(LEFT(SUBSTITUTE(O687,"T"," "),23)) - VALUE(LEFT(SUBSTITUTE(N687,"T"," "),23))) * 86400</f>
        <v>281.50699941907078</v>
      </c>
      <c r="R687">
        <f>I687/G687</f>
        <v>3.8636890503052315E-2</v>
      </c>
      <c r="S687">
        <f>H687/G687</f>
        <v>0.40568735028204927</v>
      </c>
    </row>
    <row r="688" spans="1:19" hidden="1" x14ac:dyDescent="0.2">
      <c r="A688">
        <v>92</v>
      </c>
      <c r="B688" t="s">
        <v>21</v>
      </c>
      <c r="C688">
        <v>5</v>
      </c>
      <c r="D688">
        <v>4</v>
      </c>
      <c r="E688">
        <v>1025</v>
      </c>
      <c r="F688" t="b">
        <v>1</v>
      </c>
      <c r="G688">
        <v>39.392000000000003</v>
      </c>
      <c r="H688">
        <v>24</v>
      </c>
      <c r="I688">
        <v>1</v>
      </c>
      <c r="J688">
        <v>0.06</v>
      </c>
      <c r="K688" t="s">
        <v>1670</v>
      </c>
      <c r="L688">
        <v>0</v>
      </c>
      <c r="N688" t="s">
        <v>1671</v>
      </c>
      <c r="O688" t="s">
        <v>1672</v>
      </c>
      <c r="P688" t="s">
        <v>20</v>
      </c>
      <c r="Q688">
        <f>(VALUE(LEFT(SUBSTITUTE(O688,"T"," "),23)) - VALUE(LEFT(SUBSTITUTE(N688,"T"," "),23))) * 86400</f>
        <v>185.50800040829927</v>
      </c>
      <c r="R688">
        <f>I688/G688</f>
        <v>2.538586515028432E-2</v>
      </c>
      <c r="S688">
        <f>H688/G688</f>
        <v>0.60926076360682369</v>
      </c>
    </row>
    <row r="689" spans="1:19" hidden="1" x14ac:dyDescent="0.2">
      <c r="A689">
        <v>95</v>
      </c>
      <c r="B689" t="s">
        <v>21</v>
      </c>
      <c r="C689">
        <v>10</v>
      </c>
      <c r="D689">
        <v>4</v>
      </c>
      <c r="E689">
        <v>1025</v>
      </c>
      <c r="F689" t="b">
        <v>1</v>
      </c>
      <c r="G689">
        <v>75.847999999999999</v>
      </c>
      <c r="H689">
        <v>25</v>
      </c>
      <c r="I689">
        <v>6</v>
      </c>
      <c r="J689">
        <v>2.34</v>
      </c>
      <c r="K689" t="s">
        <v>1679</v>
      </c>
      <c r="L689">
        <v>0</v>
      </c>
      <c r="N689" t="s">
        <v>1680</v>
      </c>
      <c r="O689" t="s">
        <v>1681</v>
      </c>
      <c r="P689" t="s">
        <v>20</v>
      </c>
      <c r="Q689">
        <f>(VALUE(LEFT(SUBSTITUTE(O689,"T"," "),23)) - VALUE(LEFT(SUBSTITUTE(N689,"T"," "),23))) * 86400</f>
        <v>361.12200021743774</v>
      </c>
      <c r="R689">
        <f>I689/G689</f>
        <v>7.9105579580213053E-2</v>
      </c>
      <c r="S689">
        <f>H689/G689</f>
        <v>0.32960658158422107</v>
      </c>
    </row>
    <row r="690" spans="1:19" hidden="1" x14ac:dyDescent="0.2">
      <c r="A690">
        <v>98</v>
      </c>
      <c r="B690" t="s">
        <v>21</v>
      </c>
      <c r="C690">
        <v>15</v>
      </c>
      <c r="D690">
        <v>4</v>
      </c>
      <c r="E690">
        <v>1025</v>
      </c>
      <c r="F690" t="b">
        <v>1</v>
      </c>
      <c r="G690">
        <v>51.24</v>
      </c>
      <c r="H690">
        <v>25</v>
      </c>
      <c r="I690">
        <v>1</v>
      </c>
      <c r="J690">
        <v>0.18</v>
      </c>
      <c r="K690" t="s">
        <v>1688</v>
      </c>
      <c r="L690">
        <v>0</v>
      </c>
      <c r="N690" t="s">
        <v>1689</v>
      </c>
      <c r="O690" t="s">
        <v>1690</v>
      </c>
      <c r="P690" t="s">
        <v>20</v>
      </c>
      <c r="Q690">
        <f>(VALUE(LEFT(SUBSTITUTE(O690,"T"," "),23)) - VALUE(LEFT(SUBSTITUTE(N690,"T"," "),23))) * 86400</f>
        <v>206.50599994696677</v>
      </c>
      <c r="R690">
        <f>I690/G690</f>
        <v>1.95160031225605E-2</v>
      </c>
      <c r="S690">
        <f>H690/G690</f>
        <v>0.48790007806401248</v>
      </c>
    </row>
    <row r="691" spans="1:19" hidden="1" x14ac:dyDescent="0.2">
      <c r="A691">
        <v>101</v>
      </c>
      <c r="B691" t="s">
        <v>21</v>
      </c>
      <c r="C691">
        <v>20</v>
      </c>
      <c r="D691">
        <v>4</v>
      </c>
      <c r="E691">
        <v>1025</v>
      </c>
      <c r="F691" t="b">
        <v>1</v>
      </c>
      <c r="G691">
        <v>59.192</v>
      </c>
      <c r="H691">
        <v>25</v>
      </c>
      <c r="I691">
        <v>4</v>
      </c>
      <c r="J691">
        <v>0.72</v>
      </c>
      <c r="K691" t="s">
        <v>1697</v>
      </c>
      <c r="L691">
        <v>0</v>
      </c>
      <c r="N691" t="s">
        <v>1698</v>
      </c>
      <c r="O691" t="s">
        <v>1699</v>
      </c>
      <c r="P691" t="s">
        <v>20</v>
      </c>
      <c r="Q691">
        <f>(VALUE(LEFT(SUBSTITUTE(O691,"T"," "),23)) - VALUE(LEFT(SUBSTITUTE(N691,"T"," "),23))) * 86400</f>
        <v>268.97800003644079</v>
      </c>
      <c r="R691">
        <f>I691/G691</f>
        <v>6.7576699553993785E-2</v>
      </c>
      <c r="S691">
        <f>H691/G691</f>
        <v>0.42235437221246114</v>
      </c>
    </row>
    <row r="692" spans="1:19" hidden="1" x14ac:dyDescent="0.2">
      <c r="A692">
        <v>104</v>
      </c>
      <c r="B692" t="s">
        <v>21</v>
      </c>
      <c r="C692">
        <v>50</v>
      </c>
      <c r="D692">
        <v>4</v>
      </c>
      <c r="E692">
        <v>1025</v>
      </c>
      <c r="F692" t="b">
        <v>1</v>
      </c>
      <c r="G692">
        <v>72.555999999999997</v>
      </c>
      <c r="H692">
        <v>24</v>
      </c>
      <c r="I692">
        <v>8</v>
      </c>
      <c r="J692">
        <v>2.88</v>
      </c>
      <c r="K692" t="s">
        <v>1706</v>
      </c>
      <c r="L692">
        <v>0</v>
      </c>
      <c r="N692" t="s">
        <v>1707</v>
      </c>
      <c r="O692" t="s">
        <v>1708</v>
      </c>
      <c r="P692" t="s">
        <v>20</v>
      </c>
      <c r="Q692">
        <f>(VALUE(LEFT(SUBSTITUTE(O692,"T"," "),23)) - VALUE(LEFT(SUBSTITUTE(N692,"T"," "),23))) * 86400</f>
        <v>310.41899998672307</v>
      </c>
      <c r="R692">
        <f>I692/G692</f>
        <v>0.1102596615028392</v>
      </c>
      <c r="S692">
        <f>H692/G692</f>
        <v>0.33077898450851756</v>
      </c>
    </row>
    <row r="693" spans="1:19" hidden="1" x14ac:dyDescent="0.2">
      <c r="A693">
        <v>107</v>
      </c>
      <c r="B693" t="s">
        <v>21</v>
      </c>
      <c r="C693">
        <v>70</v>
      </c>
      <c r="D693">
        <v>4</v>
      </c>
      <c r="E693">
        <v>1025</v>
      </c>
      <c r="F693" t="b">
        <v>1</v>
      </c>
      <c r="G693">
        <v>112.996</v>
      </c>
      <c r="H693">
        <v>20</v>
      </c>
      <c r="I693">
        <v>26</v>
      </c>
      <c r="J693">
        <v>5.94</v>
      </c>
      <c r="K693" t="s">
        <v>1715</v>
      </c>
      <c r="L693">
        <v>0</v>
      </c>
      <c r="N693" t="s">
        <v>1716</v>
      </c>
      <c r="O693" t="s">
        <v>1717</v>
      </c>
      <c r="P693" t="s">
        <v>20</v>
      </c>
      <c r="Q693">
        <f>(VALUE(LEFT(SUBSTITUTE(O693,"T"," "),23)) - VALUE(LEFT(SUBSTITUTE(N693,"T"," "),23))) * 86400</f>
        <v>533.81699994206429</v>
      </c>
      <c r="R693">
        <f>I693/G693</f>
        <v>0.23009664058904741</v>
      </c>
      <c r="S693">
        <f>H693/G693</f>
        <v>0.17699741583772877</v>
      </c>
    </row>
    <row r="694" spans="1:19" hidden="1" x14ac:dyDescent="0.2">
      <c r="A694">
        <v>1</v>
      </c>
      <c r="B694" t="s">
        <v>2531</v>
      </c>
      <c r="C694">
        <v>-1</v>
      </c>
      <c r="D694">
        <v>1</v>
      </c>
      <c r="E694">
        <v>1000</v>
      </c>
      <c r="F694" t="b">
        <v>1</v>
      </c>
      <c r="G694">
        <v>45.98</v>
      </c>
      <c r="H694">
        <v>29</v>
      </c>
      <c r="I694">
        <v>8</v>
      </c>
      <c r="J694">
        <v>7.62</v>
      </c>
      <c r="K694" t="s">
        <v>2532</v>
      </c>
      <c r="L694">
        <v>0</v>
      </c>
      <c r="N694" t="s">
        <v>2533</v>
      </c>
      <c r="O694" t="s">
        <v>2534</v>
      </c>
      <c r="P694" t="s">
        <v>20</v>
      </c>
      <c r="Q694">
        <f>(VALUE(LEFT(SUBSTITUTE(O694,"T"," "),23)) - VALUE(LEFT(SUBSTITUTE(N694,"T"," "),23))) * 86400</f>
        <v>285.78799988608807</v>
      </c>
      <c r="R694">
        <f>I694/G694</f>
        <v>0.17398869073510223</v>
      </c>
      <c r="S694">
        <f>H694/G694</f>
        <v>0.6307090039147456</v>
      </c>
    </row>
    <row r="695" spans="1:19" hidden="1" x14ac:dyDescent="0.2">
      <c r="A695">
        <v>87</v>
      </c>
      <c r="B695" t="s">
        <v>25</v>
      </c>
      <c r="C695">
        <v>0</v>
      </c>
      <c r="D695">
        <v>4</v>
      </c>
      <c r="E695">
        <v>1025</v>
      </c>
      <c r="F695" t="b">
        <v>1</v>
      </c>
      <c r="G695">
        <v>51.676000000000002</v>
      </c>
      <c r="H695">
        <v>21</v>
      </c>
      <c r="I695">
        <v>3</v>
      </c>
      <c r="J695">
        <v>0.96</v>
      </c>
      <c r="K695" t="s">
        <v>1655</v>
      </c>
      <c r="L695">
        <v>0</v>
      </c>
      <c r="N695" t="s">
        <v>1656</v>
      </c>
      <c r="O695" t="s">
        <v>1657</v>
      </c>
      <c r="P695" t="s">
        <v>20</v>
      </c>
      <c r="Q695">
        <f>(VALUE(LEFT(SUBSTITUTE(O695,"T"," "),23)) - VALUE(LEFT(SUBSTITUTE(N695,"T"," "),23))) * 86400</f>
        <v>215.48199984245002</v>
      </c>
      <c r="R695">
        <f>I695/G695</f>
        <v>5.80540289496091E-2</v>
      </c>
      <c r="S695">
        <f>H695/G695</f>
        <v>0.40637820264726371</v>
      </c>
    </row>
    <row r="696" spans="1:19" x14ac:dyDescent="0.2">
      <c r="A696">
        <v>37</v>
      </c>
      <c r="B696" t="s">
        <v>2531</v>
      </c>
      <c r="C696">
        <v>2</v>
      </c>
      <c r="D696">
        <v>5</v>
      </c>
      <c r="E696">
        <v>1024</v>
      </c>
      <c r="F696" t="b">
        <v>1</v>
      </c>
      <c r="G696">
        <v>69.876000000000005</v>
      </c>
      <c r="H696">
        <v>29</v>
      </c>
      <c r="I696">
        <v>2</v>
      </c>
      <c r="J696">
        <v>3.24</v>
      </c>
      <c r="K696" t="s">
        <v>2880</v>
      </c>
      <c r="L696">
        <v>0</v>
      </c>
      <c r="N696" t="s">
        <v>2881</v>
      </c>
      <c r="O696" t="s">
        <v>2882</v>
      </c>
      <c r="P696" t="s">
        <v>20</v>
      </c>
      <c r="Q696">
        <f>(VALUE(LEFT(SUBSTITUTE(O696,"T"," "),23)) - VALUE(LEFT(SUBSTITUTE(N696,"T"," "),23))) * 86400</f>
        <v>373.64100040867925</v>
      </c>
      <c r="R696">
        <f>I696/G696</f>
        <v>2.8622130631404199E-2</v>
      </c>
      <c r="S696">
        <f>H696/G696</f>
        <v>0.41502089415536092</v>
      </c>
    </row>
    <row r="697" spans="1:19" hidden="1" x14ac:dyDescent="0.2">
      <c r="A697">
        <v>93</v>
      </c>
      <c r="B697" t="s">
        <v>25</v>
      </c>
      <c r="C697">
        <v>5</v>
      </c>
      <c r="D697">
        <v>4</v>
      </c>
      <c r="E697">
        <v>1025</v>
      </c>
      <c r="F697" t="b">
        <v>1</v>
      </c>
      <c r="G697">
        <v>40.340000000000003</v>
      </c>
      <c r="H697">
        <v>22</v>
      </c>
      <c r="I697">
        <v>2</v>
      </c>
      <c r="J697">
        <v>0.3</v>
      </c>
      <c r="K697" t="s">
        <v>1673</v>
      </c>
      <c r="L697">
        <v>0</v>
      </c>
      <c r="N697" t="s">
        <v>1674</v>
      </c>
      <c r="O697" t="s">
        <v>1675</v>
      </c>
      <c r="P697" t="s">
        <v>20</v>
      </c>
      <c r="Q697">
        <f>(VALUE(LEFT(SUBSTITUTE(O697,"T"," "),23)) - VALUE(LEFT(SUBSTITUTE(N697,"T"," "),23))) * 86400</f>
        <v>148.36399988271296</v>
      </c>
      <c r="R697">
        <f>I697/G697</f>
        <v>4.9578582052553291E-2</v>
      </c>
      <c r="S697">
        <f>H697/G697</f>
        <v>0.54536440257808627</v>
      </c>
    </row>
    <row r="698" spans="1:19" hidden="1" x14ac:dyDescent="0.2">
      <c r="A698">
        <v>96</v>
      </c>
      <c r="B698" t="s">
        <v>25</v>
      </c>
      <c r="C698">
        <v>10</v>
      </c>
      <c r="D698">
        <v>4</v>
      </c>
      <c r="E698">
        <v>1025</v>
      </c>
      <c r="F698" t="b">
        <v>1</v>
      </c>
      <c r="G698">
        <v>41.112000000000002</v>
      </c>
      <c r="H698">
        <v>23</v>
      </c>
      <c r="I698">
        <v>3</v>
      </c>
      <c r="J698">
        <v>0.42</v>
      </c>
      <c r="K698" t="s">
        <v>1682</v>
      </c>
      <c r="L698">
        <v>0</v>
      </c>
      <c r="N698" t="s">
        <v>1683</v>
      </c>
      <c r="O698" t="s">
        <v>1684</v>
      </c>
      <c r="P698" t="s">
        <v>20</v>
      </c>
      <c r="Q698">
        <f>(VALUE(LEFT(SUBSTITUTE(O698,"T"," "),23)) - VALUE(LEFT(SUBSTITUTE(N698,"T"," "),23))) * 86400</f>
        <v>190.08099976927042</v>
      </c>
      <c r="R698">
        <f>I698/G698</f>
        <v>7.2971395213076468E-2</v>
      </c>
      <c r="S698">
        <f>H698/G698</f>
        <v>0.55944736330025291</v>
      </c>
    </row>
    <row r="699" spans="1:19" hidden="1" x14ac:dyDescent="0.2">
      <c r="A699">
        <v>99</v>
      </c>
      <c r="B699" t="s">
        <v>25</v>
      </c>
      <c r="C699">
        <v>15</v>
      </c>
      <c r="D699">
        <v>4</v>
      </c>
      <c r="E699">
        <v>1025</v>
      </c>
      <c r="F699" t="b">
        <v>1</v>
      </c>
      <c r="G699">
        <v>47.524000000000001</v>
      </c>
      <c r="H699">
        <v>20</v>
      </c>
      <c r="I699">
        <v>4</v>
      </c>
      <c r="J699">
        <v>0.48</v>
      </c>
      <c r="K699" t="s">
        <v>1691</v>
      </c>
      <c r="L699">
        <v>0</v>
      </c>
      <c r="N699" t="s">
        <v>1692</v>
      </c>
      <c r="O699" t="s">
        <v>1693</v>
      </c>
      <c r="P699" t="s">
        <v>20</v>
      </c>
      <c r="Q699">
        <f>(VALUE(LEFT(SUBSTITUTE(O699,"T"," "),23)) - VALUE(LEFT(SUBSTITUTE(N699,"T"," "),23))) * 86400</f>
        <v>217.3410001443699</v>
      </c>
      <c r="R699">
        <f>I699/G699</f>
        <v>8.4167999326656001E-2</v>
      </c>
      <c r="S699">
        <f>H699/G699</f>
        <v>0.42083999663328003</v>
      </c>
    </row>
    <row r="700" spans="1:19" hidden="1" x14ac:dyDescent="0.2">
      <c r="A700">
        <v>102</v>
      </c>
      <c r="B700" t="s">
        <v>25</v>
      </c>
      <c r="C700">
        <v>20</v>
      </c>
      <c r="D700">
        <v>4</v>
      </c>
      <c r="E700">
        <v>1025</v>
      </c>
      <c r="F700" t="b">
        <v>1</v>
      </c>
      <c r="G700">
        <v>33.875999999999998</v>
      </c>
      <c r="H700">
        <v>24</v>
      </c>
      <c r="I700">
        <v>3</v>
      </c>
      <c r="J700">
        <v>0.54</v>
      </c>
      <c r="K700" t="s">
        <v>1700</v>
      </c>
      <c r="L700">
        <v>0</v>
      </c>
      <c r="N700" t="s">
        <v>1701</v>
      </c>
      <c r="O700" t="s">
        <v>1702</v>
      </c>
      <c r="P700" t="s">
        <v>20</v>
      </c>
      <c r="Q700">
        <f>(VALUE(LEFT(SUBSTITUTE(O700,"T"," "),23)) - VALUE(LEFT(SUBSTITUTE(N700,"T"," "),23))) * 86400</f>
        <v>141.56199996359646</v>
      </c>
      <c r="R700">
        <f>I700/G700</f>
        <v>8.8558271342543404E-2</v>
      </c>
      <c r="S700">
        <f>H700/G700</f>
        <v>0.70846617074034723</v>
      </c>
    </row>
    <row r="701" spans="1:19" hidden="1" x14ac:dyDescent="0.2">
      <c r="A701">
        <v>105</v>
      </c>
      <c r="B701" t="s">
        <v>25</v>
      </c>
      <c r="C701">
        <v>50</v>
      </c>
      <c r="D701">
        <v>4</v>
      </c>
      <c r="E701">
        <v>1025</v>
      </c>
      <c r="F701" t="b">
        <v>1</v>
      </c>
      <c r="G701">
        <v>37.728000000000002</v>
      </c>
      <c r="H701">
        <v>24</v>
      </c>
      <c r="I701">
        <v>5</v>
      </c>
      <c r="J701">
        <v>2.4</v>
      </c>
      <c r="K701" t="s">
        <v>1709</v>
      </c>
      <c r="L701">
        <v>0</v>
      </c>
      <c r="N701" t="s">
        <v>1710</v>
      </c>
      <c r="O701" t="s">
        <v>1711</v>
      </c>
      <c r="P701" t="s">
        <v>20</v>
      </c>
      <c r="Q701">
        <f>(VALUE(LEFT(SUBSTITUTE(O701,"T"," "),23)) - VALUE(LEFT(SUBSTITUTE(N701,"T"," "),23))) * 86400</f>
        <v>173.32199981901795</v>
      </c>
      <c r="R701">
        <f>I701/G701</f>
        <v>0.13252756573367261</v>
      </c>
      <c r="S701">
        <f>H701/G701</f>
        <v>0.63613231552162852</v>
      </c>
    </row>
    <row r="702" spans="1:19" hidden="1" x14ac:dyDescent="0.2">
      <c r="A702">
        <v>108</v>
      </c>
      <c r="B702" t="s">
        <v>25</v>
      </c>
      <c r="C702">
        <v>70</v>
      </c>
      <c r="D702">
        <v>4</v>
      </c>
      <c r="E702">
        <v>1025</v>
      </c>
      <c r="F702" t="b">
        <v>1</v>
      </c>
      <c r="G702">
        <v>45.795999999999999</v>
      </c>
      <c r="H702">
        <v>24</v>
      </c>
      <c r="I702">
        <v>4</v>
      </c>
      <c r="J702">
        <v>1.38</v>
      </c>
      <c r="K702" t="s">
        <v>1718</v>
      </c>
      <c r="L702">
        <v>0</v>
      </c>
      <c r="N702" t="s">
        <v>1719</v>
      </c>
      <c r="O702" t="s">
        <v>1720</v>
      </c>
      <c r="P702" t="s">
        <v>20</v>
      </c>
      <c r="Q702">
        <f>(VALUE(LEFT(SUBSTITUTE(O702,"T"," "),23)) - VALUE(LEFT(SUBSTITUTE(N702,"T"," "),23))) * 86400</f>
        <v>211.33800011593848</v>
      </c>
      <c r="R702">
        <f>I702/G702</f>
        <v>8.7343872827321159E-2</v>
      </c>
      <c r="S702">
        <f>H702/G702</f>
        <v>0.52406323696392698</v>
      </c>
    </row>
    <row r="703" spans="1:19" hidden="1" x14ac:dyDescent="0.2">
      <c r="A703">
        <v>31</v>
      </c>
      <c r="B703" t="s">
        <v>3414</v>
      </c>
      <c r="C703">
        <v>-1</v>
      </c>
      <c r="D703">
        <v>4</v>
      </c>
      <c r="E703">
        <v>1003</v>
      </c>
      <c r="F703" t="b">
        <v>1</v>
      </c>
      <c r="G703">
        <v>47.572000000000003</v>
      </c>
      <c r="H703">
        <v>30</v>
      </c>
      <c r="I703">
        <v>6</v>
      </c>
      <c r="J703">
        <v>8.94</v>
      </c>
      <c r="K703" t="s">
        <v>3505</v>
      </c>
      <c r="L703">
        <v>0</v>
      </c>
      <c r="N703" t="s">
        <v>3506</v>
      </c>
      <c r="O703" t="s">
        <v>3507</v>
      </c>
      <c r="P703" t="s">
        <v>20</v>
      </c>
      <c r="Q703">
        <f>(VALUE(LEFT(SUBSTITUTE(O703,"T"," "),23)) - VALUE(LEFT(SUBSTITUTE(N703,"T"," "),23))) * 86400</f>
        <v>219.47599975392222</v>
      </c>
      <c r="R703">
        <f>I703/G703</f>
        <v>0.12612461111578238</v>
      </c>
      <c r="S703">
        <f>H703/G703</f>
        <v>0.63062305557891196</v>
      </c>
    </row>
    <row r="704" spans="1:19" hidden="1" x14ac:dyDescent="0.2">
      <c r="A704">
        <v>85</v>
      </c>
      <c r="B704" t="s">
        <v>16</v>
      </c>
      <c r="C704">
        <v>0</v>
      </c>
      <c r="D704">
        <v>4</v>
      </c>
      <c r="E704">
        <v>1025</v>
      </c>
      <c r="F704" t="b">
        <v>1</v>
      </c>
      <c r="G704">
        <v>85.656000000000006</v>
      </c>
      <c r="H704">
        <v>24</v>
      </c>
      <c r="I704">
        <v>2</v>
      </c>
      <c r="J704">
        <v>1.38</v>
      </c>
      <c r="K704" t="s">
        <v>1649</v>
      </c>
      <c r="L704">
        <v>0</v>
      </c>
      <c r="N704" t="s">
        <v>1650</v>
      </c>
      <c r="O704" t="s">
        <v>1651</v>
      </c>
      <c r="P704" t="s">
        <v>20</v>
      </c>
      <c r="Q704">
        <f>(VALUE(LEFT(SUBSTITUTE(O704,"T"," "),23)) - VALUE(LEFT(SUBSTITUTE(N704,"T"," "),23))) * 86400</f>
        <v>360.4229997843504</v>
      </c>
      <c r="R704">
        <f>I704/G704</f>
        <v>2.3349210796675072E-2</v>
      </c>
      <c r="S704">
        <f>H704/G704</f>
        <v>0.28019052956010088</v>
      </c>
    </row>
    <row r="705" spans="1:19" x14ac:dyDescent="0.2">
      <c r="A705">
        <v>7</v>
      </c>
      <c r="B705" t="s">
        <v>16</v>
      </c>
      <c r="C705">
        <v>2</v>
      </c>
      <c r="D705">
        <v>1</v>
      </c>
      <c r="E705">
        <v>1020</v>
      </c>
      <c r="F705" t="b">
        <v>1</v>
      </c>
      <c r="G705">
        <v>67.768000000000001</v>
      </c>
      <c r="H705">
        <v>29</v>
      </c>
      <c r="I705">
        <v>0</v>
      </c>
      <c r="J705">
        <v>0</v>
      </c>
      <c r="K705" t="s">
        <v>218</v>
      </c>
      <c r="L705">
        <v>0</v>
      </c>
      <c r="N705" t="s">
        <v>219</v>
      </c>
      <c r="O705" t="s">
        <v>220</v>
      </c>
      <c r="P705" t="s">
        <v>20</v>
      </c>
      <c r="Q705">
        <f>(VALUE(LEFT(SUBSTITUTE(O705,"T"," "),23)) - VALUE(LEFT(SUBSTITUTE(N705,"T"," "),23))) * 86400</f>
        <v>289.10000037867576</v>
      </c>
      <c r="R705">
        <f>I705/G705</f>
        <v>0</v>
      </c>
      <c r="S705">
        <f>H705/G705</f>
        <v>0.4279305867075906</v>
      </c>
    </row>
    <row r="706" spans="1:19" hidden="1" x14ac:dyDescent="0.2">
      <c r="A706">
        <v>91</v>
      </c>
      <c r="B706" t="s">
        <v>16</v>
      </c>
      <c r="C706">
        <v>5</v>
      </c>
      <c r="D706">
        <v>4</v>
      </c>
      <c r="E706">
        <v>1025</v>
      </c>
      <c r="F706" t="b">
        <v>1</v>
      </c>
      <c r="G706">
        <v>81.947999999999993</v>
      </c>
      <c r="H706">
        <v>24</v>
      </c>
      <c r="I706">
        <v>3</v>
      </c>
      <c r="J706">
        <v>1.26</v>
      </c>
      <c r="K706" t="s">
        <v>1667</v>
      </c>
      <c r="L706">
        <v>0</v>
      </c>
      <c r="N706" t="s">
        <v>1668</v>
      </c>
      <c r="O706" t="s">
        <v>1669</v>
      </c>
      <c r="P706" t="s">
        <v>20</v>
      </c>
      <c r="Q706">
        <f>(VALUE(LEFT(SUBSTITUTE(O706,"T"," "),23)) - VALUE(LEFT(SUBSTITUTE(N706,"T"," "),23))) * 86400</f>
        <v>376.22499992139637</v>
      </c>
      <c r="R706">
        <f>I706/G706</f>
        <v>3.6608581051398449E-2</v>
      </c>
      <c r="S706">
        <f>H706/G706</f>
        <v>0.29286864841118759</v>
      </c>
    </row>
    <row r="707" spans="1:19" hidden="1" x14ac:dyDescent="0.2">
      <c r="A707">
        <v>94</v>
      </c>
      <c r="B707" t="s">
        <v>16</v>
      </c>
      <c r="C707">
        <v>10</v>
      </c>
      <c r="D707">
        <v>4</v>
      </c>
      <c r="E707">
        <v>1025</v>
      </c>
      <c r="F707" t="b">
        <v>1</v>
      </c>
      <c r="G707">
        <v>62.368000000000002</v>
      </c>
      <c r="H707">
        <v>21</v>
      </c>
      <c r="I707">
        <v>3</v>
      </c>
      <c r="J707">
        <v>0.66</v>
      </c>
      <c r="K707" t="s">
        <v>1676</v>
      </c>
      <c r="L707">
        <v>0</v>
      </c>
      <c r="N707" t="s">
        <v>1677</v>
      </c>
      <c r="O707" t="s">
        <v>1678</v>
      </c>
      <c r="P707" t="s">
        <v>20</v>
      </c>
      <c r="Q707">
        <f>(VALUE(LEFT(SUBSTITUTE(O707,"T"," "),23)) - VALUE(LEFT(SUBSTITUTE(N707,"T"," "),23))) * 86400</f>
        <v>290.86400019004941</v>
      </c>
      <c r="R707">
        <f>I707/G707</f>
        <v>4.8101590559261158E-2</v>
      </c>
      <c r="S707">
        <f>H707/G707</f>
        <v>0.3367111339148281</v>
      </c>
    </row>
    <row r="708" spans="1:19" hidden="1" x14ac:dyDescent="0.2">
      <c r="A708">
        <v>97</v>
      </c>
      <c r="B708" t="s">
        <v>16</v>
      </c>
      <c r="C708">
        <v>15</v>
      </c>
      <c r="D708">
        <v>4</v>
      </c>
      <c r="E708">
        <v>1025</v>
      </c>
      <c r="F708" t="b">
        <v>1</v>
      </c>
      <c r="G708">
        <v>80.628</v>
      </c>
      <c r="H708">
        <v>21</v>
      </c>
      <c r="I708">
        <v>6</v>
      </c>
      <c r="J708">
        <v>0.54</v>
      </c>
      <c r="K708" t="s">
        <v>1685</v>
      </c>
      <c r="L708">
        <v>0</v>
      </c>
      <c r="N708" t="s">
        <v>1686</v>
      </c>
      <c r="O708" t="s">
        <v>1687</v>
      </c>
      <c r="P708" t="s">
        <v>20</v>
      </c>
      <c r="Q708">
        <f>(VALUE(LEFT(SUBSTITUTE(O708,"T"," "),23)) - VALUE(LEFT(SUBSTITUTE(N708,"T"," "),23))) * 86400</f>
        <v>301.04500008746982</v>
      </c>
      <c r="R708">
        <f>I708/G708</f>
        <v>7.44158356898348E-2</v>
      </c>
      <c r="S708">
        <f>H708/G708</f>
        <v>0.26045542491442181</v>
      </c>
    </row>
    <row r="709" spans="1:19" hidden="1" x14ac:dyDescent="0.2">
      <c r="A709">
        <v>100</v>
      </c>
      <c r="B709" t="s">
        <v>16</v>
      </c>
      <c r="C709">
        <v>20</v>
      </c>
      <c r="D709">
        <v>4</v>
      </c>
      <c r="E709">
        <v>1025</v>
      </c>
      <c r="F709" t="b">
        <v>1</v>
      </c>
      <c r="G709">
        <v>90.067999999999998</v>
      </c>
      <c r="H709">
        <v>21</v>
      </c>
      <c r="I709">
        <v>8</v>
      </c>
      <c r="J709">
        <v>2.4</v>
      </c>
      <c r="K709" t="s">
        <v>1694</v>
      </c>
      <c r="L709">
        <v>0</v>
      </c>
      <c r="N709" t="s">
        <v>1695</v>
      </c>
      <c r="O709" t="s">
        <v>1696</v>
      </c>
      <c r="P709" t="s">
        <v>20</v>
      </c>
      <c r="Q709">
        <f>(VALUE(LEFT(SUBSTITUTE(O709,"T"," "),23)) - VALUE(LEFT(SUBSTITUTE(N709,"T"," "),23))) * 86400</f>
        <v>396.51500000618398</v>
      </c>
      <c r="R709">
        <f>I709/G709</f>
        <v>8.8821779100235379E-2</v>
      </c>
      <c r="S709">
        <f>H709/G709</f>
        <v>0.23315717013811788</v>
      </c>
    </row>
    <row r="710" spans="1:19" hidden="1" x14ac:dyDescent="0.2">
      <c r="A710">
        <v>103</v>
      </c>
      <c r="B710" t="s">
        <v>16</v>
      </c>
      <c r="C710">
        <v>50</v>
      </c>
      <c r="D710">
        <v>4</v>
      </c>
      <c r="E710">
        <v>1025</v>
      </c>
      <c r="F710" t="b">
        <v>1</v>
      </c>
      <c r="G710">
        <v>77.087999999999994</v>
      </c>
      <c r="H710">
        <v>18</v>
      </c>
      <c r="I710">
        <v>6</v>
      </c>
      <c r="J710">
        <v>1.2</v>
      </c>
      <c r="K710" t="s">
        <v>1703</v>
      </c>
      <c r="L710">
        <v>0</v>
      </c>
      <c r="N710" t="s">
        <v>1704</v>
      </c>
      <c r="O710" t="s">
        <v>1705</v>
      </c>
      <c r="P710" t="s">
        <v>20</v>
      </c>
      <c r="Q710">
        <f>(VALUE(LEFT(SUBSTITUTE(O710,"T"," "),23)) - VALUE(LEFT(SUBSTITUTE(N710,"T"," "),23))) * 86400</f>
        <v>340.1629997882992</v>
      </c>
      <c r="R710">
        <f>I710/G710</f>
        <v>7.7833125778331264E-2</v>
      </c>
      <c r="S710">
        <f>H710/G710</f>
        <v>0.23349937733499379</v>
      </c>
    </row>
    <row r="711" spans="1:19" hidden="1" x14ac:dyDescent="0.2">
      <c r="A711">
        <v>106</v>
      </c>
      <c r="B711" t="s">
        <v>16</v>
      </c>
      <c r="C711">
        <v>70</v>
      </c>
      <c r="D711">
        <v>4</v>
      </c>
      <c r="E711">
        <v>1025</v>
      </c>
      <c r="F711" t="b">
        <v>1</v>
      </c>
      <c r="G711">
        <v>75.760000000000005</v>
      </c>
      <c r="H711">
        <v>18</v>
      </c>
      <c r="I711">
        <v>7</v>
      </c>
      <c r="J711">
        <v>1.38</v>
      </c>
      <c r="K711" t="s">
        <v>1712</v>
      </c>
      <c r="L711">
        <v>0</v>
      </c>
      <c r="N711" t="s">
        <v>1713</v>
      </c>
      <c r="O711" t="s">
        <v>1714</v>
      </c>
      <c r="P711" t="s">
        <v>20</v>
      </c>
      <c r="Q711">
        <f>(VALUE(LEFT(SUBSTITUTE(O711,"T"," "),23)) - VALUE(LEFT(SUBSTITUTE(N711,"T"," "),23))) * 86400</f>
        <v>332.45700029656291</v>
      </c>
      <c r="R711">
        <f>I711/G711</f>
        <v>9.2397043294614567E-2</v>
      </c>
      <c r="S711">
        <f>H711/G711</f>
        <v>0.2375923970432946</v>
      </c>
    </row>
    <row r="712" spans="1:19" hidden="1" x14ac:dyDescent="0.2">
      <c r="A712">
        <v>5</v>
      </c>
      <c r="B712" t="s">
        <v>2476</v>
      </c>
      <c r="C712">
        <v>-1</v>
      </c>
      <c r="D712">
        <v>3</v>
      </c>
      <c r="E712">
        <v>1029</v>
      </c>
      <c r="F712" t="b">
        <v>1</v>
      </c>
      <c r="G712">
        <v>39.856000000000002</v>
      </c>
      <c r="H712">
        <v>25</v>
      </c>
      <c r="I712">
        <v>3</v>
      </c>
      <c r="J712">
        <v>2.82</v>
      </c>
      <c r="K712" t="s">
        <v>2525</v>
      </c>
      <c r="L712">
        <v>0</v>
      </c>
      <c r="N712" t="s">
        <v>2526</v>
      </c>
      <c r="O712" t="s">
        <v>2527</v>
      </c>
      <c r="P712" t="s">
        <v>20</v>
      </c>
      <c r="Q712">
        <f>(VALUE(LEFT(SUBSTITUTE(O712,"T"," "),23)) - VALUE(LEFT(SUBSTITUTE(N712,"T"," "),23))) * 86400</f>
        <v>163.50100035779178</v>
      </c>
      <c r="R712">
        <f>I712/G712</f>
        <v>7.5270975511842628E-2</v>
      </c>
      <c r="S712">
        <f>H712/G712</f>
        <v>0.62725812926535529</v>
      </c>
    </row>
    <row r="713" spans="1:19" hidden="1" x14ac:dyDescent="0.2">
      <c r="A713">
        <v>113</v>
      </c>
      <c r="B713" t="s">
        <v>21</v>
      </c>
      <c r="C713">
        <v>0</v>
      </c>
      <c r="D713">
        <v>5</v>
      </c>
      <c r="E713">
        <v>1026</v>
      </c>
      <c r="F713" t="b">
        <v>1</v>
      </c>
      <c r="G713">
        <v>64.876000000000005</v>
      </c>
      <c r="H713">
        <v>24</v>
      </c>
      <c r="I713">
        <v>1</v>
      </c>
      <c r="J713">
        <v>0.06</v>
      </c>
      <c r="K713" t="s">
        <v>1733</v>
      </c>
      <c r="L713">
        <v>0</v>
      </c>
      <c r="N713" t="s">
        <v>1734</v>
      </c>
      <c r="O713" t="s">
        <v>1735</v>
      </c>
      <c r="P713" t="s">
        <v>20</v>
      </c>
      <c r="Q713">
        <f>(VALUE(LEFT(SUBSTITUTE(O713,"T"," "),23)) - VALUE(LEFT(SUBSTITUTE(N713,"T"," "),23))) * 86400</f>
        <v>259.32099963538349</v>
      </c>
      <c r="R713">
        <f>I713/G713</f>
        <v>1.5414020593131511E-2</v>
      </c>
      <c r="S713">
        <f>H713/G713</f>
        <v>0.36993649423515629</v>
      </c>
    </row>
    <row r="714" spans="1:19" x14ac:dyDescent="0.2">
      <c r="A714">
        <v>116</v>
      </c>
      <c r="B714" t="s">
        <v>21</v>
      </c>
      <c r="C714">
        <v>2</v>
      </c>
      <c r="D714">
        <v>5</v>
      </c>
      <c r="E714">
        <v>1006</v>
      </c>
      <c r="F714" t="b">
        <v>1</v>
      </c>
      <c r="G714">
        <v>58.188000000000002</v>
      </c>
      <c r="H714">
        <v>25</v>
      </c>
      <c r="I714">
        <v>2</v>
      </c>
      <c r="J714">
        <v>1.68</v>
      </c>
      <c r="K714" t="s">
        <v>878</v>
      </c>
      <c r="L714">
        <v>0</v>
      </c>
      <c r="N714" t="s">
        <v>879</v>
      </c>
      <c r="O714" t="s">
        <v>880</v>
      </c>
      <c r="P714" t="s">
        <v>20</v>
      </c>
      <c r="Q714">
        <f>(VALUE(LEFT(SUBSTITUTE(O714,"T"," "),23)) - VALUE(LEFT(SUBSTITUTE(N714,"T"," "),23))) * 86400</f>
        <v>286.6449996130541</v>
      </c>
      <c r="R714">
        <f>I714/G714</f>
        <v>3.4371348044270292E-2</v>
      </c>
      <c r="S714">
        <f>H714/G714</f>
        <v>0.42964185055337867</v>
      </c>
    </row>
    <row r="715" spans="1:19" hidden="1" x14ac:dyDescent="0.2">
      <c r="A715">
        <v>119</v>
      </c>
      <c r="B715" t="s">
        <v>21</v>
      </c>
      <c r="C715">
        <v>5</v>
      </c>
      <c r="D715">
        <v>5</v>
      </c>
      <c r="E715">
        <v>1026</v>
      </c>
      <c r="F715" t="b">
        <v>1</v>
      </c>
      <c r="G715">
        <v>140.304</v>
      </c>
      <c r="H715">
        <v>23</v>
      </c>
      <c r="I715">
        <v>6</v>
      </c>
      <c r="J715">
        <v>2.16</v>
      </c>
      <c r="K715" t="s">
        <v>1751</v>
      </c>
      <c r="L715">
        <v>0</v>
      </c>
      <c r="N715" t="s">
        <v>1752</v>
      </c>
      <c r="O715" t="s">
        <v>1753</v>
      </c>
      <c r="P715" t="s">
        <v>20</v>
      </c>
      <c r="Q715">
        <f>(VALUE(LEFT(SUBSTITUTE(O715,"T"," "),23)) - VALUE(LEFT(SUBSTITUTE(N715,"T"," "),23))) * 86400</f>
        <v>609.81000016909093</v>
      </c>
      <c r="R715">
        <f>I715/G715</f>
        <v>4.2764283270612387E-2</v>
      </c>
      <c r="S715">
        <f>H715/G715</f>
        <v>0.16392975253734748</v>
      </c>
    </row>
    <row r="716" spans="1:19" hidden="1" x14ac:dyDescent="0.2">
      <c r="A716">
        <v>122</v>
      </c>
      <c r="B716" t="s">
        <v>21</v>
      </c>
      <c r="C716">
        <v>10</v>
      </c>
      <c r="D716">
        <v>5</v>
      </c>
      <c r="E716">
        <v>1026</v>
      </c>
      <c r="F716" t="b">
        <v>1</v>
      </c>
      <c r="G716">
        <v>113.35599999999999</v>
      </c>
      <c r="H716">
        <v>23</v>
      </c>
      <c r="I716">
        <v>11</v>
      </c>
      <c r="J716">
        <v>2.94</v>
      </c>
      <c r="K716" t="s">
        <v>1760</v>
      </c>
      <c r="L716">
        <v>0</v>
      </c>
      <c r="N716" t="s">
        <v>1761</v>
      </c>
      <c r="O716" t="s">
        <v>1762</v>
      </c>
      <c r="P716" t="s">
        <v>20</v>
      </c>
      <c r="Q716">
        <f>(VALUE(LEFT(SUBSTITUTE(O716,"T"," "),23)) - VALUE(LEFT(SUBSTITUTE(N716,"T"," "),23))) * 86400</f>
        <v>496.95500037632883</v>
      </c>
      <c r="R716">
        <f>I716/G716</f>
        <v>9.7039415646282517E-2</v>
      </c>
      <c r="S716">
        <f>H716/G716</f>
        <v>0.20290059635131799</v>
      </c>
    </row>
    <row r="717" spans="1:19" hidden="1" x14ac:dyDescent="0.2">
      <c r="A717">
        <v>125</v>
      </c>
      <c r="B717" t="s">
        <v>21</v>
      </c>
      <c r="C717">
        <v>15</v>
      </c>
      <c r="D717">
        <v>5</v>
      </c>
      <c r="E717">
        <v>1026</v>
      </c>
      <c r="F717" t="b">
        <v>1</v>
      </c>
      <c r="G717">
        <v>93.603999999999999</v>
      </c>
      <c r="H717">
        <v>26</v>
      </c>
      <c r="I717">
        <v>8</v>
      </c>
      <c r="J717">
        <v>0.9</v>
      </c>
      <c r="K717" t="s">
        <v>1769</v>
      </c>
      <c r="L717">
        <v>0</v>
      </c>
      <c r="N717" t="s">
        <v>1770</v>
      </c>
      <c r="O717" t="s">
        <v>1771</v>
      </c>
      <c r="P717" t="s">
        <v>20</v>
      </c>
      <c r="Q717">
        <f>(VALUE(LEFT(SUBSTITUTE(O717,"T"," "),23)) - VALUE(LEFT(SUBSTITUTE(N717,"T"," "),23))) * 86400</f>
        <v>391.08900034334511</v>
      </c>
      <c r="R717">
        <f>I717/G717</f>
        <v>8.5466433058416308E-2</v>
      </c>
      <c r="S717">
        <f>H717/G717</f>
        <v>0.27776590743985302</v>
      </c>
    </row>
    <row r="718" spans="1:19" hidden="1" x14ac:dyDescent="0.2">
      <c r="A718">
        <v>128</v>
      </c>
      <c r="B718" t="s">
        <v>21</v>
      </c>
      <c r="C718">
        <v>20</v>
      </c>
      <c r="D718">
        <v>5</v>
      </c>
      <c r="E718">
        <v>1026</v>
      </c>
      <c r="F718" t="b">
        <v>1</v>
      </c>
      <c r="G718">
        <v>55.148000000000003</v>
      </c>
      <c r="H718">
        <v>24</v>
      </c>
      <c r="I718">
        <v>4</v>
      </c>
      <c r="J718">
        <v>0.6</v>
      </c>
      <c r="K718" t="s">
        <v>1778</v>
      </c>
      <c r="L718">
        <v>0</v>
      </c>
      <c r="N718" t="s">
        <v>1779</v>
      </c>
      <c r="O718" t="s">
        <v>1780</v>
      </c>
      <c r="P718" t="s">
        <v>20</v>
      </c>
      <c r="Q718">
        <f>(VALUE(LEFT(SUBSTITUTE(O718,"T"," "),23)) - VALUE(LEFT(SUBSTITUTE(N718,"T"," "),23))) * 86400</f>
        <v>319.23299990594387</v>
      </c>
      <c r="R718">
        <f>I718/G718</f>
        <v>7.2532095452237613E-2</v>
      </c>
      <c r="S718">
        <f>H718/G718</f>
        <v>0.43519257271342565</v>
      </c>
    </row>
    <row r="719" spans="1:19" hidden="1" x14ac:dyDescent="0.2">
      <c r="A719">
        <v>131</v>
      </c>
      <c r="B719" t="s">
        <v>21</v>
      </c>
      <c r="C719">
        <v>50</v>
      </c>
      <c r="D719">
        <v>5</v>
      </c>
      <c r="E719">
        <v>1026</v>
      </c>
      <c r="F719" t="b">
        <v>1</v>
      </c>
      <c r="G719">
        <v>76.811999999999998</v>
      </c>
      <c r="H719">
        <v>25</v>
      </c>
      <c r="I719">
        <v>9</v>
      </c>
      <c r="J719">
        <v>1.1399999999999999</v>
      </c>
      <c r="K719" t="s">
        <v>1787</v>
      </c>
      <c r="L719">
        <v>0</v>
      </c>
      <c r="N719" t="s">
        <v>1788</v>
      </c>
      <c r="O719" t="s">
        <v>1789</v>
      </c>
      <c r="P719" t="s">
        <v>20</v>
      </c>
      <c r="Q719">
        <f>(VALUE(LEFT(SUBSTITUTE(O719,"T"," "),23)) - VALUE(LEFT(SUBSTITUTE(N719,"T"," "),23))) * 86400</f>
        <v>412.57700049318373</v>
      </c>
      <c r="R719">
        <f>I719/G719</f>
        <v>0.11716919231370099</v>
      </c>
      <c r="S719">
        <f>H719/G719</f>
        <v>0.32546997864916943</v>
      </c>
    </row>
    <row r="720" spans="1:19" hidden="1" x14ac:dyDescent="0.2">
      <c r="A720">
        <v>134</v>
      </c>
      <c r="B720" t="s">
        <v>21</v>
      </c>
      <c r="C720">
        <v>70</v>
      </c>
      <c r="D720">
        <v>5</v>
      </c>
      <c r="E720">
        <v>1026</v>
      </c>
      <c r="F720" t="b">
        <v>1</v>
      </c>
      <c r="G720">
        <v>60.603999999999999</v>
      </c>
      <c r="H720">
        <v>28</v>
      </c>
      <c r="I720">
        <v>8</v>
      </c>
      <c r="J720">
        <v>1.32</v>
      </c>
      <c r="K720" t="s">
        <v>1796</v>
      </c>
      <c r="L720">
        <v>0</v>
      </c>
      <c r="N720" t="s">
        <v>1797</v>
      </c>
      <c r="O720" t="s">
        <v>1798</v>
      </c>
      <c r="P720" t="s">
        <v>20</v>
      </c>
      <c r="Q720">
        <f>(VALUE(LEFT(SUBSTITUTE(O720,"T"," "),23)) - VALUE(LEFT(SUBSTITUTE(N720,"T"," "),23))) * 86400</f>
        <v>269.62299942970276</v>
      </c>
      <c r="R720">
        <f>I720/G720</f>
        <v>0.13200448815259719</v>
      </c>
      <c r="S720">
        <f>H720/G720</f>
        <v>0.46201570853409019</v>
      </c>
    </row>
    <row r="721" spans="1:19" hidden="1" x14ac:dyDescent="0.2">
      <c r="A721">
        <v>3</v>
      </c>
      <c r="B721" t="s">
        <v>25</v>
      </c>
      <c r="C721">
        <v>-1</v>
      </c>
      <c r="D721">
        <v>1</v>
      </c>
      <c r="E721">
        <v>1002</v>
      </c>
      <c r="F721" t="b">
        <v>1</v>
      </c>
      <c r="G721">
        <v>41.488</v>
      </c>
      <c r="H721">
        <v>26</v>
      </c>
      <c r="I721">
        <v>7</v>
      </c>
      <c r="J721">
        <v>7.14</v>
      </c>
      <c r="K721" t="s">
        <v>542</v>
      </c>
      <c r="L721">
        <v>0</v>
      </c>
      <c r="N721" t="s">
        <v>543</v>
      </c>
      <c r="O721" t="s">
        <v>544</v>
      </c>
      <c r="P721" t="s">
        <v>20</v>
      </c>
      <c r="Q721">
        <f>(VALUE(LEFT(SUBSTITUTE(O721,"T"," "),23)) - VALUE(LEFT(SUBSTITUTE(N721,"T"," "),23))) * 86400</f>
        <v>150.59399998281151</v>
      </c>
      <c r="R721">
        <f>I721/G721</f>
        <v>0.16872348630929426</v>
      </c>
      <c r="S721">
        <f>H721/G721</f>
        <v>0.62668723486309297</v>
      </c>
    </row>
    <row r="722" spans="1:19" hidden="1" x14ac:dyDescent="0.2">
      <c r="A722">
        <v>114</v>
      </c>
      <c r="B722" t="s">
        <v>25</v>
      </c>
      <c r="C722">
        <v>0</v>
      </c>
      <c r="D722">
        <v>5</v>
      </c>
      <c r="E722">
        <v>1026</v>
      </c>
      <c r="F722" t="b">
        <v>1</v>
      </c>
      <c r="G722">
        <v>43.628</v>
      </c>
      <c r="H722">
        <v>31</v>
      </c>
      <c r="I722">
        <v>1</v>
      </c>
      <c r="J722">
        <v>0.06</v>
      </c>
      <c r="K722" t="s">
        <v>1736</v>
      </c>
      <c r="L722">
        <v>0</v>
      </c>
      <c r="N722" t="s">
        <v>1737</v>
      </c>
      <c r="O722" t="s">
        <v>1738</v>
      </c>
      <c r="P722" t="s">
        <v>20</v>
      </c>
      <c r="Q722">
        <f>(VALUE(LEFT(SUBSTITUTE(O722,"T"," "),23)) - VALUE(LEFT(SUBSTITUTE(N722,"T"," "),23))) * 86400</f>
        <v>172.32100004330277</v>
      </c>
      <c r="R722">
        <f>I722/G722</f>
        <v>2.2921059869808379E-2</v>
      </c>
      <c r="S722">
        <f>H722/G722</f>
        <v>0.71055285596405982</v>
      </c>
    </row>
    <row r="723" spans="1:19" hidden="1" x14ac:dyDescent="0.2">
      <c r="A723">
        <v>36</v>
      </c>
      <c r="B723" t="s">
        <v>2476</v>
      </c>
      <c r="C723">
        <v>0</v>
      </c>
      <c r="D723">
        <v>5</v>
      </c>
      <c r="E723">
        <v>1004</v>
      </c>
      <c r="F723" t="b">
        <v>1</v>
      </c>
      <c r="G723">
        <v>66.408000000000001</v>
      </c>
      <c r="H723">
        <v>27</v>
      </c>
      <c r="I723">
        <v>4</v>
      </c>
      <c r="J723">
        <v>1.02</v>
      </c>
      <c r="K723" t="s">
        <v>2637</v>
      </c>
      <c r="L723">
        <v>0</v>
      </c>
      <c r="N723" t="s">
        <v>2638</v>
      </c>
      <c r="O723" t="s">
        <v>2639</v>
      </c>
      <c r="P723" t="s">
        <v>20</v>
      </c>
      <c r="Q723">
        <f>(VALUE(LEFT(SUBSTITUTE(O723,"T"," "),23)) - VALUE(LEFT(SUBSTITUTE(N723,"T"," "),23))) * 86400</f>
        <v>361.88400008250028</v>
      </c>
      <c r="R723">
        <f>I723/G723</f>
        <v>6.0233706782315384E-2</v>
      </c>
      <c r="S723">
        <f>H723/G723</f>
        <v>0.40657752078062881</v>
      </c>
    </row>
    <row r="724" spans="1:19" hidden="1" x14ac:dyDescent="0.2">
      <c r="A724">
        <v>120</v>
      </c>
      <c r="B724" t="s">
        <v>25</v>
      </c>
      <c r="C724">
        <v>5</v>
      </c>
      <c r="D724">
        <v>5</v>
      </c>
      <c r="E724">
        <v>1026</v>
      </c>
      <c r="F724" t="b">
        <v>1</v>
      </c>
      <c r="G724">
        <v>46.996000000000002</v>
      </c>
      <c r="H724">
        <v>28</v>
      </c>
      <c r="I724">
        <v>1</v>
      </c>
      <c r="J724">
        <v>0.12</v>
      </c>
      <c r="K724" t="s">
        <v>1754</v>
      </c>
      <c r="L724">
        <v>0</v>
      </c>
      <c r="N724" t="s">
        <v>1755</v>
      </c>
      <c r="O724" t="s">
        <v>1756</v>
      </c>
      <c r="P724" t="s">
        <v>20</v>
      </c>
      <c r="Q724">
        <f>(VALUE(LEFT(SUBSTITUTE(O724,"T"," "),23)) - VALUE(LEFT(SUBSTITUTE(N724,"T"," "),23))) * 86400</f>
        <v>170.58800049126148</v>
      </c>
      <c r="R724">
        <f>I724/G724</f>
        <v>2.1278406672908333E-2</v>
      </c>
      <c r="S724">
        <f>H724/G724</f>
        <v>0.59579538684143329</v>
      </c>
    </row>
    <row r="725" spans="1:19" hidden="1" x14ac:dyDescent="0.2">
      <c r="A725">
        <v>123</v>
      </c>
      <c r="B725" t="s">
        <v>25</v>
      </c>
      <c r="C725">
        <v>10</v>
      </c>
      <c r="D725">
        <v>5</v>
      </c>
      <c r="E725">
        <v>1026</v>
      </c>
      <c r="F725" t="b">
        <v>1</v>
      </c>
      <c r="G725">
        <v>45.223999999999997</v>
      </c>
      <c r="H725">
        <v>29</v>
      </c>
      <c r="I725">
        <v>3</v>
      </c>
      <c r="J725">
        <v>0.3</v>
      </c>
      <c r="K725" t="s">
        <v>1763</v>
      </c>
      <c r="L725">
        <v>0</v>
      </c>
      <c r="N725" t="s">
        <v>1764</v>
      </c>
      <c r="O725" t="s">
        <v>1765</v>
      </c>
      <c r="P725" t="s">
        <v>20</v>
      </c>
      <c r="Q725">
        <f>(VALUE(LEFT(SUBSTITUTE(O725,"T"," "),23)) - VALUE(LEFT(SUBSTITUTE(N725,"T"," "),23))) * 86400</f>
        <v>161.48700001649559</v>
      </c>
      <c r="R725">
        <f>I725/G725</f>
        <v>6.6336458517601282E-2</v>
      </c>
      <c r="S725">
        <f>H725/G725</f>
        <v>0.64125243233681239</v>
      </c>
    </row>
    <row r="726" spans="1:19" hidden="1" x14ac:dyDescent="0.2">
      <c r="A726">
        <v>126</v>
      </c>
      <c r="B726" t="s">
        <v>25</v>
      </c>
      <c r="C726">
        <v>15</v>
      </c>
      <c r="D726">
        <v>5</v>
      </c>
      <c r="E726">
        <v>1026</v>
      </c>
      <c r="F726" t="b">
        <v>1</v>
      </c>
      <c r="G726">
        <v>52.404000000000003</v>
      </c>
      <c r="H726">
        <v>28</v>
      </c>
      <c r="I726">
        <v>3</v>
      </c>
      <c r="J726">
        <v>0.78</v>
      </c>
      <c r="K726" t="s">
        <v>1772</v>
      </c>
      <c r="L726">
        <v>0</v>
      </c>
      <c r="N726" t="s">
        <v>1773</v>
      </c>
      <c r="O726" t="s">
        <v>1774</v>
      </c>
      <c r="P726" t="s">
        <v>20</v>
      </c>
      <c r="Q726">
        <f>(VALUE(LEFT(SUBSTITUTE(O726,"T"," "),23)) - VALUE(LEFT(SUBSTITUTE(N726,"T"," "),23))) * 86400</f>
        <v>234.30300015024841</v>
      </c>
      <c r="R726">
        <f>I726/G726</f>
        <v>5.7247538355850697E-2</v>
      </c>
      <c r="S726">
        <f>H726/G726</f>
        <v>0.5343103579879398</v>
      </c>
    </row>
    <row r="727" spans="1:19" hidden="1" x14ac:dyDescent="0.2">
      <c r="A727">
        <v>129</v>
      </c>
      <c r="B727" t="s">
        <v>25</v>
      </c>
      <c r="C727">
        <v>20</v>
      </c>
      <c r="D727">
        <v>5</v>
      </c>
      <c r="E727">
        <v>1026</v>
      </c>
      <c r="F727" t="b">
        <v>1</v>
      </c>
      <c r="G727">
        <v>68.308000000000007</v>
      </c>
      <c r="H727">
        <v>30</v>
      </c>
      <c r="I727">
        <v>7</v>
      </c>
      <c r="J727">
        <v>2.04</v>
      </c>
      <c r="K727" t="s">
        <v>1781</v>
      </c>
      <c r="L727">
        <v>0</v>
      </c>
      <c r="N727" t="s">
        <v>1782</v>
      </c>
      <c r="O727" t="s">
        <v>1783</v>
      </c>
      <c r="P727" t="s">
        <v>20</v>
      </c>
      <c r="Q727">
        <f>(VALUE(LEFT(SUBSTITUTE(O727,"T"," "),23)) - VALUE(LEFT(SUBSTITUTE(N727,"T"," "),23))) * 86400</f>
        <v>303.69999976828694</v>
      </c>
      <c r="R727">
        <f>I727/G727</f>
        <v>0.10247701586929787</v>
      </c>
      <c r="S727">
        <f>H727/G727</f>
        <v>0.43918721086841944</v>
      </c>
    </row>
    <row r="728" spans="1:19" hidden="1" x14ac:dyDescent="0.2">
      <c r="A728">
        <v>132</v>
      </c>
      <c r="B728" t="s">
        <v>25</v>
      </c>
      <c r="C728">
        <v>50</v>
      </c>
      <c r="D728">
        <v>5</v>
      </c>
      <c r="E728">
        <v>1026</v>
      </c>
      <c r="F728" t="b">
        <v>1</v>
      </c>
      <c r="G728">
        <v>46.183999999999997</v>
      </c>
      <c r="H728">
        <v>30</v>
      </c>
      <c r="I728">
        <v>5</v>
      </c>
      <c r="J728">
        <v>1.2</v>
      </c>
      <c r="K728" t="s">
        <v>1790</v>
      </c>
      <c r="L728">
        <v>0</v>
      </c>
      <c r="N728" t="s">
        <v>1791</v>
      </c>
      <c r="O728" t="s">
        <v>1792</v>
      </c>
      <c r="P728" t="s">
        <v>20</v>
      </c>
      <c r="Q728">
        <f>(VALUE(LEFT(SUBSTITUTE(O728,"T"," "),23)) - VALUE(LEFT(SUBSTITUTE(N728,"T"," "),23))) * 86400</f>
        <v>158.85899991262704</v>
      </c>
      <c r="R728">
        <f>I728/G728</f>
        <v>0.10826260176684567</v>
      </c>
      <c r="S728">
        <f>H728/G728</f>
        <v>0.64957561060107405</v>
      </c>
    </row>
    <row r="729" spans="1:19" hidden="1" x14ac:dyDescent="0.2">
      <c r="A729">
        <v>135</v>
      </c>
      <c r="B729" t="s">
        <v>25</v>
      </c>
      <c r="C729">
        <v>70</v>
      </c>
      <c r="D729">
        <v>5</v>
      </c>
      <c r="E729">
        <v>1026</v>
      </c>
      <c r="F729" t="b">
        <v>1</v>
      </c>
      <c r="G729">
        <v>37.192</v>
      </c>
      <c r="H729">
        <v>31</v>
      </c>
      <c r="I729">
        <v>6</v>
      </c>
      <c r="J729">
        <v>2.64</v>
      </c>
      <c r="K729" t="s">
        <v>1799</v>
      </c>
      <c r="L729">
        <v>0</v>
      </c>
      <c r="N729" t="s">
        <v>1800</v>
      </c>
      <c r="O729" t="s">
        <v>1801</v>
      </c>
      <c r="P729" t="s">
        <v>20</v>
      </c>
      <c r="Q729">
        <f>(VALUE(LEFT(SUBSTITUTE(O729,"T"," "),23)) - VALUE(LEFT(SUBSTITUTE(N729,"T"," "),23))) * 86400</f>
        <v>97.351000201888382</v>
      </c>
      <c r="R729">
        <f>I729/G729</f>
        <v>0.16132501613250161</v>
      </c>
      <c r="S729">
        <f>H729/G729</f>
        <v>0.83351258335125833</v>
      </c>
    </row>
    <row r="730" spans="1:19" hidden="1" x14ac:dyDescent="0.2">
      <c r="A730">
        <v>1</v>
      </c>
      <c r="B730" t="s">
        <v>2531</v>
      </c>
      <c r="C730">
        <v>-1</v>
      </c>
      <c r="D730">
        <v>1</v>
      </c>
      <c r="E730">
        <v>1025</v>
      </c>
      <c r="F730" t="b">
        <v>1</v>
      </c>
      <c r="G730">
        <v>36.82</v>
      </c>
      <c r="H730">
        <v>23</v>
      </c>
      <c r="I730">
        <v>2</v>
      </c>
      <c r="J730">
        <v>1.62</v>
      </c>
      <c r="K730" t="s">
        <v>2940</v>
      </c>
      <c r="L730">
        <v>0</v>
      </c>
      <c r="N730" t="s">
        <v>2941</v>
      </c>
      <c r="O730" t="s">
        <v>2942</v>
      </c>
      <c r="Q730">
        <f>(VALUE(LEFT(SUBSTITUTE(O730,"T"," "),23)) - VALUE(LEFT(SUBSTITUTE(N730,"T"," "),23))) * 86400</f>
        <v>196.78999953903258</v>
      </c>
      <c r="R730">
        <f>I730/G730</f>
        <v>5.4318305268875614E-2</v>
      </c>
      <c r="S730">
        <f>H730/G730</f>
        <v>0.62466051059206951</v>
      </c>
    </row>
    <row r="731" spans="1:19" hidden="1" x14ac:dyDescent="0.2">
      <c r="A731">
        <v>112</v>
      </c>
      <c r="B731" t="s">
        <v>16</v>
      </c>
      <c r="C731">
        <v>0</v>
      </c>
      <c r="D731">
        <v>5</v>
      </c>
      <c r="E731">
        <v>1026</v>
      </c>
      <c r="F731" t="b">
        <v>1</v>
      </c>
      <c r="G731">
        <v>62.636000000000003</v>
      </c>
      <c r="H731">
        <v>27</v>
      </c>
      <c r="I731">
        <v>0</v>
      </c>
      <c r="J731">
        <v>0</v>
      </c>
      <c r="K731" t="s">
        <v>1730</v>
      </c>
      <c r="L731">
        <v>0</v>
      </c>
      <c r="N731" t="s">
        <v>1731</v>
      </c>
      <c r="O731" t="s">
        <v>1732</v>
      </c>
      <c r="P731" t="s">
        <v>20</v>
      </c>
      <c r="Q731">
        <f>(VALUE(LEFT(SUBSTITUTE(O731,"T"," "),23)) - VALUE(LEFT(SUBSTITUTE(N731,"T"," "),23))) * 86400</f>
        <v>351.40299992635846</v>
      </c>
      <c r="R731">
        <f>I731/G731</f>
        <v>0</v>
      </c>
      <c r="S731">
        <f>H731/G731</f>
        <v>0.43106200906826742</v>
      </c>
    </row>
    <row r="732" spans="1:19" x14ac:dyDescent="0.2">
      <c r="A732">
        <v>116</v>
      </c>
      <c r="B732" t="s">
        <v>21</v>
      </c>
      <c r="C732">
        <v>2</v>
      </c>
      <c r="D732">
        <v>5</v>
      </c>
      <c r="E732">
        <v>1016</v>
      </c>
      <c r="F732" t="b">
        <v>1</v>
      </c>
      <c r="G732">
        <v>64.447999999999993</v>
      </c>
      <c r="H732">
        <v>28</v>
      </c>
      <c r="I732">
        <v>3</v>
      </c>
      <c r="J732">
        <v>0.66</v>
      </c>
      <c r="K732" t="s">
        <v>1321</v>
      </c>
      <c r="L732">
        <v>0</v>
      </c>
      <c r="N732" t="s">
        <v>1322</v>
      </c>
      <c r="O732" t="s">
        <v>1323</v>
      </c>
      <c r="P732" t="s">
        <v>20</v>
      </c>
      <c r="Q732">
        <f>(VALUE(LEFT(SUBSTITUTE(O732,"T"," "),23)) - VALUE(LEFT(SUBSTITUTE(N732,"T"," "),23))) * 86400</f>
        <v>311.2699999473989</v>
      </c>
      <c r="R732">
        <f>I732/G732</f>
        <v>4.6549155908639527E-2</v>
      </c>
      <c r="S732">
        <f>H732/G732</f>
        <v>0.43445878848063557</v>
      </c>
    </row>
    <row r="733" spans="1:19" hidden="1" x14ac:dyDescent="0.2">
      <c r="A733">
        <v>118</v>
      </c>
      <c r="B733" t="s">
        <v>16</v>
      </c>
      <c r="C733">
        <v>5</v>
      </c>
      <c r="D733">
        <v>5</v>
      </c>
      <c r="E733">
        <v>1026</v>
      </c>
      <c r="F733" t="b">
        <v>1</v>
      </c>
      <c r="G733">
        <v>59.555999999999997</v>
      </c>
      <c r="H733">
        <v>28</v>
      </c>
      <c r="I733">
        <v>1</v>
      </c>
      <c r="J733">
        <v>0.06</v>
      </c>
      <c r="K733" t="s">
        <v>1748</v>
      </c>
      <c r="L733">
        <v>0</v>
      </c>
      <c r="N733" t="s">
        <v>1749</v>
      </c>
      <c r="O733" t="s">
        <v>1750</v>
      </c>
      <c r="P733" t="s">
        <v>20</v>
      </c>
      <c r="Q733">
        <f>(VALUE(LEFT(SUBSTITUTE(O733,"T"," "),23)) - VALUE(LEFT(SUBSTITUTE(N733,"T"," "),23))) * 86400</f>
        <v>275.03600001800805</v>
      </c>
      <c r="R733">
        <f>I733/G733</f>
        <v>1.6790919470750218E-2</v>
      </c>
      <c r="S733">
        <f>H733/G733</f>
        <v>0.47014574518100616</v>
      </c>
    </row>
    <row r="734" spans="1:19" hidden="1" x14ac:dyDescent="0.2">
      <c r="A734">
        <v>121</v>
      </c>
      <c r="B734" t="s">
        <v>16</v>
      </c>
      <c r="C734">
        <v>10</v>
      </c>
      <c r="D734">
        <v>5</v>
      </c>
      <c r="E734">
        <v>1026</v>
      </c>
      <c r="F734" t="b">
        <v>1</v>
      </c>
      <c r="G734">
        <v>61.015999999999998</v>
      </c>
      <c r="H734">
        <v>27</v>
      </c>
      <c r="I734">
        <v>9</v>
      </c>
      <c r="J734">
        <v>2.2200000000000002</v>
      </c>
      <c r="K734" t="s">
        <v>1757</v>
      </c>
      <c r="L734">
        <v>0</v>
      </c>
      <c r="N734" t="s">
        <v>1758</v>
      </c>
      <c r="O734" t="s">
        <v>1759</v>
      </c>
      <c r="P734" t="s">
        <v>20</v>
      </c>
      <c r="Q734">
        <f>(VALUE(LEFT(SUBSTITUTE(O734,"T"," "),23)) - VALUE(LEFT(SUBSTITUTE(N734,"T"," "),23))) * 86400</f>
        <v>357.77699975296855</v>
      </c>
      <c r="R734">
        <f>I734/G734</f>
        <v>0.14750229448013635</v>
      </c>
      <c r="S734">
        <f>H734/G734</f>
        <v>0.44250688344040906</v>
      </c>
    </row>
    <row r="735" spans="1:19" hidden="1" x14ac:dyDescent="0.2">
      <c r="A735">
        <v>124</v>
      </c>
      <c r="B735" t="s">
        <v>16</v>
      </c>
      <c r="C735">
        <v>15</v>
      </c>
      <c r="D735">
        <v>5</v>
      </c>
      <c r="E735">
        <v>1026</v>
      </c>
      <c r="F735" t="b">
        <v>1</v>
      </c>
      <c r="G735">
        <v>56.648000000000003</v>
      </c>
      <c r="H735">
        <v>28</v>
      </c>
      <c r="I735">
        <v>6</v>
      </c>
      <c r="J735">
        <v>0.9</v>
      </c>
      <c r="K735" t="s">
        <v>1766</v>
      </c>
      <c r="L735">
        <v>0</v>
      </c>
      <c r="N735" t="s">
        <v>1767</v>
      </c>
      <c r="O735" t="s">
        <v>1768</v>
      </c>
      <c r="P735" t="s">
        <v>20</v>
      </c>
      <c r="Q735">
        <f>(VALUE(LEFT(SUBSTITUTE(O735,"T"," "),23)) - VALUE(LEFT(SUBSTITUTE(N735,"T"," "),23))) * 86400</f>
        <v>264.01500015053898</v>
      </c>
      <c r="R735">
        <f>I735/G735</f>
        <v>0.10591724332721367</v>
      </c>
      <c r="S735">
        <f>H735/G735</f>
        <v>0.49428046886033045</v>
      </c>
    </row>
    <row r="736" spans="1:19" hidden="1" x14ac:dyDescent="0.2">
      <c r="A736">
        <v>127</v>
      </c>
      <c r="B736" t="s">
        <v>16</v>
      </c>
      <c r="C736">
        <v>20</v>
      </c>
      <c r="D736">
        <v>5</v>
      </c>
      <c r="E736">
        <v>1026</v>
      </c>
      <c r="F736" t="b">
        <v>1</v>
      </c>
      <c r="G736">
        <v>64.855999999999995</v>
      </c>
      <c r="H736">
        <v>29</v>
      </c>
      <c r="I736">
        <v>4</v>
      </c>
      <c r="J736">
        <v>0.42</v>
      </c>
      <c r="K736" t="s">
        <v>1775</v>
      </c>
      <c r="L736">
        <v>0</v>
      </c>
      <c r="N736" t="s">
        <v>1776</v>
      </c>
      <c r="O736" t="s">
        <v>1777</v>
      </c>
      <c r="P736" t="s">
        <v>20</v>
      </c>
      <c r="Q736">
        <f>(VALUE(LEFT(SUBSTITUTE(O736,"T"," "),23)) - VALUE(LEFT(SUBSTITUTE(N736,"T"," "),23))) * 86400</f>
        <v>241.71300006564707</v>
      </c>
      <c r="R736">
        <f>I736/G736</f>
        <v>6.167509559639818E-2</v>
      </c>
      <c r="S736">
        <f>H736/G736</f>
        <v>0.44714444307388679</v>
      </c>
    </row>
    <row r="737" spans="1:19" hidden="1" x14ac:dyDescent="0.2">
      <c r="A737">
        <v>130</v>
      </c>
      <c r="B737" t="s">
        <v>16</v>
      </c>
      <c r="C737">
        <v>50</v>
      </c>
      <c r="D737">
        <v>5</v>
      </c>
      <c r="E737">
        <v>1026</v>
      </c>
      <c r="F737" t="b">
        <v>1</v>
      </c>
      <c r="G737">
        <v>62.276000000000003</v>
      </c>
      <c r="H737">
        <v>28</v>
      </c>
      <c r="I737">
        <v>2</v>
      </c>
      <c r="J737">
        <v>0.48</v>
      </c>
      <c r="K737" t="s">
        <v>1784</v>
      </c>
      <c r="L737">
        <v>0</v>
      </c>
      <c r="N737" t="s">
        <v>1785</v>
      </c>
      <c r="O737" t="s">
        <v>1786</v>
      </c>
      <c r="P737" t="s">
        <v>20</v>
      </c>
      <c r="Q737">
        <f>(VALUE(LEFT(SUBSTITUTE(O737,"T"," "),23)) - VALUE(LEFT(SUBSTITUTE(N737,"T"," "),23))) * 86400</f>
        <v>288.03799962624907</v>
      </c>
      <c r="R737">
        <f>I737/G737</f>
        <v>3.2115100520264624E-2</v>
      </c>
      <c r="S737">
        <f>H737/G737</f>
        <v>0.4496114072837048</v>
      </c>
    </row>
    <row r="738" spans="1:19" hidden="1" x14ac:dyDescent="0.2">
      <c r="A738">
        <v>133</v>
      </c>
      <c r="B738" t="s">
        <v>16</v>
      </c>
      <c r="C738">
        <v>70</v>
      </c>
      <c r="D738">
        <v>5</v>
      </c>
      <c r="E738">
        <v>1026</v>
      </c>
      <c r="F738" t="b">
        <v>1</v>
      </c>
      <c r="G738">
        <v>62.271999999999998</v>
      </c>
      <c r="H738">
        <v>28</v>
      </c>
      <c r="I738">
        <v>2</v>
      </c>
      <c r="J738">
        <v>0.48</v>
      </c>
      <c r="K738" t="s">
        <v>1793</v>
      </c>
      <c r="L738">
        <v>0</v>
      </c>
      <c r="N738" t="s">
        <v>1794</v>
      </c>
      <c r="O738" t="s">
        <v>1795</v>
      </c>
      <c r="P738" t="s">
        <v>20</v>
      </c>
      <c r="Q738">
        <f>(VALUE(LEFT(SUBSTITUTE(O738,"T"," "),23)) - VALUE(LEFT(SUBSTITUTE(N738,"T"," "),23))) * 86400</f>
        <v>283.9439996285364</v>
      </c>
      <c r="R738">
        <f>I738/G738</f>
        <v>3.211716341212744E-2</v>
      </c>
      <c r="S738">
        <f>H738/G738</f>
        <v>0.44964028776978421</v>
      </c>
    </row>
    <row r="739" spans="1:19" hidden="1" x14ac:dyDescent="0.2">
      <c r="A739">
        <v>21</v>
      </c>
      <c r="B739" t="s">
        <v>3414</v>
      </c>
      <c r="C739">
        <v>-1</v>
      </c>
      <c r="D739">
        <v>3</v>
      </c>
      <c r="E739">
        <v>1012</v>
      </c>
      <c r="F739" t="b">
        <v>1</v>
      </c>
      <c r="G739">
        <v>48.52</v>
      </c>
      <c r="H739">
        <v>30</v>
      </c>
      <c r="I739">
        <v>6</v>
      </c>
      <c r="J739">
        <v>7.62</v>
      </c>
      <c r="K739" t="s">
        <v>3610</v>
      </c>
      <c r="L739">
        <v>0</v>
      </c>
      <c r="N739" t="s">
        <v>3611</v>
      </c>
      <c r="O739" t="s">
        <v>3612</v>
      </c>
      <c r="P739" t="s">
        <v>20</v>
      </c>
      <c r="Q739">
        <f>(VALUE(LEFT(SUBSTITUTE(O739,"T"," "),23)) - VALUE(LEFT(SUBSTITUTE(N739,"T"," "),23))) * 86400</f>
        <v>211.99999989476055</v>
      </c>
      <c r="R739">
        <f>I739/G739</f>
        <v>0.12366034624896949</v>
      </c>
      <c r="S739">
        <f>H739/G739</f>
        <v>0.61830173124484744</v>
      </c>
    </row>
    <row r="740" spans="1:19" hidden="1" x14ac:dyDescent="0.2">
      <c r="A740">
        <v>5</v>
      </c>
      <c r="B740" t="s">
        <v>21</v>
      </c>
      <c r="C740">
        <v>0</v>
      </c>
      <c r="D740">
        <v>1</v>
      </c>
      <c r="E740">
        <v>1027</v>
      </c>
      <c r="F740" t="b">
        <v>1</v>
      </c>
      <c r="G740">
        <v>78.475999999999999</v>
      </c>
      <c r="H740">
        <v>26</v>
      </c>
      <c r="I740">
        <v>4</v>
      </c>
      <c r="J740">
        <v>3.78</v>
      </c>
      <c r="K740" t="s">
        <v>2246</v>
      </c>
      <c r="L740">
        <v>0</v>
      </c>
      <c r="N740" t="s">
        <v>2247</v>
      </c>
      <c r="O740" t="s">
        <v>2248</v>
      </c>
      <c r="P740" t="s">
        <v>20</v>
      </c>
      <c r="Q740">
        <f>(VALUE(LEFT(SUBSTITUTE(O740,"T"," "),23)) - VALUE(LEFT(SUBSTITUTE(N740,"T"," "),23))) * 86400</f>
        <v>322.84399985801429</v>
      </c>
      <c r="R740">
        <f>I740/G740</f>
        <v>5.0970997502421123E-2</v>
      </c>
      <c r="S740">
        <f>H740/G740</f>
        <v>0.33131148376573732</v>
      </c>
    </row>
    <row r="741" spans="1:19" x14ac:dyDescent="0.2">
      <c r="A741">
        <v>34</v>
      </c>
      <c r="B741" t="s">
        <v>16</v>
      </c>
      <c r="C741">
        <v>2</v>
      </c>
      <c r="D741">
        <v>2</v>
      </c>
      <c r="E741">
        <v>1028</v>
      </c>
      <c r="F741" t="b">
        <v>1</v>
      </c>
      <c r="G741">
        <v>64.444000000000003</v>
      </c>
      <c r="H741">
        <v>28</v>
      </c>
      <c r="I741">
        <v>4</v>
      </c>
      <c r="J741">
        <v>0.96</v>
      </c>
      <c r="K741" t="s">
        <v>2333</v>
      </c>
      <c r="L741">
        <v>0</v>
      </c>
      <c r="N741" t="s">
        <v>2334</v>
      </c>
      <c r="O741" t="s">
        <v>2335</v>
      </c>
      <c r="P741" t="s">
        <v>20</v>
      </c>
      <c r="Q741">
        <f>(VALUE(LEFT(SUBSTITUTE(O741,"T"," "),23)) - VALUE(LEFT(SUBSTITUTE(N741,"T"," "),23))) * 86400</f>
        <v>150.21300036460161</v>
      </c>
      <c r="R741">
        <f>I741/G741</f>
        <v>6.20693935820247E-2</v>
      </c>
      <c r="S741">
        <f>H741/G741</f>
        <v>0.43448575507417292</v>
      </c>
    </row>
    <row r="742" spans="1:19" hidden="1" x14ac:dyDescent="0.2">
      <c r="A742">
        <v>11</v>
      </c>
      <c r="B742" t="s">
        <v>21</v>
      </c>
      <c r="C742">
        <v>5</v>
      </c>
      <c r="D742">
        <v>1</v>
      </c>
      <c r="E742">
        <v>1027</v>
      </c>
      <c r="F742" t="b">
        <v>1</v>
      </c>
      <c r="G742">
        <v>79.823999999999998</v>
      </c>
      <c r="H742">
        <v>26</v>
      </c>
      <c r="I742">
        <v>3</v>
      </c>
      <c r="J742">
        <v>3.72</v>
      </c>
      <c r="K742" t="s">
        <v>2264</v>
      </c>
      <c r="L742">
        <v>0</v>
      </c>
      <c r="N742" t="s">
        <v>2265</v>
      </c>
      <c r="O742" t="s">
        <v>2266</v>
      </c>
      <c r="P742" t="s">
        <v>20</v>
      </c>
      <c r="Q742">
        <f>(VALUE(LEFT(SUBSTITUTE(O742,"T"," "),23)) - VALUE(LEFT(SUBSTITUTE(N742,"T"," "),23))) * 86400</f>
        <v>433.05699967313558</v>
      </c>
      <c r="R742">
        <f>I742/G742</f>
        <v>3.7582681900180395E-2</v>
      </c>
      <c r="S742">
        <f>H742/G742</f>
        <v>0.3257165764682301</v>
      </c>
    </row>
    <row r="743" spans="1:19" hidden="1" x14ac:dyDescent="0.2">
      <c r="A743">
        <v>14</v>
      </c>
      <c r="B743" t="s">
        <v>21</v>
      </c>
      <c r="C743">
        <v>10</v>
      </c>
      <c r="D743">
        <v>1</v>
      </c>
      <c r="E743">
        <v>1027</v>
      </c>
      <c r="F743" t="b">
        <v>1</v>
      </c>
      <c r="G743">
        <v>72.768000000000001</v>
      </c>
      <c r="H743">
        <v>29</v>
      </c>
      <c r="I743">
        <v>6</v>
      </c>
      <c r="J743">
        <v>2.94</v>
      </c>
      <c r="K743" t="s">
        <v>2273</v>
      </c>
      <c r="L743">
        <v>0</v>
      </c>
      <c r="N743" t="s">
        <v>2274</v>
      </c>
      <c r="O743" t="s">
        <v>2275</v>
      </c>
      <c r="P743" t="s">
        <v>20</v>
      </c>
      <c r="Q743">
        <f>(VALUE(LEFT(SUBSTITUTE(O743,"T"," "),23)) - VALUE(LEFT(SUBSTITUTE(N743,"T"," "),23))) * 86400</f>
        <v>177.30900042224675</v>
      </c>
      <c r="R743">
        <f>I743/G743</f>
        <v>8.2453825857519786E-2</v>
      </c>
      <c r="S743">
        <f>H743/G743</f>
        <v>0.39852682497801228</v>
      </c>
    </row>
    <row r="744" spans="1:19" hidden="1" x14ac:dyDescent="0.2">
      <c r="A744">
        <v>17</v>
      </c>
      <c r="B744" t="s">
        <v>21</v>
      </c>
      <c r="C744">
        <v>15</v>
      </c>
      <c r="D744">
        <v>1</v>
      </c>
      <c r="E744">
        <v>1027</v>
      </c>
      <c r="F744" t="b">
        <v>1</v>
      </c>
      <c r="G744">
        <v>73.34</v>
      </c>
      <c r="H744">
        <v>25</v>
      </c>
      <c r="I744">
        <v>10</v>
      </c>
      <c r="J744">
        <v>2.4</v>
      </c>
      <c r="K744" t="s">
        <v>2282</v>
      </c>
      <c r="L744">
        <v>0</v>
      </c>
      <c r="N744" t="s">
        <v>2283</v>
      </c>
      <c r="O744" t="s">
        <v>2284</v>
      </c>
      <c r="P744" t="s">
        <v>20</v>
      </c>
      <c r="Q744">
        <f>(VALUE(LEFT(SUBSTITUTE(O744,"T"," "),23)) - VALUE(LEFT(SUBSTITUTE(N744,"T"," "),23))) * 86400</f>
        <v>181.4320003380999</v>
      </c>
      <c r="R744">
        <f>I744/G744</f>
        <v>0.13635124079629124</v>
      </c>
      <c r="S744">
        <f>H744/G744</f>
        <v>0.3408781019907281</v>
      </c>
    </row>
    <row r="745" spans="1:19" hidden="1" x14ac:dyDescent="0.2">
      <c r="A745">
        <v>20</v>
      </c>
      <c r="B745" t="s">
        <v>21</v>
      </c>
      <c r="C745">
        <v>20</v>
      </c>
      <c r="D745">
        <v>1</v>
      </c>
      <c r="E745">
        <v>1027</v>
      </c>
      <c r="F745" t="b">
        <v>1</v>
      </c>
      <c r="G745">
        <v>69.936000000000007</v>
      </c>
      <c r="H745">
        <v>25</v>
      </c>
      <c r="I745">
        <v>8</v>
      </c>
      <c r="J745">
        <v>4.4400000000000004</v>
      </c>
      <c r="K745" t="s">
        <v>2291</v>
      </c>
      <c r="L745">
        <v>0</v>
      </c>
      <c r="N745" t="s">
        <v>2292</v>
      </c>
      <c r="O745" t="s">
        <v>2293</v>
      </c>
      <c r="P745" t="s">
        <v>20</v>
      </c>
      <c r="Q745">
        <f>(VALUE(LEFT(SUBSTITUTE(O745,"T"," "),23)) - VALUE(LEFT(SUBSTITUTE(N745,"T"," "),23))) * 86400</f>
        <v>181.95000006817281</v>
      </c>
      <c r="R745">
        <f>I745/G745</f>
        <v>0.11439029970258521</v>
      </c>
      <c r="S745">
        <f>H745/G745</f>
        <v>0.35746968657057876</v>
      </c>
    </row>
    <row r="746" spans="1:19" hidden="1" x14ac:dyDescent="0.2">
      <c r="A746">
        <v>23</v>
      </c>
      <c r="B746" t="s">
        <v>21</v>
      </c>
      <c r="C746">
        <v>50</v>
      </c>
      <c r="D746">
        <v>1</v>
      </c>
      <c r="E746">
        <v>1027</v>
      </c>
      <c r="F746" t="b">
        <v>1</v>
      </c>
      <c r="G746">
        <v>70.396000000000001</v>
      </c>
      <c r="H746">
        <v>26</v>
      </c>
      <c r="I746">
        <v>10</v>
      </c>
      <c r="J746">
        <v>4.32</v>
      </c>
      <c r="K746" t="s">
        <v>2300</v>
      </c>
      <c r="L746">
        <v>0</v>
      </c>
      <c r="N746" t="s">
        <v>2301</v>
      </c>
      <c r="O746" t="s">
        <v>2302</v>
      </c>
      <c r="P746" t="s">
        <v>20</v>
      </c>
      <c r="Q746">
        <f>(VALUE(LEFT(SUBSTITUTE(O746,"T"," "),23)) - VALUE(LEFT(SUBSTITUTE(N746,"T"," "),23))) * 86400</f>
        <v>181.98199986945838</v>
      </c>
      <c r="R746">
        <f>I746/G746</f>
        <v>0.14205352576850958</v>
      </c>
      <c r="S746">
        <f>H746/G746</f>
        <v>0.36933916699812491</v>
      </c>
    </row>
    <row r="747" spans="1:19" hidden="1" x14ac:dyDescent="0.2">
      <c r="A747">
        <v>26</v>
      </c>
      <c r="B747" t="s">
        <v>21</v>
      </c>
      <c r="C747">
        <v>70</v>
      </c>
      <c r="D747">
        <v>1</v>
      </c>
      <c r="E747">
        <v>1027</v>
      </c>
      <c r="F747" t="b">
        <v>1</v>
      </c>
      <c r="G747">
        <v>70.5</v>
      </c>
      <c r="H747">
        <v>26</v>
      </c>
      <c r="I747">
        <v>7</v>
      </c>
      <c r="J747">
        <v>6.06</v>
      </c>
      <c r="K747" t="s">
        <v>2309</v>
      </c>
      <c r="L747">
        <v>0</v>
      </c>
      <c r="N747" t="s">
        <v>2310</v>
      </c>
      <c r="O747" t="s">
        <v>2311</v>
      </c>
      <c r="P747" t="s">
        <v>20</v>
      </c>
      <c r="Q747">
        <f>(VALUE(LEFT(SUBSTITUTE(O747,"T"," "),23)) - VALUE(LEFT(SUBSTITUTE(N747,"T"," "),23))) * 86400</f>
        <v>180.01600017305464</v>
      </c>
      <c r="R747">
        <f>I747/G747</f>
        <v>9.9290780141843976E-2</v>
      </c>
      <c r="S747">
        <f>H747/G747</f>
        <v>0.36879432624113473</v>
      </c>
    </row>
    <row r="748" spans="1:19" hidden="1" x14ac:dyDescent="0.2">
      <c r="A748">
        <v>3</v>
      </c>
      <c r="B748" t="s">
        <v>2476</v>
      </c>
      <c r="C748">
        <v>-1</v>
      </c>
      <c r="D748">
        <v>2</v>
      </c>
      <c r="E748">
        <v>1018</v>
      </c>
      <c r="F748" t="b">
        <v>1</v>
      </c>
      <c r="G748">
        <v>45.5</v>
      </c>
      <c r="H748">
        <v>28</v>
      </c>
      <c r="I748">
        <v>5</v>
      </c>
      <c r="J748">
        <v>3.3</v>
      </c>
      <c r="K748" t="s">
        <v>2501</v>
      </c>
      <c r="L748">
        <v>0</v>
      </c>
      <c r="N748" t="s">
        <v>2502</v>
      </c>
      <c r="O748" t="s">
        <v>2503</v>
      </c>
      <c r="P748" t="s">
        <v>20</v>
      </c>
      <c r="Q748">
        <f>(VALUE(LEFT(SUBSTITUTE(O748,"T"," "),23)) - VALUE(LEFT(SUBSTITUTE(N748,"T"," "),23))) * 86400</f>
        <v>150.58000010903925</v>
      </c>
      <c r="R748">
        <f>I748/G748</f>
        <v>0.10989010989010989</v>
      </c>
      <c r="S748">
        <f>H748/G748</f>
        <v>0.61538461538461542</v>
      </c>
    </row>
    <row r="749" spans="1:19" hidden="1" x14ac:dyDescent="0.2">
      <c r="A749">
        <v>6</v>
      </c>
      <c r="B749" t="s">
        <v>25</v>
      </c>
      <c r="C749">
        <v>0</v>
      </c>
      <c r="D749">
        <v>1</v>
      </c>
      <c r="E749">
        <v>1027</v>
      </c>
      <c r="F749" t="b">
        <v>1</v>
      </c>
      <c r="G749">
        <v>50.292000000000002</v>
      </c>
      <c r="H749">
        <v>26</v>
      </c>
      <c r="I749">
        <v>1</v>
      </c>
      <c r="J749">
        <v>0.6</v>
      </c>
      <c r="K749" t="s">
        <v>2249</v>
      </c>
      <c r="L749">
        <v>0</v>
      </c>
      <c r="N749" t="s">
        <v>2250</v>
      </c>
      <c r="O749" t="s">
        <v>2251</v>
      </c>
      <c r="P749" t="s">
        <v>20</v>
      </c>
      <c r="Q749">
        <f>(VALUE(LEFT(SUBSTITUTE(O749,"T"," "),23)) - VALUE(LEFT(SUBSTITUTE(N749,"T"," "),23))) * 86400</f>
        <v>190.94999965745956</v>
      </c>
      <c r="R749">
        <f>I749/G749</f>
        <v>1.9883878151594685E-2</v>
      </c>
      <c r="S749">
        <f>H749/G749</f>
        <v>0.51698083194146183</v>
      </c>
    </row>
    <row r="750" spans="1:19" x14ac:dyDescent="0.2">
      <c r="A750">
        <v>63</v>
      </c>
      <c r="B750" t="s">
        <v>25</v>
      </c>
      <c r="C750">
        <v>2</v>
      </c>
      <c r="D750">
        <v>3</v>
      </c>
      <c r="E750">
        <v>1019</v>
      </c>
      <c r="F750" t="b">
        <v>1</v>
      </c>
      <c r="G750">
        <v>57.323999999999998</v>
      </c>
      <c r="H750">
        <v>25</v>
      </c>
      <c r="I750">
        <v>1</v>
      </c>
      <c r="J750">
        <v>0.06</v>
      </c>
      <c r="K750" t="s">
        <v>2177</v>
      </c>
      <c r="L750">
        <v>0</v>
      </c>
      <c r="N750" t="s">
        <v>2178</v>
      </c>
      <c r="O750" t="s">
        <v>2179</v>
      </c>
      <c r="P750" t="s">
        <v>20</v>
      </c>
      <c r="Q750">
        <f>(VALUE(LEFT(SUBSTITUTE(O750,"T"," "),23)) - VALUE(LEFT(SUBSTITUTE(N750,"T"," "),23))) * 86400</f>
        <v>101.51999979279935</v>
      </c>
      <c r="R750">
        <f>I750/G750</f>
        <v>1.7444700300048847E-2</v>
      </c>
      <c r="S750">
        <f>H750/G750</f>
        <v>0.43611750750122114</v>
      </c>
    </row>
    <row r="751" spans="1:19" hidden="1" x14ac:dyDescent="0.2">
      <c r="A751">
        <v>12</v>
      </c>
      <c r="B751" t="s">
        <v>25</v>
      </c>
      <c r="C751">
        <v>5</v>
      </c>
      <c r="D751">
        <v>1</v>
      </c>
      <c r="E751">
        <v>1027</v>
      </c>
      <c r="F751" t="b">
        <v>1</v>
      </c>
      <c r="G751">
        <v>62.62</v>
      </c>
      <c r="H751">
        <v>32</v>
      </c>
      <c r="I751">
        <v>3</v>
      </c>
      <c r="J751">
        <v>0.48</v>
      </c>
      <c r="K751" t="s">
        <v>2267</v>
      </c>
      <c r="L751">
        <v>0</v>
      </c>
      <c r="N751" t="s">
        <v>2268</v>
      </c>
      <c r="O751" t="s">
        <v>2269</v>
      </c>
      <c r="P751" t="s">
        <v>20</v>
      </c>
      <c r="Q751">
        <f>(VALUE(LEFT(SUBSTITUTE(O751,"T"," "),23)) - VALUE(LEFT(SUBSTITUTE(N751,"T"," "),23))) * 86400</f>
        <v>237.07199979107827</v>
      </c>
      <c r="R751">
        <f>I751/G751</f>
        <v>4.7908016608112426E-2</v>
      </c>
      <c r="S751">
        <f>H751/G751</f>
        <v>0.51101884381986584</v>
      </c>
    </row>
    <row r="752" spans="1:19" hidden="1" x14ac:dyDescent="0.2">
      <c r="A752">
        <v>15</v>
      </c>
      <c r="B752" t="s">
        <v>25</v>
      </c>
      <c r="C752">
        <v>10</v>
      </c>
      <c r="D752">
        <v>1</v>
      </c>
      <c r="E752">
        <v>1027</v>
      </c>
      <c r="F752" t="b">
        <v>1</v>
      </c>
      <c r="G752">
        <v>63.628</v>
      </c>
      <c r="H752">
        <v>26</v>
      </c>
      <c r="I752">
        <v>3</v>
      </c>
      <c r="J752">
        <v>1.44</v>
      </c>
      <c r="K752" t="s">
        <v>2276</v>
      </c>
      <c r="L752">
        <v>0</v>
      </c>
      <c r="N752" t="s">
        <v>2277</v>
      </c>
      <c r="O752" t="s">
        <v>2278</v>
      </c>
      <c r="P752" t="s">
        <v>20</v>
      </c>
      <c r="Q752">
        <f>(VALUE(LEFT(SUBSTITUTE(O752,"T"," "),23)) - VALUE(LEFT(SUBSTITUTE(N752,"T"," "),23))) * 86400</f>
        <v>203.57500032987446</v>
      </c>
      <c r="R752">
        <f>I752/G752</f>
        <v>4.7149053875652228E-2</v>
      </c>
      <c r="S752">
        <f>H752/G752</f>
        <v>0.408625133588986</v>
      </c>
    </row>
    <row r="753" spans="1:19" hidden="1" x14ac:dyDescent="0.2">
      <c r="A753">
        <v>18</v>
      </c>
      <c r="B753" t="s">
        <v>25</v>
      </c>
      <c r="C753">
        <v>15</v>
      </c>
      <c r="D753">
        <v>1</v>
      </c>
      <c r="E753">
        <v>1027</v>
      </c>
      <c r="F753" t="b">
        <v>1</v>
      </c>
      <c r="G753">
        <v>48.404000000000003</v>
      </c>
      <c r="H753">
        <v>30</v>
      </c>
      <c r="I753">
        <v>9</v>
      </c>
      <c r="J753">
        <v>1.74</v>
      </c>
      <c r="K753" t="s">
        <v>2285</v>
      </c>
      <c r="L753">
        <v>0</v>
      </c>
      <c r="N753" t="s">
        <v>2286</v>
      </c>
      <c r="O753" t="s">
        <v>2287</v>
      </c>
      <c r="P753" t="s">
        <v>20</v>
      </c>
      <c r="Q753">
        <f>(VALUE(LEFT(SUBSTITUTE(O753,"T"," "),23)) - VALUE(LEFT(SUBSTITUTE(N753,"T"," "),23))) * 86400</f>
        <v>101.46699955221266</v>
      </c>
      <c r="R753">
        <f>I753/G753</f>
        <v>0.18593504669035615</v>
      </c>
      <c r="S753">
        <f>H753/G753</f>
        <v>0.61978348896785385</v>
      </c>
    </row>
    <row r="754" spans="1:19" hidden="1" x14ac:dyDescent="0.2">
      <c r="A754">
        <v>21</v>
      </c>
      <c r="B754" t="s">
        <v>25</v>
      </c>
      <c r="C754">
        <v>20</v>
      </c>
      <c r="D754">
        <v>1</v>
      </c>
      <c r="E754">
        <v>1027</v>
      </c>
      <c r="F754" t="b">
        <v>1</v>
      </c>
      <c r="G754">
        <v>69.94</v>
      </c>
      <c r="H754">
        <v>28</v>
      </c>
      <c r="I754">
        <v>18</v>
      </c>
      <c r="J754">
        <v>3.78</v>
      </c>
      <c r="K754" t="s">
        <v>2294</v>
      </c>
      <c r="L754">
        <v>0</v>
      </c>
      <c r="N754" t="s">
        <v>2295</v>
      </c>
      <c r="O754" t="s">
        <v>2296</v>
      </c>
      <c r="P754" t="s">
        <v>20</v>
      </c>
      <c r="Q754">
        <f>(VALUE(LEFT(SUBSTITUTE(O754,"T"," "),23)) - VALUE(LEFT(SUBSTITUTE(N754,"T"," "),23))) * 86400</f>
        <v>134.84999968204647</v>
      </c>
      <c r="R754">
        <f>I754/G754</f>
        <v>0.25736345438947672</v>
      </c>
      <c r="S754">
        <f>H754/G754</f>
        <v>0.40034315127251929</v>
      </c>
    </row>
    <row r="755" spans="1:19" hidden="1" x14ac:dyDescent="0.2">
      <c r="A755">
        <v>24</v>
      </c>
      <c r="B755" t="s">
        <v>25</v>
      </c>
      <c r="C755">
        <v>50</v>
      </c>
      <c r="D755">
        <v>1</v>
      </c>
      <c r="E755">
        <v>1027</v>
      </c>
      <c r="F755" t="b">
        <v>1</v>
      </c>
      <c r="G755">
        <v>47.484000000000002</v>
      </c>
      <c r="H755">
        <v>29</v>
      </c>
      <c r="I755">
        <v>7</v>
      </c>
      <c r="J755">
        <v>1.74</v>
      </c>
      <c r="K755" t="s">
        <v>2303</v>
      </c>
      <c r="L755">
        <v>0</v>
      </c>
      <c r="N755" t="s">
        <v>2304</v>
      </c>
      <c r="O755" t="s">
        <v>2305</v>
      </c>
      <c r="P755" t="s">
        <v>20</v>
      </c>
      <c r="Q755">
        <f>(VALUE(LEFT(SUBSTITUTE(O755,"T"," "),23)) - VALUE(LEFT(SUBSTITUTE(N755,"T"," "),23))) * 86400</f>
        <v>87.100999848917127</v>
      </c>
      <c r="R755">
        <f>I755/G755</f>
        <v>0.1474180776682672</v>
      </c>
      <c r="S755">
        <f>H755/G755</f>
        <v>0.61073203605424986</v>
      </c>
    </row>
    <row r="756" spans="1:19" hidden="1" x14ac:dyDescent="0.2">
      <c r="A756">
        <v>27</v>
      </c>
      <c r="B756" t="s">
        <v>25</v>
      </c>
      <c r="C756">
        <v>70</v>
      </c>
      <c r="D756">
        <v>1</v>
      </c>
      <c r="E756">
        <v>1027</v>
      </c>
      <c r="F756" t="b">
        <v>1</v>
      </c>
      <c r="G756">
        <v>44.636000000000003</v>
      </c>
      <c r="H756">
        <v>29</v>
      </c>
      <c r="I756">
        <v>13</v>
      </c>
      <c r="J756">
        <v>2.16</v>
      </c>
      <c r="K756" t="s">
        <v>2312</v>
      </c>
      <c r="L756">
        <v>0</v>
      </c>
      <c r="N756" t="s">
        <v>2313</v>
      </c>
      <c r="O756" t="s">
        <v>2314</v>
      </c>
      <c r="P756" t="s">
        <v>20</v>
      </c>
      <c r="Q756">
        <f>(VALUE(LEFT(SUBSTITUTE(O756,"T"," "),23)) - VALUE(LEFT(SUBSTITUTE(N756,"T"," "),23))) * 86400</f>
        <v>98.265999765135348</v>
      </c>
      <c r="R756">
        <f>I756/G756</f>
        <v>0.29124473519132538</v>
      </c>
      <c r="S756">
        <f>H756/G756</f>
        <v>0.6496997938883412</v>
      </c>
    </row>
    <row r="757" spans="1:19" hidden="1" x14ac:dyDescent="0.2">
      <c r="A757">
        <v>82</v>
      </c>
      <c r="B757" t="s">
        <v>16</v>
      </c>
      <c r="C757">
        <v>-1</v>
      </c>
      <c r="D757">
        <v>4</v>
      </c>
      <c r="E757">
        <v>1025</v>
      </c>
      <c r="F757" t="b">
        <v>1</v>
      </c>
      <c r="G757">
        <v>37.463999999999999</v>
      </c>
      <c r="H757">
        <v>23</v>
      </c>
      <c r="I757">
        <v>1</v>
      </c>
      <c r="J757">
        <v>0.66</v>
      </c>
      <c r="K757" t="s">
        <v>1640</v>
      </c>
      <c r="L757">
        <v>0</v>
      </c>
      <c r="N757" t="s">
        <v>1641</v>
      </c>
      <c r="O757" t="s">
        <v>1642</v>
      </c>
      <c r="P757" t="s">
        <v>20</v>
      </c>
      <c r="Q757">
        <f>(VALUE(LEFT(SUBSTITUTE(O757,"T"," "),23)) - VALUE(LEFT(SUBSTITUTE(N757,"T"," "),23))) * 86400</f>
        <v>180.77999975066632</v>
      </c>
      <c r="R757">
        <f>I757/G757</f>
        <v>2.6692291266282298E-2</v>
      </c>
      <c r="S757">
        <f>H757/G757</f>
        <v>0.61392269912449282</v>
      </c>
    </row>
    <row r="758" spans="1:19" hidden="1" x14ac:dyDescent="0.2">
      <c r="A758">
        <v>4</v>
      </c>
      <c r="B758" t="s">
        <v>16</v>
      </c>
      <c r="C758">
        <v>0</v>
      </c>
      <c r="D758">
        <v>1</v>
      </c>
      <c r="E758">
        <v>1027</v>
      </c>
      <c r="F758" t="b">
        <v>1</v>
      </c>
      <c r="G758">
        <v>102.876</v>
      </c>
      <c r="H758">
        <v>28</v>
      </c>
      <c r="I758">
        <v>2</v>
      </c>
      <c r="J758">
        <v>1.5</v>
      </c>
      <c r="K758" t="s">
        <v>2243</v>
      </c>
      <c r="L758">
        <v>0</v>
      </c>
      <c r="N758" t="s">
        <v>2244</v>
      </c>
      <c r="O758" t="s">
        <v>2245</v>
      </c>
      <c r="P758" t="s">
        <v>20</v>
      </c>
      <c r="Q758">
        <f>(VALUE(LEFT(SUBSTITUTE(O758,"T"," "),23)) - VALUE(LEFT(SUBSTITUTE(N758,"T"," "),23))) * 86400</f>
        <v>456.19000007864088</v>
      </c>
      <c r="R758">
        <f>I758/G758</f>
        <v>1.9440880283059216E-2</v>
      </c>
      <c r="S758">
        <f>H758/G758</f>
        <v>0.27217232396282903</v>
      </c>
    </row>
    <row r="759" spans="1:19" x14ac:dyDescent="0.2">
      <c r="A759">
        <v>35</v>
      </c>
      <c r="B759" t="s">
        <v>21</v>
      </c>
      <c r="C759">
        <v>2</v>
      </c>
      <c r="D759">
        <v>2</v>
      </c>
      <c r="E759">
        <v>1013</v>
      </c>
      <c r="F759" t="b">
        <v>1</v>
      </c>
      <c r="G759">
        <v>52.531999999999996</v>
      </c>
      <c r="H759">
        <v>23</v>
      </c>
      <c r="I759">
        <v>1</v>
      </c>
      <c r="J759">
        <v>0.3</v>
      </c>
      <c r="K759" t="s">
        <v>1078</v>
      </c>
      <c r="L759">
        <v>0</v>
      </c>
      <c r="N759" t="s">
        <v>1079</v>
      </c>
      <c r="O759" t="s">
        <v>1080</v>
      </c>
      <c r="P759" t="s">
        <v>20</v>
      </c>
      <c r="Q759">
        <f>(VALUE(LEFT(SUBSTITUTE(O759,"T"," "),23)) - VALUE(LEFT(SUBSTITUTE(N759,"T"," "),23))) * 86400</f>
        <v>384.97400006745011</v>
      </c>
      <c r="R759">
        <f>I759/G759</f>
        <v>1.903601614254169E-2</v>
      </c>
      <c r="S759">
        <f>H759/G759</f>
        <v>0.43782837127845886</v>
      </c>
    </row>
    <row r="760" spans="1:19" hidden="1" x14ac:dyDescent="0.2">
      <c r="A760">
        <v>10</v>
      </c>
      <c r="B760" t="s">
        <v>16</v>
      </c>
      <c r="C760">
        <v>5</v>
      </c>
      <c r="D760">
        <v>1</v>
      </c>
      <c r="E760">
        <v>1027</v>
      </c>
      <c r="F760" t="b">
        <v>1</v>
      </c>
      <c r="G760">
        <v>106.212</v>
      </c>
      <c r="H760">
        <v>29</v>
      </c>
      <c r="I760">
        <v>6</v>
      </c>
      <c r="J760">
        <v>0.84</v>
      </c>
      <c r="K760" t="s">
        <v>2261</v>
      </c>
      <c r="L760">
        <v>0</v>
      </c>
      <c r="N760" t="s">
        <v>2262</v>
      </c>
      <c r="O760" t="s">
        <v>2263</v>
      </c>
      <c r="P760" t="s">
        <v>20</v>
      </c>
      <c r="Q760">
        <f>(VALUE(LEFT(SUBSTITUTE(O760,"T"," "),23)) - VALUE(LEFT(SUBSTITUTE(N760,"T"," "),23))) * 86400</f>
        <v>503.39299980551004</v>
      </c>
      <c r="R760">
        <f>I760/G760</f>
        <v>5.6490792000903851E-2</v>
      </c>
      <c r="S760">
        <f>H760/G760</f>
        <v>0.27303882800436863</v>
      </c>
    </row>
    <row r="761" spans="1:19" hidden="1" x14ac:dyDescent="0.2">
      <c r="A761">
        <v>13</v>
      </c>
      <c r="B761" t="s">
        <v>16</v>
      </c>
      <c r="C761">
        <v>10</v>
      </c>
      <c r="D761">
        <v>1</v>
      </c>
      <c r="E761">
        <v>1027</v>
      </c>
      <c r="F761" t="b">
        <v>1</v>
      </c>
      <c r="G761">
        <v>65.227999999999994</v>
      </c>
      <c r="H761">
        <v>27</v>
      </c>
      <c r="I761">
        <v>11</v>
      </c>
      <c r="J761">
        <v>2.88</v>
      </c>
      <c r="K761" t="s">
        <v>2270</v>
      </c>
      <c r="L761">
        <v>0</v>
      </c>
      <c r="N761" t="s">
        <v>2271</v>
      </c>
      <c r="O761" t="s">
        <v>2272</v>
      </c>
      <c r="P761" t="s">
        <v>20</v>
      </c>
      <c r="Q761">
        <f>(VALUE(LEFT(SUBSTITUTE(O761,"T"," "),23)) - VALUE(LEFT(SUBSTITUTE(N761,"T"," "),23))) * 86400</f>
        <v>348.53400019928813</v>
      </c>
      <c r="R761">
        <f>I761/G761</f>
        <v>0.16863923468449132</v>
      </c>
      <c r="S761">
        <f>H761/G761</f>
        <v>0.41393266695284237</v>
      </c>
    </row>
    <row r="762" spans="1:19" hidden="1" x14ac:dyDescent="0.2">
      <c r="A762">
        <v>16</v>
      </c>
      <c r="B762" t="s">
        <v>16</v>
      </c>
      <c r="C762">
        <v>15</v>
      </c>
      <c r="D762">
        <v>1</v>
      </c>
      <c r="E762">
        <v>1027</v>
      </c>
      <c r="F762" t="b">
        <v>1</v>
      </c>
      <c r="G762">
        <v>62.292000000000002</v>
      </c>
      <c r="H762">
        <v>26</v>
      </c>
      <c r="I762">
        <v>3</v>
      </c>
      <c r="J762">
        <v>0.3</v>
      </c>
      <c r="K762" t="s">
        <v>2279</v>
      </c>
      <c r="L762">
        <v>0</v>
      </c>
      <c r="N762" t="s">
        <v>2280</v>
      </c>
      <c r="O762" t="s">
        <v>2281</v>
      </c>
      <c r="P762" t="s">
        <v>20</v>
      </c>
      <c r="Q762">
        <f>(VALUE(LEFT(SUBSTITUTE(O762,"T"," "),23)) - VALUE(LEFT(SUBSTITUTE(N762,"T"," "),23))) * 86400</f>
        <v>131.17000053171068</v>
      </c>
      <c r="R762">
        <f>I762/G762</f>
        <v>4.8160277403197845E-2</v>
      </c>
      <c r="S762">
        <f>H762/G762</f>
        <v>0.41738907082771465</v>
      </c>
    </row>
    <row r="763" spans="1:19" hidden="1" x14ac:dyDescent="0.2">
      <c r="A763">
        <v>19</v>
      </c>
      <c r="B763" t="s">
        <v>16</v>
      </c>
      <c r="C763">
        <v>20</v>
      </c>
      <c r="D763">
        <v>1</v>
      </c>
      <c r="E763">
        <v>1027</v>
      </c>
      <c r="F763" t="b">
        <v>1</v>
      </c>
      <c r="G763">
        <v>52.875999999999998</v>
      </c>
      <c r="H763">
        <v>27</v>
      </c>
      <c r="I763">
        <v>4</v>
      </c>
      <c r="J763">
        <v>0.6</v>
      </c>
      <c r="K763" t="s">
        <v>2288</v>
      </c>
      <c r="L763">
        <v>0</v>
      </c>
      <c r="N763" t="s">
        <v>2289</v>
      </c>
      <c r="O763" t="s">
        <v>2290</v>
      </c>
      <c r="P763" t="s">
        <v>20</v>
      </c>
      <c r="Q763">
        <f>(VALUE(LEFT(SUBSTITUTE(O763,"T"," "),23)) - VALUE(LEFT(SUBSTITUTE(N763,"T"," "),23))) * 86400</f>
        <v>108.58200006186962</v>
      </c>
      <c r="R763">
        <f>I763/G763</f>
        <v>7.5648687495271955E-2</v>
      </c>
      <c r="S763">
        <f>H763/G763</f>
        <v>0.51062864059308577</v>
      </c>
    </row>
    <row r="764" spans="1:19" hidden="1" x14ac:dyDescent="0.2">
      <c r="A764">
        <v>22</v>
      </c>
      <c r="B764" t="s">
        <v>16</v>
      </c>
      <c r="C764">
        <v>50</v>
      </c>
      <c r="D764">
        <v>1</v>
      </c>
      <c r="E764">
        <v>1027</v>
      </c>
      <c r="F764" t="b">
        <v>1</v>
      </c>
      <c r="G764">
        <v>79.444000000000003</v>
      </c>
      <c r="H764">
        <v>28</v>
      </c>
      <c r="I764">
        <v>9</v>
      </c>
      <c r="J764">
        <v>1.44</v>
      </c>
      <c r="K764" t="s">
        <v>2297</v>
      </c>
      <c r="L764">
        <v>0</v>
      </c>
      <c r="N764" t="s">
        <v>2298</v>
      </c>
      <c r="O764" t="s">
        <v>2299</v>
      </c>
      <c r="P764" t="s">
        <v>20</v>
      </c>
      <c r="Q764">
        <f>(VALUE(LEFT(SUBSTITUTE(O764,"T"," "),23)) - VALUE(LEFT(SUBSTITUTE(N764,"T"," "),23))) * 86400</f>
        <v>180.8029999025166</v>
      </c>
      <c r="R764">
        <f>I764/G764</f>
        <v>0.11328734706208146</v>
      </c>
      <c r="S764">
        <f>H764/G764</f>
        <v>0.35244952419314235</v>
      </c>
    </row>
    <row r="765" spans="1:19" hidden="1" x14ac:dyDescent="0.2">
      <c r="A765">
        <v>25</v>
      </c>
      <c r="B765" t="s">
        <v>16</v>
      </c>
      <c r="C765">
        <v>70</v>
      </c>
      <c r="D765">
        <v>1</v>
      </c>
      <c r="E765">
        <v>1027</v>
      </c>
      <c r="F765" t="b">
        <v>1</v>
      </c>
      <c r="G765">
        <v>63.756</v>
      </c>
      <c r="H765">
        <v>28</v>
      </c>
      <c r="I765">
        <v>7</v>
      </c>
      <c r="J765">
        <v>1.86</v>
      </c>
      <c r="K765" t="s">
        <v>2306</v>
      </c>
      <c r="L765">
        <v>0</v>
      </c>
      <c r="N765" t="s">
        <v>2307</v>
      </c>
      <c r="O765" t="s">
        <v>2308</v>
      </c>
      <c r="P765" t="s">
        <v>20</v>
      </c>
      <c r="Q765">
        <f>(VALUE(LEFT(SUBSTITUTE(O765,"T"," "),23)) - VALUE(LEFT(SUBSTITUTE(N765,"T"," "),23))) * 86400</f>
        <v>120.16400007996708</v>
      </c>
      <c r="R765">
        <f>I765/G765</f>
        <v>0.10979358805445762</v>
      </c>
      <c r="S765">
        <f>H765/G765</f>
        <v>0.43917435221783047</v>
      </c>
    </row>
    <row r="766" spans="1:19" hidden="1" x14ac:dyDescent="0.2">
      <c r="A766">
        <v>55</v>
      </c>
      <c r="B766" t="s">
        <v>16</v>
      </c>
      <c r="C766">
        <v>-1</v>
      </c>
      <c r="D766">
        <v>3</v>
      </c>
      <c r="E766">
        <v>1009</v>
      </c>
      <c r="F766" t="b">
        <v>1</v>
      </c>
      <c r="G766">
        <v>40.868000000000002</v>
      </c>
      <c r="H766">
        <v>25</v>
      </c>
      <c r="I766">
        <v>4</v>
      </c>
      <c r="J766">
        <v>4.74</v>
      </c>
      <c r="K766" t="s">
        <v>1926</v>
      </c>
      <c r="L766">
        <v>0</v>
      </c>
      <c r="N766" t="s">
        <v>1927</v>
      </c>
      <c r="O766" t="s">
        <v>1928</v>
      </c>
      <c r="P766" t="s">
        <v>20</v>
      </c>
      <c r="Q766">
        <f>(VALUE(LEFT(SUBSTITUTE(O766,"T"," "),23)) - VALUE(LEFT(SUBSTITUTE(N766,"T"," "),23))) * 86400</f>
        <v>149.42199995275587</v>
      </c>
      <c r="R766">
        <f>I766/G766</f>
        <v>9.7876088871488687E-2</v>
      </c>
      <c r="S766">
        <f>H766/G766</f>
        <v>0.61172555544680429</v>
      </c>
    </row>
    <row r="767" spans="1:19" hidden="1" x14ac:dyDescent="0.2">
      <c r="A767">
        <v>32</v>
      </c>
      <c r="B767" t="s">
        <v>21</v>
      </c>
      <c r="C767">
        <v>0</v>
      </c>
      <c r="D767">
        <v>2</v>
      </c>
      <c r="E767">
        <v>1028</v>
      </c>
      <c r="F767" t="b">
        <v>1</v>
      </c>
      <c r="G767">
        <v>66.132000000000005</v>
      </c>
      <c r="H767">
        <v>32</v>
      </c>
      <c r="I767">
        <v>2</v>
      </c>
      <c r="J767">
        <v>1.38</v>
      </c>
      <c r="K767" t="s">
        <v>2327</v>
      </c>
      <c r="L767">
        <v>0</v>
      </c>
      <c r="N767" t="s">
        <v>2328</v>
      </c>
      <c r="O767" t="s">
        <v>2329</v>
      </c>
      <c r="P767" t="s">
        <v>20</v>
      </c>
      <c r="Q767">
        <f>(VALUE(LEFT(SUBSTITUTE(O767,"T"," "),23)) - VALUE(LEFT(SUBSTITUTE(N767,"T"," "),23))) * 86400</f>
        <v>177.52400001045316</v>
      </c>
      <c r="R767">
        <f>I767/G767</f>
        <v>3.0242545212605089E-2</v>
      </c>
      <c r="S767">
        <f>H767/G767</f>
        <v>0.48388072340168142</v>
      </c>
    </row>
    <row r="768" spans="1:19" hidden="1" x14ac:dyDescent="0.2">
      <c r="A768">
        <v>40</v>
      </c>
      <c r="B768" t="s">
        <v>2476</v>
      </c>
      <c r="C768">
        <v>5</v>
      </c>
      <c r="D768">
        <v>5</v>
      </c>
      <c r="E768">
        <v>1004</v>
      </c>
      <c r="F768" t="b">
        <v>1</v>
      </c>
      <c r="G768">
        <v>104.024</v>
      </c>
      <c r="H768">
        <v>25</v>
      </c>
      <c r="I768">
        <v>8</v>
      </c>
      <c r="J768">
        <v>1.68</v>
      </c>
      <c r="K768" t="s">
        <v>2649</v>
      </c>
      <c r="L768">
        <v>0</v>
      </c>
      <c r="N768" t="s">
        <v>2650</v>
      </c>
      <c r="O768" t="s">
        <v>2651</v>
      </c>
      <c r="P768" t="s">
        <v>20</v>
      </c>
      <c r="Q768">
        <f>(VALUE(LEFT(SUBSTITUTE(O768,"T"," "),23)) - VALUE(LEFT(SUBSTITUTE(N768,"T"," "),23))) * 86400</f>
        <v>276.72199972439557</v>
      </c>
      <c r="R768">
        <f>I768/G768</f>
        <v>7.6905329539337069E-2</v>
      </c>
      <c r="S768">
        <f>H768/G768</f>
        <v>0.24032915481042835</v>
      </c>
    </row>
    <row r="769" spans="1:19" hidden="1" x14ac:dyDescent="0.2">
      <c r="A769">
        <v>38</v>
      </c>
      <c r="B769" t="s">
        <v>21</v>
      </c>
      <c r="C769">
        <v>5</v>
      </c>
      <c r="D769">
        <v>2</v>
      </c>
      <c r="E769">
        <v>1028</v>
      </c>
      <c r="F769" t="b">
        <v>1</v>
      </c>
      <c r="G769">
        <v>73.531999999999996</v>
      </c>
      <c r="H769">
        <v>31</v>
      </c>
      <c r="I769">
        <v>2</v>
      </c>
      <c r="J769">
        <v>1.1399999999999999</v>
      </c>
      <c r="K769" t="s">
        <v>2345</v>
      </c>
      <c r="L769">
        <v>0</v>
      </c>
      <c r="N769" t="s">
        <v>2346</v>
      </c>
      <c r="O769" t="s">
        <v>2347</v>
      </c>
      <c r="P769" t="s">
        <v>20</v>
      </c>
      <c r="Q769">
        <f>(VALUE(LEFT(SUBSTITUTE(O769,"T"," "),23)) - VALUE(LEFT(SUBSTITUTE(N769,"T"," "),23))) * 86400</f>
        <v>202.38100031856447</v>
      </c>
      <c r="R769">
        <f>I769/G769</f>
        <v>2.7199042593700703E-2</v>
      </c>
      <c r="S769">
        <f>H769/G769</f>
        <v>0.42158516020236092</v>
      </c>
    </row>
    <row r="770" spans="1:19" hidden="1" x14ac:dyDescent="0.2">
      <c r="A770">
        <v>41</v>
      </c>
      <c r="B770" t="s">
        <v>21</v>
      </c>
      <c r="C770">
        <v>10</v>
      </c>
      <c r="D770">
        <v>2</v>
      </c>
      <c r="E770">
        <v>1028</v>
      </c>
      <c r="F770" t="b">
        <v>1</v>
      </c>
      <c r="G770">
        <v>68.36</v>
      </c>
      <c r="H770">
        <v>29</v>
      </c>
      <c r="I770">
        <v>2</v>
      </c>
      <c r="J770">
        <v>2.76</v>
      </c>
      <c r="K770" t="s">
        <v>2354</v>
      </c>
      <c r="L770">
        <v>0</v>
      </c>
      <c r="N770" t="s">
        <v>2355</v>
      </c>
      <c r="O770" t="s">
        <v>2356</v>
      </c>
      <c r="P770" t="s">
        <v>20</v>
      </c>
      <c r="Q770">
        <f>(VALUE(LEFT(SUBSTITUTE(O770,"T"," "),23)) - VALUE(LEFT(SUBSTITUTE(N770,"T"," "),23))) * 86400</f>
        <v>157.49599998816848</v>
      </c>
      <c r="R770">
        <f>I770/G770</f>
        <v>2.9256875365710942E-2</v>
      </c>
      <c r="S770">
        <f>H770/G770</f>
        <v>0.42422469280280867</v>
      </c>
    </row>
    <row r="771" spans="1:19" hidden="1" x14ac:dyDescent="0.2">
      <c r="A771">
        <v>44</v>
      </c>
      <c r="B771" t="s">
        <v>21</v>
      </c>
      <c r="C771">
        <v>15</v>
      </c>
      <c r="D771">
        <v>2</v>
      </c>
      <c r="E771">
        <v>1028</v>
      </c>
      <c r="F771" t="b">
        <v>1</v>
      </c>
      <c r="G771">
        <v>77.804000000000002</v>
      </c>
      <c r="H771">
        <v>29</v>
      </c>
      <c r="I771">
        <v>3</v>
      </c>
      <c r="J771">
        <v>0.54</v>
      </c>
      <c r="K771" t="s">
        <v>2362</v>
      </c>
      <c r="L771">
        <v>0</v>
      </c>
      <c r="N771" t="s">
        <v>2363</v>
      </c>
      <c r="O771" t="s">
        <v>2364</v>
      </c>
      <c r="P771" t="s">
        <v>20</v>
      </c>
      <c r="Q771">
        <f>(VALUE(LEFT(SUBSTITUTE(O771,"T"," "),23)) - VALUE(LEFT(SUBSTITUTE(N771,"T"," "),23))) * 86400</f>
        <v>196.84999971650541</v>
      </c>
      <c r="R771">
        <f>I771/G771</f>
        <v>3.8558428872551537E-2</v>
      </c>
      <c r="S771">
        <f>H771/G771</f>
        <v>0.37273147910133153</v>
      </c>
    </row>
    <row r="772" spans="1:19" hidden="1" x14ac:dyDescent="0.2">
      <c r="A772">
        <v>47</v>
      </c>
      <c r="B772" t="s">
        <v>21</v>
      </c>
      <c r="C772">
        <v>20</v>
      </c>
      <c r="D772">
        <v>2</v>
      </c>
      <c r="E772">
        <v>1028</v>
      </c>
      <c r="F772" t="b">
        <v>1</v>
      </c>
      <c r="G772">
        <v>58.48</v>
      </c>
      <c r="H772">
        <v>30</v>
      </c>
      <c r="I772">
        <v>3</v>
      </c>
      <c r="J772">
        <v>0.78</v>
      </c>
      <c r="K772" t="s">
        <v>2371</v>
      </c>
      <c r="L772">
        <v>0</v>
      </c>
      <c r="N772" t="s">
        <v>2372</v>
      </c>
      <c r="O772" t="s">
        <v>2373</v>
      </c>
      <c r="P772" t="s">
        <v>20</v>
      </c>
      <c r="Q772">
        <f>(VALUE(LEFT(SUBSTITUTE(O772,"T"," "),23)) - VALUE(LEFT(SUBSTITUTE(N772,"T"," "),23))) * 86400</f>
        <v>150.85899992845953</v>
      </c>
      <c r="R772">
        <f>I772/G772</f>
        <v>5.1299589603283173E-2</v>
      </c>
      <c r="S772">
        <f>H772/G772</f>
        <v>0.5129958960328318</v>
      </c>
    </row>
    <row r="773" spans="1:19" hidden="1" x14ac:dyDescent="0.2">
      <c r="A773">
        <v>50</v>
      </c>
      <c r="B773" t="s">
        <v>21</v>
      </c>
      <c r="C773">
        <v>50</v>
      </c>
      <c r="D773">
        <v>2</v>
      </c>
      <c r="E773">
        <v>1028</v>
      </c>
      <c r="F773" t="b">
        <v>1</v>
      </c>
      <c r="G773">
        <v>75.231999999999999</v>
      </c>
      <c r="H773">
        <v>30</v>
      </c>
      <c r="I773">
        <v>14</v>
      </c>
      <c r="J773">
        <v>3</v>
      </c>
      <c r="K773" t="s">
        <v>2380</v>
      </c>
      <c r="L773">
        <v>0</v>
      </c>
      <c r="N773" t="s">
        <v>2381</v>
      </c>
      <c r="O773" t="s">
        <v>2382</v>
      </c>
      <c r="P773" t="s">
        <v>20</v>
      </c>
      <c r="Q773">
        <f>(VALUE(LEFT(SUBSTITUTE(O773,"T"," "),23)) - VALUE(LEFT(SUBSTITUTE(N773,"T"," "),23))) * 86400</f>
        <v>185.24199966341257</v>
      </c>
      <c r="R773">
        <f>I773/G773</f>
        <v>0.18609102509570397</v>
      </c>
      <c r="S773">
        <f>H773/G773</f>
        <v>0.39876648234793705</v>
      </c>
    </row>
    <row r="774" spans="1:19" hidden="1" x14ac:dyDescent="0.2">
      <c r="A774">
        <v>53</v>
      </c>
      <c r="B774" t="s">
        <v>21</v>
      </c>
      <c r="C774">
        <v>70</v>
      </c>
      <c r="D774">
        <v>2</v>
      </c>
      <c r="E774">
        <v>1028</v>
      </c>
      <c r="F774" t="b">
        <v>1</v>
      </c>
      <c r="G774">
        <v>121.54</v>
      </c>
      <c r="H774">
        <v>31</v>
      </c>
      <c r="I774">
        <v>9</v>
      </c>
      <c r="J774">
        <v>2.4</v>
      </c>
      <c r="K774" t="s">
        <v>2389</v>
      </c>
      <c r="L774">
        <v>0</v>
      </c>
      <c r="N774" t="s">
        <v>2390</v>
      </c>
      <c r="O774" t="s">
        <v>2391</v>
      </c>
      <c r="P774" t="s">
        <v>20</v>
      </c>
      <c r="Q774">
        <f>(VALUE(LEFT(SUBSTITUTE(O774,"T"," "),23)) - VALUE(LEFT(SUBSTITUTE(N774,"T"," "),23))) * 86400</f>
        <v>287.1649996843189</v>
      </c>
      <c r="R774">
        <f>I774/G774</f>
        <v>7.4049695573473753E-2</v>
      </c>
      <c r="S774">
        <f>H774/G774</f>
        <v>0.255060062530854</v>
      </c>
    </row>
    <row r="775" spans="1:19" hidden="1" x14ac:dyDescent="0.2">
      <c r="A775">
        <v>84</v>
      </c>
      <c r="B775" t="s">
        <v>25</v>
      </c>
      <c r="C775">
        <v>-1</v>
      </c>
      <c r="D775">
        <v>4</v>
      </c>
      <c r="E775">
        <v>1015</v>
      </c>
      <c r="F775" t="b">
        <v>1</v>
      </c>
      <c r="G775">
        <v>42.503999999999998</v>
      </c>
      <c r="H775">
        <v>26</v>
      </c>
      <c r="I775">
        <v>6</v>
      </c>
      <c r="J775">
        <v>3.18</v>
      </c>
      <c r="K775" t="s">
        <v>1225</v>
      </c>
      <c r="L775">
        <v>0</v>
      </c>
      <c r="N775" t="s">
        <v>1226</v>
      </c>
      <c r="O775" t="s">
        <v>1227</v>
      </c>
      <c r="P775" t="s">
        <v>20</v>
      </c>
      <c r="Q775">
        <f>(VALUE(LEFT(SUBSTITUTE(O775,"T"," "),23)) - VALUE(LEFT(SUBSTITUTE(N775,"T"," "),23))) * 86400</f>
        <v>164.10999989602715</v>
      </c>
      <c r="R775">
        <f>I775/G775</f>
        <v>0.1411631846414455</v>
      </c>
      <c r="S775">
        <f>H775/G775</f>
        <v>0.61170713344626393</v>
      </c>
    </row>
    <row r="776" spans="1:19" hidden="1" x14ac:dyDescent="0.2">
      <c r="A776">
        <v>33</v>
      </c>
      <c r="B776" t="s">
        <v>25</v>
      </c>
      <c r="C776">
        <v>0</v>
      </c>
      <c r="D776">
        <v>2</v>
      </c>
      <c r="E776">
        <v>1028</v>
      </c>
      <c r="F776" t="b">
        <v>1</v>
      </c>
      <c r="G776">
        <v>59.048000000000002</v>
      </c>
      <c r="H776">
        <v>29</v>
      </c>
      <c r="I776">
        <v>3</v>
      </c>
      <c r="J776">
        <v>1.86</v>
      </c>
      <c r="K776" t="s">
        <v>2330</v>
      </c>
      <c r="L776">
        <v>0</v>
      </c>
      <c r="N776" t="s">
        <v>2331</v>
      </c>
      <c r="O776" t="s">
        <v>2332</v>
      </c>
      <c r="P776" t="s">
        <v>20</v>
      </c>
      <c r="Q776">
        <f>(VALUE(LEFT(SUBSTITUTE(O776,"T"," "),23)) - VALUE(LEFT(SUBSTITUTE(N776,"T"," "),23))) * 86400</f>
        <v>203.59300025738776</v>
      </c>
      <c r="R776">
        <f>I776/G776</f>
        <v>5.0806123831459153E-2</v>
      </c>
      <c r="S776">
        <f>H776/G776</f>
        <v>0.4911258637041051</v>
      </c>
    </row>
    <row r="777" spans="1:19" hidden="1" x14ac:dyDescent="0.2">
      <c r="A777">
        <v>30</v>
      </c>
      <c r="B777" t="s">
        <v>25</v>
      </c>
      <c r="C777">
        <v>-1</v>
      </c>
      <c r="D777">
        <v>2</v>
      </c>
      <c r="E777">
        <v>1008</v>
      </c>
      <c r="F777" t="b">
        <v>1</v>
      </c>
      <c r="G777">
        <v>40.948</v>
      </c>
      <c r="H777">
        <v>25</v>
      </c>
      <c r="I777">
        <v>3</v>
      </c>
      <c r="J777">
        <v>1.56</v>
      </c>
      <c r="K777" t="s">
        <v>1851</v>
      </c>
      <c r="L777">
        <v>0</v>
      </c>
      <c r="N777" t="s">
        <v>1852</v>
      </c>
      <c r="O777" t="s">
        <v>1853</v>
      </c>
      <c r="P777" t="s">
        <v>20</v>
      </c>
      <c r="Q777">
        <f>(VALUE(LEFT(SUBSTITUTE(O777,"T"," "),23)) - VALUE(LEFT(SUBSTITUTE(N777,"T"," "),23))) * 86400</f>
        <v>161.75000024959445</v>
      </c>
      <c r="R777">
        <f>I777/G777</f>
        <v>7.3263651460388782E-2</v>
      </c>
      <c r="S777">
        <f>H777/G777</f>
        <v>0.61053042883657316</v>
      </c>
    </row>
    <row r="778" spans="1:19" hidden="1" x14ac:dyDescent="0.2">
      <c r="A778">
        <v>39</v>
      </c>
      <c r="B778" t="s">
        <v>25</v>
      </c>
      <c r="C778">
        <v>5</v>
      </c>
      <c r="D778">
        <v>2</v>
      </c>
      <c r="E778">
        <v>1028</v>
      </c>
      <c r="F778" t="b">
        <v>1</v>
      </c>
      <c r="G778">
        <v>70.635999999999996</v>
      </c>
      <c r="H778">
        <v>27</v>
      </c>
      <c r="I778">
        <v>1</v>
      </c>
      <c r="J778">
        <v>0.12</v>
      </c>
      <c r="K778" t="s">
        <v>2348</v>
      </c>
      <c r="L778">
        <v>0</v>
      </c>
      <c r="N778" t="s">
        <v>2349</v>
      </c>
      <c r="O778" t="s">
        <v>2350</v>
      </c>
      <c r="P778" t="s">
        <v>20</v>
      </c>
      <c r="Q778">
        <f>(VALUE(LEFT(SUBSTITUTE(O778,"T"," "),23)) - VALUE(LEFT(SUBSTITUTE(N778,"T"," "),23))) * 86400</f>
        <v>163.58600039966404</v>
      </c>
      <c r="R778">
        <f>I778/G778</f>
        <v>1.415708703777111E-2</v>
      </c>
      <c r="S778">
        <f>H778/G778</f>
        <v>0.38224135001981996</v>
      </c>
    </row>
    <row r="779" spans="1:19" hidden="1" x14ac:dyDescent="0.2">
      <c r="A779">
        <v>42</v>
      </c>
      <c r="B779" t="s">
        <v>25</v>
      </c>
      <c r="C779">
        <v>10</v>
      </c>
      <c r="D779">
        <v>2</v>
      </c>
      <c r="E779">
        <v>1028</v>
      </c>
      <c r="F779" t="b">
        <v>1</v>
      </c>
      <c r="G779">
        <v>58.223999999999997</v>
      </c>
      <c r="H779">
        <v>27</v>
      </c>
      <c r="I779">
        <v>6</v>
      </c>
      <c r="J779">
        <v>0.54</v>
      </c>
      <c r="K779" t="s">
        <v>575</v>
      </c>
      <c r="L779">
        <v>0</v>
      </c>
      <c r="N779" t="s">
        <v>2357</v>
      </c>
      <c r="O779" t="s">
        <v>2358</v>
      </c>
      <c r="P779" t="s">
        <v>20</v>
      </c>
      <c r="Q779">
        <f>(VALUE(LEFT(SUBSTITUTE(O779,"T"," "),23)) - VALUE(LEFT(SUBSTITUTE(N779,"T"," "),23))) * 86400</f>
        <v>120.76399996876717</v>
      </c>
      <c r="R779">
        <f>I779/G779</f>
        <v>0.10305028854080792</v>
      </c>
      <c r="S779">
        <f>H779/G779</f>
        <v>0.46372629843363566</v>
      </c>
    </row>
    <row r="780" spans="1:19" hidden="1" x14ac:dyDescent="0.2">
      <c r="A780">
        <v>45</v>
      </c>
      <c r="B780" t="s">
        <v>25</v>
      </c>
      <c r="C780">
        <v>15</v>
      </c>
      <c r="D780">
        <v>2</v>
      </c>
      <c r="E780">
        <v>1028</v>
      </c>
      <c r="F780" t="b">
        <v>1</v>
      </c>
      <c r="G780">
        <v>56.712000000000003</v>
      </c>
      <c r="H780">
        <v>30</v>
      </c>
      <c r="I780">
        <v>1</v>
      </c>
      <c r="J780">
        <v>0.42</v>
      </c>
      <c r="K780" t="s">
        <v>2365</v>
      </c>
      <c r="L780">
        <v>0</v>
      </c>
      <c r="N780" t="s">
        <v>2366</v>
      </c>
      <c r="O780" t="s">
        <v>2367</v>
      </c>
      <c r="P780" t="s">
        <v>20</v>
      </c>
      <c r="Q780">
        <f>(VALUE(LEFT(SUBSTITUTE(O780,"T"," "),23)) - VALUE(LEFT(SUBSTITUTE(N780,"T"," "),23))) * 86400</f>
        <v>103.58200015034527</v>
      </c>
      <c r="R780">
        <f>I780/G780</f>
        <v>1.7632952461560162E-2</v>
      </c>
      <c r="S780">
        <f>H780/G780</f>
        <v>0.52898857384680487</v>
      </c>
    </row>
    <row r="781" spans="1:19" hidden="1" x14ac:dyDescent="0.2">
      <c r="A781">
        <v>48</v>
      </c>
      <c r="B781" t="s">
        <v>25</v>
      </c>
      <c r="C781">
        <v>20</v>
      </c>
      <c r="D781">
        <v>2</v>
      </c>
      <c r="E781">
        <v>1028</v>
      </c>
      <c r="F781" t="b">
        <v>1</v>
      </c>
      <c r="G781">
        <v>43.707999999999998</v>
      </c>
      <c r="H781">
        <v>27</v>
      </c>
      <c r="I781">
        <v>2</v>
      </c>
      <c r="J781">
        <v>1.38</v>
      </c>
      <c r="K781" t="s">
        <v>2374</v>
      </c>
      <c r="L781">
        <v>0</v>
      </c>
      <c r="N781" t="s">
        <v>2375</v>
      </c>
      <c r="O781" t="s">
        <v>2376</v>
      </c>
      <c r="P781" t="s">
        <v>20</v>
      </c>
      <c r="Q781">
        <f>(VALUE(LEFT(SUBSTITUTE(O781,"T"," "),23)) - VALUE(LEFT(SUBSTITUTE(N781,"T"," "),23))) * 86400</f>
        <v>84.523999644443393</v>
      </c>
      <c r="R781">
        <f>I781/G781</f>
        <v>4.5758213599341083E-2</v>
      </c>
      <c r="S781">
        <f>H781/G781</f>
        <v>0.61773588359110465</v>
      </c>
    </row>
    <row r="782" spans="1:19" hidden="1" x14ac:dyDescent="0.2">
      <c r="A782">
        <v>51</v>
      </c>
      <c r="B782" t="s">
        <v>25</v>
      </c>
      <c r="C782">
        <v>50</v>
      </c>
      <c r="D782">
        <v>2</v>
      </c>
      <c r="E782">
        <v>1028</v>
      </c>
      <c r="F782" t="b">
        <v>1</v>
      </c>
      <c r="G782">
        <v>46.06</v>
      </c>
      <c r="H782">
        <v>29</v>
      </c>
      <c r="I782">
        <v>2</v>
      </c>
      <c r="J782">
        <v>0.36</v>
      </c>
      <c r="K782" t="s">
        <v>2383</v>
      </c>
      <c r="L782">
        <v>0</v>
      </c>
      <c r="N782" t="s">
        <v>2384</v>
      </c>
      <c r="O782" t="s">
        <v>2385</v>
      </c>
      <c r="P782" t="s">
        <v>20</v>
      </c>
      <c r="Q782">
        <f>(VALUE(LEFT(SUBSTITUTE(O782,"T"," "),23)) - VALUE(LEFT(SUBSTITUTE(N782,"T"," "),23))) * 86400</f>
        <v>143.99999971501529</v>
      </c>
      <c r="R782">
        <f>I782/G782</f>
        <v>4.3421623968736431E-2</v>
      </c>
      <c r="S782">
        <f>H782/G782</f>
        <v>0.6296135475466782</v>
      </c>
    </row>
    <row r="783" spans="1:19" hidden="1" x14ac:dyDescent="0.2">
      <c r="A783">
        <v>54</v>
      </c>
      <c r="B783" t="s">
        <v>25</v>
      </c>
      <c r="C783">
        <v>70</v>
      </c>
      <c r="D783">
        <v>2</v>
      </c>
      <c r="E783">
        <v>1028</v>
      </c>
      <c r="F783" t="b">
        <v>1</v>
      </c>
      <c r="G783">
        <v>41.432000000000002</v>
      </c>
      <c r="H783">
        <v>32</v>
      </c>
      <c r="I783">
        <v>9</v>
      </c>
      <c r="J783">
        <v>0.9</v>
      </c>
      <c r="K783" t="s">
        <v>2392</v>
      </c>
      <c r="L783">
        <v>0</v>
      </c>
      <c r="N783" t="s">
        <v>2393</v>
      </c>
      <c r="O783" t="s">
        <v>2394</v>
      </c>
      <c r="P783" t="s">
        <v>20</v>
      </c>
      <c r="Q783">
        <f>(VALUE(LEFT(SUBSTITUTE(O783,"T"," "),23)) - VALUE(LEFT(SUBSTITUTE(N783,"T"," "),23))) * 86400</f>
        <v>108.25999982189387</v>
      </c>
      <c r="R783">
        <f>I783/G783</f>
        <v>0.21722340220119712</v>
      </c>
      <c r="S783">
        <f>H783/G783</f>
        <v>0.77234987449314541</v>
      </c>
    </row>
    <row r="784" spans="1:19" hidden="1" x14ac:dyDescent="0.2">
      <c r="A784">
        <v>28</v>
      </c>
      <c r="B784" t="s">
        <v>16</v>
      </c>
      <c r="C784">
        <v>-1</v>
      </c>
      <c r="D784">
        <v>2</v>
      </c>
      <c r="E784">
        <v>1013</v>
      </c>
      <c r="F784" t="b">
        <v>1</v>
      </c>
      <c r="G784">
        <v>38.112000000000002</v>
      </c>
      <c r="H784">
        <v>23</v>
      </c>
      <c r="I784">
        <v>6</v>
      </c>
      <c r="J784">
        <v>6.9</v>
      </c>
      <c r="K784" t="s">
        <v>1057</v>
      </c>
      <c r="L784">
        <v>0</v>
      </c>
      <c r="N784" t="s">
        <v>1058</v>
      </c>
      <c r="O784" t="s">
        <v>1059</v>
      </c>
      <c r="P784" t="s">
        <v>20</v>
      </c>
      <c r="Q784">
        <f>(VALUE(LEFT(SUBSTITUTE(O784,"T"," "),23)) - VALUE(LEFT(SUBSTITUTE(N784,"T"," "),23))) * 86400</f>
        <v>171.81899989955127</v>
      </c>
      <c r="R784">
        <f>I784/G784</f>
        <v>0.15743073047858941</v>
      </c>
      <c r="S784">
        <f>H784/G784</f>
        <v>0.60348446683459278</v>
      </c>
    </row>
    <row r="785" spans="1:19" hidden="1" x14ac:dyDescent="0.2">
      <c r="A785">
        <v>31</v>
      </c>
      <c r="B785" t="s">
        <v>16</v>
      </c>
      <c r="C785">
        <v>0</v>
      </c>
      <c r="D785">
        <v>2</v>
      </c>
      <c r="E785">
        <v>1028</v>
      </c>
      <c r="F785" t="b">
        <v>1</v>
      </c>
      <c r="G785">
        <v>75.528000000000006</v>
      </c>
      <c r="H785">
        <v>31</v>
      </c>
      <c r="I785">
        <v>0</v>
      </c>
      <c r="J785">
        <v>0</v>
      </c>
      <c r="K785" t="s">
        <v>2324</v>
      </c>
      <c r="L785">
        <v>0</v>
      </c>
      <c r="N785" t="s">
        <v>2325</v>
      </c>
      <c r="O785" t="s">
        <v>2326</v>
      </c>
      <c r="P785" t="s">
        <v>20</v>
      </c>
      <c r="Q785">
        <f>(VALUE(LEFT(SUBSTITUTE(O785,"T"," "),23)) - VALUE(LEFT(SUBSTITUTE(N785,"T"," "),23))) * 86400</f>
        <v>181.49600056931376</v>
      </c>
      <c r="R785">
        <f>I785/G785</f>
        <v>0</v>
      </c>
      <c r="S785">
        <f>H785/G785</f>
        <v>0.41044380891854676</v>
      </c>
    </row>
    <row r="786" spans="1:19" hidden="1" x14ac:dyDescent="0.2">
      <c r="A786" s="1">
        <v>2</v>
      </c>
      <c r="B786" s="1" t="s">
        <v>21</v>
      </c>
      <c r="C786" s="1">
        <v>-1</v>
      </c>
      <c r="D786" s="1">
        <v>1</v>
      </c>
      <c r="E786" s="1">
        <v>1011</v>
      </c>
      <c r="F786" s="1" t="b">
        <v>1</v>
      </c>
      <c r="G786" s="1">
        <v>49.991999999999997</v>
      </c>
      <c r="H786" s="1">
        <v>30</v>
      </c>
      <c r="I786" s="1">
        <v>7</v>
      </c>
      <c r="J786" s="1">
        <v>7.38</v>
      </c>
      <c r="K786" s="1" t="s">
        <v>374</v>
      </c>
      <c r="L786" s="1">
        <v>0</v>
      </c>
      <c r="M786" s="1"/>
      <c r="N786" s="1" t="s">
        <v>375</v>
      </c>
      <c r="O786" s="1" t="s">
        <v>376</v>
      </c>
      <c r="P786" s="1" t="s">
        <v>20</v>
      </c>
      <c r="Q786">
        <f>(VALUE(LEFT(SUBSTITUTE(O786,"T"," "),23)) - VALUE(LEFT(SUBSTITUTE(N786,"T"," "),23))) * 86400</f>
        <v>312.67699983436614</v>
      </c>
      <c r="R786">
        <f>I786/G786</f>
        <v>0.14002240358457355</v>
      </c>
      <c r="S786">
        <f>H786/G786</f>
        <v>0.60009601536245805</v>
      </c>
    </row>
    <row r="787" spans="1:19" hidden="1" x14ac:dyDescent="0.2">
      <c r="A787">
        <v>37</v>
      </c>
      <c r="B787" t="s">
        <v>16</v>
      </c>
      <c r="C787">
        <v>5</v>
      </c>
      <c r="D787">
        <v>2</v>
      </c>
      <c r="E787">
        <v>1028</v>
      </c>
      <c r="F787" t="b">
        <v>1</v>
      </c>
      <c r="G787">
        <v>91.744</v>
      </c>
      <c r="H787">
        <v>28</v>
      </c>
      <c r="I787">
        <v>3</v>
      </c>
      <c r="J787">
        <v>0.3</v>
      </c>
      <c r="K787" t="s">
        <v>2342</v>
      </c>
      <c r="L787">
        <v>0</v>
      </c>
      <c r="N787" t="s">
        <v>2343</v>
      </c>
      <c r="O787" t="s">
        <v>2344</v>
      </c>
      <c r="P787" t="s">
        <v>20</v>
      </c>
      <c r="Q787">
        <f>(VALUE(LEFT(SUBSTITUTE(O787,"T"," "),23)) - VALUE(LEFT(SUBSTITUTE(N787,"T"," "),23))) * 86400</f>
        <v>228.38299982249737</v>
      </c>
      <c r="R787">
        <f>I787/G787</f>
        <v>3.2699686083013602E-2</v>
      </c>
      <c r="S787">
        <f>H787/G787</f>
        <v>0.30519707010812697</v>
      </c>
    </row>
    <row r="788" spans="1:19" hidden="1" x14ac:dyDescent="0.2">
      <c r="A788">
        <v>40</v>
      </c>
      <c r="B788" t="s">
        <v>16</v>
      </c>
      <c r="C788">
        <v>10</v>
      </c>
      <c r="D788">
        <v>2</v>
      </c>
      <c r="E788">
        <v>1028</v>
      </c>
      <c r="F788" t="b">
        <v>1</v>
      </c>
      <c r="G788">
        <v>77.239999999999995</v>
      </c>
      <c r="H788">
        <v>28</v>
      </c>
      <c r="I788">
        <v>2</v>
      </c>
      <c r="J788">
        <v>0.3</v>
      </c>
      <c r="K788" t="s">
        <v>2351</v>
      </c>
      <c r="L788">
        <v>0</v>
      </c>
      <c r="N788" t="s">
        <v>2352</v>
      </c>
      <c r="O788" t="s">
        <v>2353</v>
      </c>
      <c r="P788" t="s">
        <v>20</v>
      </c>
      <c r="Q788">
        <f>(VALUE(LEFT(SUBSTITUTE(O788,"T"," "),23)) - VALUE(LEFT(SUBSTITUTE(N788,"T"," "),23))) * 86400</f>
        <v>180.85099991876632</v>
      </c>
      <c r="R788">
        <f>I788/G788</f>
        <v>2.5893319523562924E-2</v>
      </c>
      <c r="S788">
        <f>H788/G788</f>
        <v>0.3625064733298809</v>
      </c>
    </row>
    <row r="789" spans="1:19" hidden="1" x14ac:dyDescent="0.2">
      <c r="A789">
        <v>43</v>
      </c>
      <c r="B789" t="s">
        <v>16</v>
      </c>
      <c r="C789">
        <v>15</v>
      </c>
      <c r="D789">
        <v>2</v>
      </c>
      <c r="E789">
        <v>1028</v>
      </c>
      <c r="F789" t="b">
        <v>1</v>
      </c>
      <c r="G789">
        <v>91.656000000000006</v>
      </c>
      <c r="H789">
        <v>28</v>
      </c>
      <c r="I789">
        <v>14</v>
      </c>
      <c r="J789">
        <v>2.2200000000000002</v>
      </c>
      <c r="K789" t="s">
        <v>2359</v>
      </c>
      <c r="L789">
        <v>0</v>
      </c>
      <c r="N789" t="s">
        <v>2360</v>
      </c>
      <c r="O789" t="s">
        <v>2361</v>
      </c>
      <c r="P789" t="s">
        <v>20</v>
      </c>
      <c r="Q789">
        <f>(VALUE(LEFT(SUBSTITUTE(O789,"T"," "),23)) - VALUE(LEFT(SUBSTITUTE(N789,"T"," "),23))) * 86400</f>
        <v>182.99599997699261</v>
      </c>
      <c r="R789">
        <f>I789/G789</f>
        <v>0.15274504669634284</v>
      </c>
      <c r="S789">
        <f>H789/G789</f>
        <v>0.30549009339268568</v>
      </c>
    </row>
    <row r="790" spans="1:19" hidden="1" x14ac:dyDescent="0.2">
      <c r="A790">
        <v>46</v>
      </c>
      <c r="B790" t="s">
        <v>16</v>
      </c>
      <c r="C790">
        <v>20</v>
      </c>
      <c r="D790">
        <v>2</v>
      </c>
      <c r="E790">
        <v>1028</v>
      </c>
      <c r="F790" t="b">
        <v>1</v>
      </c>
      <c r="G790">
        <v>67.763999999999996</v>
      </c>
      <c r="H790">
        <v>30</v>
      </c>
      <c r="I790">
        <v>8</v>
      </c>
      <c r="J790">
        <v>2.88</v>
      </c>
      <c r="K790" t="s">
        <v>2368</v>
      </c>
      <c r="L790">
        <v>0</v>
      </c>
      <c r="N790" t="s">
        <v>2369</v>
      </c>
      <c r="O790" t="s">
        <v>2370</v>
      </c>
      <c r="P790" t="s">
        <v>20</v>
      </c>
      <c r="Q790">
        <f>(VALUE(LEFT(SUBSTITUTE(O790,"T"," "),23)) - VALUE(LEFT(SUBSTITUTE(N790,"T"," "),23))) * 86400</f>
        <v>199.93499983102083</v>
      </c>
      <c r="R790">
        <f>I790/G790</f>
        <v>0.11805678531373591</v>
      </c>
      <c r="S790">
        <f>H790/G790</f>
        <v>0.4427129449265097</v>
      </c>
    </row>
    <row r="791" spans="1:19" hidden="1" x14ac:dyDescent="0.2">
      <c r="A791">
        <v>49</v>
      </c>
      <c r="B791" t="s">
        <v>16</v>
      </c>
      <c r="C791">
        <v>50</v>
      </c>
      <c r="D791">
        <v>2</v>
      </c>
      <c r="E791">
        <v>1028</v>
      </c>
      <c r="F791" t="b">
        <v>1</v>
      </c>
      <c r="G791">
        <v>94.563999999999993</v>
      </c>
      <c r="H791">
        <v>29</v>
      </c>
      <c r="I791">
        <v>9</v>
      </c>
      <c r="J791">
        <v>4.62</v>
      </c>
      <c r="K791" t="s">
        <v>2377</v>
      </c>
      <c r="L791">
        <v>0</v>
      </c>
      <c r="N791" t="s">
        <v>2378</v>
      </c>
      <c r="O791" t="s">
        <v>2379</v>
      </c>
      <c r="P791" t="s">
        <v>20</v>
      </c>
      <c r="Q791">
        <f>(VALUE(LEFT(SUBSTITUTE(O791,"T"," "),23)) - VALUE(LEFT(SUBSTITUTE(N791,"T"," "),23))) * 86400</f>
        <v>198.5040002502501</v>
      </c>
      <c r="R791">
        <f>I791/G791</f>
        <v>9.5173639016962061E-2</v>
      </c>
      <c r="S791">
        <f>H791/G791</f>
        <v>0.30667061461021111</v>
      </c>
    </row>
    <row r="792" spans="1:19" hidden="1" x14ac:dyDescent="0.2">
      <c r="A792">
        <v>52</v>
      </c>
      <c r="B792" t="s">
        <v>16</v>
      </c>
      <c r="C792">
        <v>70</v>
      </c>
      <c r="D792">
        <v>2</v>
      </c>
      <c r="E792">
        <v>1028</v>
      </c>
      <c r="F792" t="b">
        <v>1</v>
      </c>
      <c r="G792">
        <v>67.355999999999995</v>
      </c>
      <c r="H792">
        <v>30</v>
      </c>
      <c r="I792">
        <v>8</v>
      </c>
      <c r="J792">
        <v>2.16</v>
      </c>
      <c r="K792" t="s">
        <v>2386</v>
      </c>
      <c r="L792">
        <v>0</v>
      </c>
      <c r="N792" t="s">
        <v>2387</v>
      </c>
      <c r="O792" t="s">
        <v>2388</v>
      </c>
      <c r="P792" t="s">
        <v>20</v>
      </c>
      <c r="Q792">
        <f>(VALUE(LEFT(SUBSTITUTE(O792,"T"," "),23)) - VALUE(LEFT(SUBSTITUTE(N792,"T"," "),23))) * 86400</f>
        <v>161.45299987401813</v>
      </c>
      <c r="R792">
        <f>I792/G792</f>
        <v>0.11877189856879863</v>
      </c>
      <c r="S792">
        <f>H792/G792</f>
        <v>0.44539461963299487</v>
      </c>
    </row>
    <row r="793" spans="1:19" hidden="1" x14ac:dyDescent="0.2">
      <c r="A793">
        <v>10</v>
      </c>
      <c r="B793" t="s">
        <v>2476</v>
      </c>
      <c r="C793">
        <v>-1</v>
      </c>
      <c r="D793">
        <v>2</v>
      </c>
      <c r="E793">
        <v>1001</v>
      </c>
      <c r="F793" t="b">
        <v>1</v>
      </c>
      <c r="G793">
        <v>51.012</v>
      </c>
      <c r="H793">
        <v>30</v>
      </c>
      <c r="I793">
        <v>6</v>
      </c>
      <c r="J793">
        <v>3.18</v>
      </c>
      <c r="K793" t="s">
        <v>2559</v>
      </c>
      <c r="L793">
        <v>0</v>
      </c>
      <c r="N793" t="s">
        <v>2560</v>
      </c>
      <c r="O793" t="s">
        <v>2561</v>
      </c>
      <c r="P793" t="s">
        <v>20</v>
      </c>
      <c r="Q793">
        <f>(VALUE(LEFT(SUBSTITUTE(O793,"T"," "),23)) - VALUE(LEFT(SUBSTITUTE(N793,"T"," "),23))) * 86400</f>
        <v>217.28699973318726</v>
      </c>
      <c r="R793">
        <f>I793/G793</f>
        <v>0.11761938367442955</v>
      </c>
      <c r="S793">
        <f>H793/G793</f>
        <v>0.58809691837214773</v>
      </c>
    </row>
    <row r="794" spans="1:19" hidden="1" x14ac:dyDescent="0.2">
      <c r="A794">
        <v>59</v>
      </c>
      <c r="B794" t="s">
        <v>21</v>
      </c>
      <c r="C794">
        <v>0</v>
      </c>
      <c r="D794">
        <v>3</v>
      </c>
      <c r="E794">
        <v>1029</v>
      </c>
      <c r="F794" t="b">
        <v>1</v>
      </c>
      <c r="G794">
        <v>59.968000000000004</v>
      </c>
      <c r="H794">
        <v>23</v>
      </c>
      <c r="I794">
        <v>0</v>
      </c>
      <c r="J794">
        <v>0</v>
      </c>
      <c r="K794" t="s">
        <v>2407</v>
      </c>
      <c r="L794">
        <v>0</v>
      </c>
      <c r="N794" t="s">
        <v>2408</v>
      </c>
      <c r="O794" t="s">
        <v>2409</v>
      </c>
      <c r="P794" t="s">
        <v>20</v>
      </c>
      <c r="Q794">
        <f>(VALUE(LEFT(SUBSTITUTE(O794,"T"," "),23)) - VALUE(LEFT(SUBSTITUTE(N794,"T"," "),23))) * 86400</f>
        <v>163.49499996285886</v>
      </c>
      <c r="R794">
        <f>I794/G794</f>
        <v>0</v>
      </c>
      <c r="S794">
        <f>H794/G794</f>
        <v>0.38353788687299889</v>
      </c>
    </row>
    <row r="795" spans="1:19" x14ac:dyDescent="0.2">
      <c r="A795">
        <v>3</v>
      </c>
      <c r="B795" t="s">
        <v>2531</v>
      </c>
      <c r="C795">
        <v>2</v>
      </c>
      <c r="D795">
        <v>1</v>
      </c>
      <c r="E795">
        <v>1025</v>
      </c>
      <c r="F795" t="b">
        <v>1</v>
      </c>
      <c r="G795">
        <v>53.491999999999997</v>
      </c>
      <c r="H795">
        <v>24</v>
      </c>
      <c r="I795">
        <v>2</v>
      </c>
      <c r="J795">
        <v>1.32</v>
      </c>
      <c r="K795" t="s">
        <v>2946</v>
      </c>
      <c r="L795">
        <v>0</v>
      </c>
      <c r="N795" t="s">
        <v>2947</v>
      </c>
      <c r="O795" t="s">
        <v>2948</v>
      </c>
      <c r="Q795">
        <f>(VALUE(LEFT(SUBSTITUTE(O795,"T"," "),23)) - VALUE(LEFT(SUBSTITUTE(N795,"T"," "),23))) * 86400</f>
        <v>201.1699999216944</v>
      </c>
      <c r="R795">
        <f>I795/G795</f>
        <v>3.7388768413968446E-2</v>
      </c>
      <c r="S795">
        <f>H795/G795</f>
        <v>0.44866522096762135</v>
      </c>
    </row>
    <row r="796" spans="1:19" hidden="1" x14ac:dyDescent="0.2">
      <c r="A796">
        <v>65</v>
      </c>
      <c r="B796" t="s">
        <v>21</v>
      </c>
      <c r="C796">
        <v>5</v>
      </c>
      <c r="D796">
        <v>3</v>
      </c>
      <c r="E796">
        <v>1029</v>
      </c>
      <c r="F796" t="b">
        <v>1</v>
      </c>
      <c r="G796">
        <v>37.624000000000002</v>
      </c>
      <c r="H796">
        <v>24</v>
      </c>
      <c r="I796">
        <v>1</v>
      </c>
      <c r="J796">
        <v>0.24</v>
      </c>
      <c r="K796" t="s">
        <v>2425</v>
      </c>
      <c r="L796">
        <v>0</v>
      </c>
      <c r="N796" t="s">
        <v>2426</v>
      </c>
      <c r="O796" t="s">
        <v>2427</v>
      </c>
      <c r="P796" t="s">
        <v>20</v>
      </c>
      <c r="Q796">
        <f>(VALUE(LEFT(SUBSTITUTE(O796,"T"," "),23)) - VALUE(LEFT(SUBSTITUTE(N796,"T"," "),23))) * 86400</f>
        <v>115.7490000128746</v>
      </c>
      <c r="R796">
        <f>I796/G796</f>
        <v>2.6578779502445245E-2</v>
      </c>
      <c r="S796">
        <f>H796/G796</f>
        <v>0.63789070805868586</v>
      </c>
    </row>
    <row r="797" spans="1:19" hidden="1" x14ac:dyDescent="0.2">
      <c r="A797">
        <v>68</v>
      </c>
      <c r="B797" t="s">
        <v>21</v>
      </c>
      <c r="C797">
        <v>10</v>
      </c>
      <c r="D797">
        <v>3</v>
      </c>
      <c r="E797">
        <v>1029</v>
      </c>
      <c r="F797" t="b">
        <v>1</v>
      </c>
      <c r="G797">
        <v>54.515999999999998</v>
      </c>
      <c r="H797">
        <v>22</v>
      </c>
      <c r="I797">
        <v>5</v>
      </c>
      <c r="J797">
        <v>3.24</v>
      </c>
      <c r="K797" t="s">
        <v>2434</v>
      </c>
      <c r="L797">
        <v>0</v>
      </c>
      <c r="N797" t="s">
        <v>2435</v>
      </c>
      <c r="O797" t="s">
        <v>2436</v>
      </c>
      <c r="P797" t="s">
        <v>20</v>
      </c>
      <c r="Q797">
        <f>(VALUE(LEFT(SUBSTITUTE(O797,"T"," "),23)) - VALUE(LEFT(SUBSTITUTE(N797,"T"," "),23))) * 86400</f>
        <v>151.66199987288564</v>
      </c>
      <c r="R797">
        <f>I797/G797</f>
        <v>9.1716193411108662E-2</v>
      </c>
      <c r="S797">
        <f>H797/G797</f>
        <v>0.40355125100887812</v>
      </c>
    </row>
    <row r="798" spans="1:19" hidden="1" x14ac:dyDescent="0.2">
      <c r="A798">
        <v>71</v>
      </c>
      <c r="B798" t="s">
        <v>21</v>
      </c>
      <c r="C798">
        <v>15</v>
      </c>
      <c r="D798">
        <v>3</v>
      </c>
      <c r="E798">
        <v>1029</v>
      </c>
      <c r="F798" t="b">
        <v>1</v>
      </c>
      <c r="G798">
        <v>69.459999999999994</v>
      </c>
      <c r="H798">
        <v>24</v>
      </c>
      <c r="I798">
        <v>4</v>
      </c>
      <c r="J798">
        <v>1.8</v>
      </c>
      <c r="K798" t="s">
        <v>2443</v>
      </c>
      <c r="L798">
        <v>0</v>
      </c>
      <c r="N798" t="s">
        <v>2444</v>
      </c>
      <c r="O798" t="s">
        <v>2445</v>
      </c>
      <c r="P798" t="s">
        <v>20</v>
      </c>
      <c r="Q798">
        <f>(VALUE(LEFT(SUBSTITUTE(O798,"T"," "),23)) - VALUE(LEFT(SUBSTITUTE(N798,"T"," "),23))) * 86400</f>
        <v>155.06100011989474</v>
      </c>
      <c r="R798">
        <f>I798/G798</f>
        <v>5.758710048949036E-2</v>
      </c>
      <c r="S798">
        <f>H798/G798</f>
        <v>0.34552260293694215</v>
      </c>
    </row>
    <row r="799" spans="1:19" hidden="1" x14ac:dyDescent="0.2">
      <c r="A799">
        <v>74</v>
      </c>
      <c r="B799" t="s">
        <v>21</v>
      </c>
      <c r="C799">
        <v>20</v>
      </c>
      <c r="D799">
        <v>3</v>
      </c>
      <c r="E799">
        <v>1029</v>
      </c>
      <c r="F799" t="b">
        <v>1</v>
      </c>
      <c r="G799">
        <v>66.424000000000007</v>
      </c>
      <c r="H799">
        <v>27</v>
      </c>
      <c r="I799">
        <v>7</v>
      </c>
      <c r="J799">
        <v>3.78</v>
      </c>
      <c r="K799" t="s">
        <v>2452</v>
      </c>
      <c r="L799">
        <v>0</v>
      </c>
      <c r="N799" t="s">
        <v>2453</v>
      </c>
      <c r="O799" t="s">
        <v>2454</v>
      </c>
      <c r="P799" t="s">
        <v>20</v>
      </c>
      <c r="Q799">
        <f>(VALUE(LEFT(SUBSTITUTE(O799,"T"," "),23)) - VALUE(LEFT(SUBSTITUTE(N799,"T"," "),23))) * 86400</f>
        <v>164.83999995980412</v>
      </c>
      <c r="R799">
        <f>I799/G799</f>
        <v>0.1053835962904974</v>
      </c>
      <c r="S799">
        <f>H799/G799</f>
        <v>0.40647958569191855</v>
      </c>
    </row>
    <row r="800" spans="1:19" hidden="1" x14ac:dyDescent="0.2">
      <c r="A800">
        <v>77</v>
      </c>
      <c r="B800" t="s">
        <v>21</v>
      </c>
      <c r="C800">
        <v>50</v>
      </c>
      <c r="D800">
        <v>3</v>
      </c>
      <c r="E800">
        <v>1029</v>
      </c>
      <c r="F800" t="b">
        <v>1</v>
      </c>
      <c r="G800">
        <v>59.648000000000003</v>
      </c>
      <c r="H800">
        <v>28</v>
      </c>
      <c r="I800">
        <v>6</v>
      </c>
      <c r="J800">
        <v>1.86</v>
      </c>
      <c r="K800" t="s">
        <v>2461</v>
      </c>
      <c r="L800">
        <v>0</v>
      </c>
      <c r="N800" t="s">
        <v>2462</v>
      </c>
      <c r="O800" t="s">
        <v>2463</v>
      </c>
      <c r="P800" t="s">
        <v>20</v>
      </c>
      <c r="Q800">
        <f>(VALUE(LEFT(SUBSTITUTE(O800,"T"," "),23)) - VALUE(LEFT(SUBSTITUTE(N800,"T"," "),23))) * 86400</f>
        <v>171.17199953645468</v>
      </c>
      <c r="R800">
        <f>I800/G800</f>
        <v>0.1005901287553648</v>
      </c>
      <c r="S800">
        <f>H800/G800</f>
        <v>0.46942060085836906</v>
      </c>
    </row>
    <row r="801" spans="1:19" hidden="1" x14ac:dyDescent="0.2">
      <c r="A801">
        <v>80</v>
      </c>
      <c r="B801" t="s">
        <v>21</v>
      </c>
      <c r="C801">
        <v>70</v>
      </c>
      <c r="D801">
        <v>3</v>
      </c>
      <c r="E801">
        <v>1029</v>
      </c>
      <c r="F801" t="b">
        <v>1</v>
      </c>
      <c r="G801">
        <v>51.536000000000001</v>
      </c>
      <c r="H801">
        <v>28</v>
      </c>
      <c r="I801">
        <v>6</v>
      </c>
      <c r="J801">
        <v>0.9</v>
      </c>
      <c r="K801" t="s">
        <v>2470</v>
      </c>
      <c r="L801">
        <v>0</v>
      </c>
      <c r="N801" t="s">
        <v>2471</v>
      </c>
      <c r="O801" t="s">
        <v>2472</v>
      </c>
      <c r="P801" t="s">
        <v>20</v>
      </c>
      <c r="Q801">
        <f>(VALUE(LEFT(SUBSTITUTE(O801,"T"," "),23)) - VALUE(LEFT(SUBSTITUTE(N801,"T"," "),23))) * 86400</f>
        <v>111.64699990767986</v>
      </c>
      <c r="R801">
        <f>I801/G801</f>
        <v>0.11642347097174791</v>
      </c>
      <c r="S801">
        <f>H801/G801</f>
        <v>0.54330953120149017</v>
      </c>
    </row>
    <row r="802" spans="1:19" hidden="1" x14ac:dyDescent="0.2">
      <c r="A802">
        <v>21</v>
      </c>
      <c r="B802" t="s">
        <v>3414</v>
      </c>
      <c r="C802">
        <v>-1</v>
      </c>
      <c r="D802">
        <v>3</v>
      </c>
      <c r="E802">
        <v>1002</v>
      </c>
      <c r="F802" t="b">
        <v>1</v>
      </c>
      <c r="G802">
        <v>46.052</v>
      </c>
      <c r="H802">
        <v>27</v>
      </c>
      <c r="I802">
        <v>5</v>
      </c>
      <c r="J802">
        <v>4.68</v>
      </c>
      <c r="K802" t="s">
        <v>3475</v>
      </c>
      <c r="L802">
        <v>0</v>
      </c>
      <c r="N802" t="s">
        <v>3476</v>
      </c>
      <c r="O802" t="s">
        <v>3477</v>
      </c>
      <c r="P802" t="s">
        <v>20</v>
      </c>
      <c r="Q802">
        <f>(VALUE(LEFT(SUBSTITUTE(O802,"T"," "),23)) - VALUE(LEFT(SUBSTITUTE(N802,"T"," "),23))) * 86400</f>
        <v>198.31900012213737</v>
      </c>
      <c r="R802">
        <f>I802/G802</f>
        <v>0.10857291757144098</v>
      </c>
      <c r="S802">
        <f>H802/G802</f>
        <v>0.58629375488578128</v>
      </c>
    </row>
    <row r="803" spans="1:19" hidden="1" x14ac:dyDescent="0.2">
      <c r="A803">
        <v>60</v>
      </c>
      <c r="B803" t="s">
        <v>25</v>
      </c>
      <c r="C803">
        <v>0</v>
      </c>
      <c r="D803">
        <v>3</v>
      </c>
      <c r="E803">
        <v>1029</v>
      </c>
      <c r="F803" t="b">
        <v>1</v>
      </c>
      <c r="G803">
        <v>57.223999999999997</v>
      </c>
      <c r="H803">
        <v>27</v>
      </c>
      <c r="I803">
        <v>1</v>
      </c>
      <c r="J803">
        <v>0.06</v>
      </c>
      <c r="K803" t="s">
        <v>2410</v>
      </c>
      <c r="L803">
        <v>0</v>
      </c>
      <c r="N803" t="s">
        <v>2411</v>
      </c>
      <c r="O803" t="s">
        <v>2412</v>
      </c>
      <c r="P803" t="s">
        <v>20</v>
      </c>
      <c r="Q803">
        <f>(VALUE(LEFT(SUBSTITUTE(O803,"T"," "),23)) - VALUE(LEFT(SUBSTITUTE(N803,"T"," "),23))) * 86400</f>
        <v>148.8700000802055</v>
      </c>
      <c r="R803">
        <f>I803/G803</f>
        <v>1.7475185236963512E-2</v>
      </c>
      <c r="S803">
        <f>H803/G803</f>
        <v>0.47183000139801484</v>
      </c>
    </row>
    <row r="804" spans="1:19" x14ac:dyDescent="0.2">
      <c r="A804">
        <v>29</v>
      </c>
      <c r="B804" t="s">
        <v>2531</v>
      </c>
      <c r="C804">
        <v>2</v>
      </c>
      <c r="D804">
        <v>4</v>
      </c>
      <c r="E804">
        <v>1013</v>
      </c>
      <c r="F804" t="b">
        <v>1</v>
      </c>
      <c r="G804">
        <v>46.624000000000002</v>
      </c>
      <c r="H804">
        <v>21</v>
      </c>
      <c r="I804">
        <v>0</v>
      </c>
      <c r="J804">
        <v>0</v>
      </c>
      <c r="K804" t="s">
        <v>2736</v>
      </c>
      <c r="L804">
        <v>0</v>
      </c>
      <c r="N804" t="s">
        <v>2737</v>
      </c>
      <c r="O804" t="s">
        <v>2738</v>
      </c>
      <c r="P804" t="s">
        <v>20</v>
      </c>
      <c r="Q804">
        <f>(VALUE(LEFT(SUBSTITUTE(O804,"T"," "),23)) - VALUE(LEFT(SUBSTITUTE(N804,"T"," "),23))) * 86400</f>
        <v>298.19899988360703</v>
      </c>
      <c r="R804">
        <f>I804/G804</f>
        <v>0</v>
      </c>
      <c r="S804">
        <f>H804/G804</f>
        <v>0.45041180507892931</v>
      </c>
    </row>
    <row r="805" spans="1:19" hidden="1" x14ac:dyDescent="0.2">
      <c r="A805">
        <v>66</v>
      </c>
      <c r="B805" t="s">
        <v>25</v>
      </c>
      <c r="C805">
        <v>5</v>
      </c>
      <c r="D805">
        <v>3</v>
      </c>
      <c r="E805">
        <v>1029</v>
      </c>
      <c r="F805" t="b">
        <v>1</v>
      </c>
      <c r="G805">
        <v>42.508000000000003</v>
      </c>
      <c r="H805">
        <v>28</v>
      </c>
      <c r="I805">
        <v>2</v>
      </c>
      <c r="J805">
        <v>0.18</v>
      </c>
      <c r="K805" t="s">
        <v>2428</v>
      </c>
      <c r="L805">
        <v>0</v>
      </c>
      <c r="N805" t="s">
        <v>2429</v>
      </c>
      <c r="O805" t="s">
        <v>2430</v>
      </c>
      <c r="P805" t="s">
        <v>20</v>
      </c>
      <c r="Q805">
        <f>(VALUE(LEFT(SUBSTITUTE(O805,"T"," "),23)) - VALUE(LEFT(SUBSTITUTE(N805,"T"," "),23))) * 86400</f>
        <v>152.66600016038865</v>
      </c>
      <c r="R805">
        <f>I805/G805</f>
        <v>4.7049967065023054E-2</v>
      </c>
      <c r="S805">
        <f>H805/G805</f>
        <v>0.65869953891032273</v>
      </c>
    </row>
    <row r="806" spans="1:19" hidden="1" x14ac:dyDescent="0.2">
      <c r="A806">
        <v>69</v>
      </c>
      <c r="B806" t="s">
        <v>25</v>
      </c>
      <c r="C806">
        <v>10</v>
      </c>
      <c r="D806">
        <v>3</v>
      </c>
      <c r="E806">
        <v>1029</v>
      </c>
      <c r="F806" t="b">
        <v>1</v>
      </c>
      <c r="G806">
        <v>44.223999999999997</v>
      </c>
      <c r="H806">
        <v>26</v>
      </c>
      <c r="I806">
        <v>7</v>
      </c>
      <c r="J806">
        <v>0.54</v>
      </c>
      <c r="K806" t="s">
        <v>2437</v>
      </c>
      <c r="L806">
        <v>0</v>
      </c>
      <c r="N806" t="s">
        <v>2438</v>
      </c>
      <c r="O806" t="s">
        <v>2439</v>
      </c>
      <c r="P806" t="s">
        <v>20</v>
      </c>
      <c r="Q806">
        <f>(VALUE(LEFT(SUBSTITUTE(O806,"T"," "),23)) - VALUE(LEFT(SUBSTITUTE(N806,"T"," "),23))) * 86400</f>
        <v>87.686999863944948</v>
      </c>
      <c r="R806">
        <f>I806/G806</f>
        <v>0.15828509406657021</v>
      </c>
      <c r="S806">
        <f>H806/G806</f>
        <v>0.58791606367583216</v>
      </c>
    </row>
    <row r="807" spans="1:19" hidden="1" x14ac:dyDescent="0.2">
      <c r="A807">
        <v>72</v>
      </c>
      <c r="B807" t="s">
        <v>25</v>
      </c>
      <c r="C807">
        <v>15</v>
      </c>
      <c r="D807">
        <v>3</v>
      </c>
      <c r="E807">
        <v>1029</v>
      </c>
      <c r="F807" t="b">
        <v>1</v>
      </c>
      <c r="G807">
        <v>49.387999999999998</v>
      </c>
      <c r="H807">
        <v>29</v>
      </c>
      <c r="I807">
        <v>4</v>
      </c>
      <c r="J807">
        <v>1.44</v>
      </c>
      <c r="K807" t="s">
        <v>2446</v>
      </c>
      <c r="L807">
        <v>0</v>
      </c>
      <c r="N807" t="s">
        <v>2447</v>
      </c>
      <c r="O807" t="s">
        <v>2448</v>
      </c>
      <c r="P807" t="s">
        <v>20</v>
      </c>
      <c r="Q807">
        <f>(VALUE(LEFT(SUBSTITUTE(O807,"T"," "),23)) - VALUE(LEFT(SUBSTITUTE(N807,"T"," "),23))) * 86400</f>
        <v>111.50800008326769</v>
      </c>
      <c r="R807">
        <f>I807/G807</f>
        <v>8.0991333927269787E-2</v>
      </c>
      <c r="S807">
        <f>H807/G807</f>
        <v>0.5871871709727059</v>
      </c>
    </row>
    <row r="808" spans="1:19" hidden="1" x14ac:dyDescent="0.2">
      <c r="A808">
        <v>75</v>
      </c>
      <c r="B808" t="s">
        <v>25</v>
      </c>
      <c r="C808">
        <v>20</v>
      </c>
      <c r="D808">
        <v>3</v>
      </c>
      <c r="E808">
        <v>1029</v>
      </c>
      <c r="F808" t="b">
        <v>1</v>
      </c>
      <c r="G808">
        <v>50.148000000000003</v>
      </c>
      <c r="H808">
        <v>29</v>
      </c>
      <c r="I808">
        <v>1</v>
      </c>
      <c r="J808">
        <v>0.06</v>
      </c>
      <c r="K808" t="s">
        <v>2455</v>
      </c>
      <c r="L808">
        <v>0</v>
      </c>
      <c r="N808" t="s">
        <v>2456</v>
      </c>
      <c r="O808" t="s">
        <v>2457</v>
      </c>
      <c r="P808" t="s">
        <v>20</v>
      </c>
      <c r="Q808">
        <f>(VALUE(LEFT(SUBSTITUTE(O808,"T"," "),23)) - VALUE(LEFT(SUBSTITUTE(N808,"T"," "),23))) * 86400</f>
        <v>102.43399981409311</v>
      </c>
      <c r="R808">
        <f>I808/G808</f>
        <v>1.9940974714844059E-2</v>
      </c>
      <c r="S808">
        <f>H808/G808</f>
        <v>0.57828826673047773</v>
      </c>
    </row>
    <row r="809" spans="1:19" hidden="1" x14ac:dyDescent="0.2">
      <c r="A809">
        <v>78</v>
      </c>
      <c r="B809" t="s">
        <v>25</v>
      </c>
      <c r="C809">
        <v>50</v>
      </c>
      <c r="D809">
        <v>3</v>
      </c>
      <c r="E809">
        <v>1029</v>
      </c>
      <c r="F809" t="b">
        <v>1</v>
      </c>
      <c r="G809">
        <v>34.084000000000003</v>
      </c>
      <c r="H809">
        <v>28</v>
      </c>
      <c r="I809">
        <v>5</v>
      </c>
      <c r="J809">
        <v>1.26</v>
      </c>
      <c r="K809" t="s">
        <v>2464</v>
      </c>
      <c r="L809">
        <v>0</v>
      </c>
      <c r="N809" t="s">
        <v>2465</v>
      </c>
      <c r="O809" t="s">
        <v>2466</v>
      </c>
      <c r="P809" t="s">
        <v>20</v>
      </c>
      <c r="Q809">
        <f>(VALUE(LEFT(SUBSTITUTE(O809,"T"," "),23)) - VALUE(LEFT(SUBSTITUTE(N809,"T"," "),23))) * 86400</f>
        <v>74.647999601438642</v>
      </c>
      <c r="R809">
        <f>I809/G809</f>
        <v>0.1466963971364863</v>
      </c>
      <c r="S809">
        <f>H809/G809</f>
        <v>0.82149982396432331</v>
      </c>
    </row>
    <row r="810" spans="1:19" hidden="1" x14ac:dyDescent="0.2">
      <c r="A810">
        <v>81</v>
      </c>
      <c r="B810" t="s">
        <v>25</v>
      </c>
      <c r="C810">
        <v>70</v>
      </c>
      <c r="D810">
        <v>3</v>
      </c>
      <c r="E810">
        <v>1029</v>
      </c>
      <c r="F810" t="b">
        <v>1</v>
      </c>
      <c r="G810">
        <v>43.503999999999998</v>
      </c>
      <c r="H810">
        <v>30</v>
      </c>
      <c r="I810">
        <v>5</v>
      </c>
      <c r="J810">
        <v>0.6</v>
      </c>
      <c r="K810" t="s">
        <v>2473</v>
      </c>
      <c r="L810">
        <v>0</v>
      </c>
      <c r="N810" t="s">
        <v>2474</v>
      </c>
      <c r="O810" t="s">
        <v>2475</v>
      </c>
      <c r="P810" t="s">
        <v>20</v>
      </c>
      <c r="Q810">
        <f>(VALUE(LEFT(SUBSTITUTE(O810,"T"," "),23)) - VALUE(LEFT(SUBSTITUTE(N810,"T"," "),23))) * 86400</f>
        <v>101.00799982901663</v>
      </c>
      <c r="R810">
        <f>I810/G810</f>
        <v>0.11493196027951454</v>
      </c>
      <c r="S810">
        <f>H810/G810</f>
        <v>0.68959176167708724</v>
      </c>
    </row>
    <row r="811" spans="1:19" hidden="1" x14ac:dyDescent="0.2">
      <c r="A811">
        <v>2</v>
      </c>
      <c r="B811" t="s">
        <v>21</v>
      </c>
      <c r="C811">
        <v>-1</v>
      </c>
      <c r="D811">
        <v>1</v>
      </c>
      <c r="E811">
        <v>1000</v>
      </c>
      <c r="F811" t="b">
        <v>1</v>
      </c>
      <c r="G811">
        <v>51.176000000000002</v>
      </c>
      <c r="H811">
        <v>30</v>
      </c>
      <c r="I811">
        <v>6</v>
      </c>
      <c r="J811">
        <v>6.66</v>
      </c>
      <c r="K811" t="s">
        <v>22</v>
      </c>
      <c r="L811">
        <v>0</v>
      </c>
      <c r="N811" t="s">
        <v>23</v>
      </c>
      <c r="O811" t="s">
        <v>24</v>
      </c>
      <c r="P811" t="s">
        <v>20</v>
      </c>
      <c r="Q811">
        <f>(VALUE(LEFT(SUBSTITUTE(O811,"T"," "),23)) - VALUE(LEFT(SUBSTITUTE(N811,"T"," "),23))) * 86400</f>
        <v>281.81599995587021</v>
      </c>
      <c r="R811">
        <f>I811/G811</f>
        <v>0.11724245740190714</v>
      </c>
      <c r="S811">
        <f>H811/G811</f>
        <v>0.58621228700953565</v>
      </c>
    </row>
    <row r="812" spans="1:19" hidden="1" x14ac:dyDescent="0.2">
      <c r="A812">
        <v>58</v>
      </c>
      <c r="B812" t="s">
        <v>16</v>
      </c>
      <c r="C812">
        <v>0</v>
      </c>
      <c r="D812">
        <v>3</v>
      </c>
      <c r="E812">
        <v>1029</v>
      </c>
      <c r="F812" t="b">
        <v>1</v>
      </c>
      <c r="G812">
        <v>67.756</v>
      </c>
      <c r="H812">
        <v>24</v>
      </c>
      <c r="I812">
        <v>3</v>
      </c>
      <c r="J812">
        <v>0.9</v>
      </c>
      <c r="K812" t="s">
        <v>2404</v>
      </c>
      <c r="L812">
        <v>0</v>
      </c>
      <c r="N812" t="s">
        <v>2405</v>
      </c>
      <c r="O812" t="s">
        <v>2406</v>
      </c>
      <c r="P812" t="s">
        <v>20</v>
      </c>
      <c r="Q812">
        <f>(VALUE(LEFT(SUBSTITUTE(O812,"T"," "),23)) - VALUE(LEFT(SUBSTITUTE(N812,"T"," "),23))) * 86400</f>
        <v>189.14499976672232</v>
      </c>
      <c r="R812">
        <f>I812/G812</f>
        <v>4.4276521636460238E-2</v>
      </c>
      <c r="S812">
        <f>H812/G812</f>
        <v>0.3542121730916819</v>
      </c>
    </row>
    <row r="813" spans="1:19" x14ac:dyDescent="0.2">
      <c r="A813">
        <v>8</v>
      </c>
      <c r="B813" t="s">
        <v>21</v>
      </c>
      <c r="C813">
        <v>2</v>
      </c>
      <c r="D813">
        <v>1</v>
      </c>
      <c r="E813">
        <v>1007</v>
      </c>
      <c r="F813" t="b">
        <v>1</v>
      </c>
      <c r="G813">
        <v>55.46</v>
      </c>
      <c r="H813">
        <v>25</v>
      </c>
      <c r="I813">
        <v>3</v>
      </c>
      <c r="J813">
        <v>0.72</v>
      </c>
      <c r="K813" t="s">
        <v>955</v>
      </c>
      <c r="L813">
        <v>0</v>
      </c>
      <c r="N813" t="s">
        <v>1806</v>
      </c>
      <c r="O813" t="s">
        <v>1807</v>
      </c>
      <c r="P813" t="s">
        <v>20</v>
      </c>
      <c r="Q813">
        <f>(VALUE(LEFT(SUBSTITUTE(O813,"T"," "),23)) - VALUE(LEFT(SUBSTITUTE(N813,"T"," "),23))) * 86400</f>
        <v>260.67099985666573</v>
      </c>
      <c r="R813">
        <f>I813/G813</f>
        <v>5.4093040028849619E-2</v>
      </c>
      <c r="S813">
        <f>H813/G813</f>
        <v>0.45077533357374683</v>
      </c>
    </row>
    <row r="814" spans="1:19" hidden="1" x14ac:dyDescent="0.2">
      <c r="A814">
        <v>64</v>
      </c>
      <c r="B814" t="s">
        <v>16</v>
      </c>
      <c r="C814">
        <v>5</v>
      </c>
      <c r="D814">
        <v>3</v>
      </c>
      <c r="E814">
        <v>1029</v>
      </c>
      <c r="F814" t="b">
        <v>1</v>
      </c>
      <c r="G814">
        <v>86.391999999999996</v>
      </c>
      <c r="H814">
        <v>24</v>
      </c>
      <c r="I814">
        <v>5</v>
      </c>
      <c r="J814">
        <v>3.12</v>
      </c>
      <c r="K814" t="s">
        <v>2422</v>
      </c>
      <c r="L814">
        <v>0</v>
      </c>
      <c r="N814" t="s">
        <v>2423</v>
      </c>
      <c r="O814" t="s">
        <v>2424</v>
      </c>
      <c r="P814" t="s">
        <v>20</v>
      </c>
      <c r="Q814">
        <f>(VALUE(LEFT(SUBSTITUTE(O814,"T"," "),23)) - VALUE(LEFT(SUBSTITUTE(N814,"T"," "),23))) * 86400</f>
        <v>192.12100014556199</v>
      </c>
      <c r="R814">
        <f>I814/G814</f>
        <v>5.7875729234188357E-2</v>
      </c>
      <c r="S814">
        <f>H814/G814</f>
        <v>0.27780350032410411</v>
      </c>
    </row>
    <row r="815" spans="1:19" hidden="1" x14ac:dyDescent="0.2">
      <c r="A815">
        <v>67</v>
      </c>
      <c r="B815" t="s">
        <v>16</v>
      </c>
      <c r="C815">
        <v>10</v>
      </c>
      <c r="D815">
        <v>3</v>
      </c>
      <c r="E815">
        <v>1029</v>
      </c>
      <c r="F815" t="b">
        <v>1</v>
      </c>
      <c r="G815">
        <v>58.192</v>
      </c>
      <c r="H815">
        <v>25</v>
      </c>
      <c r="I815">
        <v>11</v>
      </c>
      <c r="J815">
        <v>1.92</v>
      </c>
      <c r="K815" t="s">
        <v>2431</v>
      </c>
      <c r="L815">
        <v>0</v>
      </c>
      <c r="N815" t="s">
        <v>2432</v>
      </c>
      <c r="O815" t="s">
        <v>2433</v>
      </c>
      <c r="P815" t="s">
        <v>20</v>
      </c>
      <c r="Q815">
        <f>(VALUE(LEFT(SUBSTITUTE(O815,"T"," "),23)) - VALUE(LEFT(SUBSTITUTE(N815,"T"," "),23))) * 86400</f>
        <v>164.05700028408319</v>
      </c>
      <c r="R815">
        <f>I815/G815</f>
        <v>0.18902941985152599</v>
      </c>
      <c r="S815">
        <f>H815/G815</f>
        <v>0.42961231784437726</v>
      </c>
    </row>
    <row r="816" spans="1:19" hidden="1" x14ac:dyDescent="0.2">
      <c r="A816">
        <v>70</v>
      </c>
      <c r="B816" t="s">
        <v>16</v>
      </c>
      <c r="C816">
        <v>15</v>
      </c>
      <c r="D816">
        <v>3</v>
      </c>
      <c r="E816">
        <v>1029</v>
      </c>
      <c r="F816" t="b">
        <v>1</v>
      </c>
      <c r="G816">
        <v>94.528000000000006</v>
      </c>
      <c r="H816">
        <v>24</v>
      </c>
      <c r="I816">
        <v>13</v>
      </c>
      <c r="J816">
        <v>2.82</v>
      </c>
      <c r="K816" t="s">
        <v>2440</v>
      </c>
      <c r="L816">
        <v>0</v>
      </c>
      <c r="N816" t="s">
        <v>2441</v>
      </c>
      <c r="O816" t="s">
        <v>2442</v>
      </c>
      <c r="P816" t="s">
        <v>20</v>
      </c>
      <c r="Q816">
        <f>(VALUE(LEFT(SUBSTITUTE(O816,"T"," "),23)) - VALUE(LEFT(SUBSTITUTE(N816,"T"," "),23))) * 86400</f>
        <v>179.16999980807304</v>
      </c>
      <c r="R816">
        <f>I816/G816</f>
        <v>0.13752538930264047</v>
      </c>
      <c r="S816">
        <f>H816/G816</f>
        <v>0.25389302640487471</v>
      </c>
    </row>
    <row r="817" spans="1:19" hidden="1" x14ac:dyDescent="0.2">
      <c r="A817">
        <v>73</v>
      </c>
      <c r="B817" t="s">
        <v>16</v>
      </c>
      <c r="C817">
        <v>20</v>
      </c>
      <c r="D817">
        <v>3</v>
      </c>
      <c r="E817">
        <v>1029</v>
      </c>
      <c r="F817" t="b">
        <v>1</v>
      </c>
      <c r="G817">
        <v>60.707999999999998</v>
      </c>
      <c r="H817">
        <v>25</v>
      </c>
      <c r="I817">
        <v>7</v>
      </c>
      <c r="J817">
        <v>1.2</v>
      </c>
      <c r="K817" t="s">
        <v>2449</v>
      </c>
      <c r="L817">
        <v>0</v>
      </c>
      <c r="N817" t="s">
        <v>2450</v>
      </c>
      <c r="O817" t="s">
        <v>2451</v>
      </c>
      <c r="P817" t="s">
        <v>20</v>
      </c>
      <c r="Q817">
        <f>(VALUE(LEFT(SUBSTITUTE(O817,"T"," "),23)) - VALUE(LEFT(SUBSTITUTE(N817,"T"," "),23))) * 86400</f>
        <v>137.61200001463294</v>
      </c>
      <c r="R817">
        <f>I817/G817</f>
        <v>0.11530605521512816</v>
      </c>
      <c r="S817">
        <f>H817/G817</f>
        <v>0.41180734005402914</v>
      </c>
    </row>
    <row r="818" spans="1:19" hidden="1" x14ac:dyDescent="0.2">
      <c r="A818">
        <v>76</v>
      </c>
      <c r="B818" t="s">
        <v>16</v>
      </c>
      <c r="C818">
        <v>50</v>
      </c>
      <c r="D818">
        <v>3</v>
      </c>
      <c r="E818">
        <v>1029</v>
      </c>
      <c r="F818" t="b">
        <v>1</v>
      </c>
      <c r="G818">
        <v>56.463999999999999</v>
      </c>
      <c r="H818">
        <v>25</v>
      </c>
      <c r="I818">
        <v>5</v>
      </c>
      <c r="J818">
        <v>0.72</v>
      </c>
      <c r="K818" t="s">
        <v>2458</v>
      </c>
      <c r="L818">
        <v>0</v>
      </c>
      <c r="N818" t="s">
        <v>2459</v>
      </c>
      <c r="O818" t="s">
        <v>2460</v>
      </c>
      <c r="P818" t="s">
        <v>20</v>
      </c>
      <c r="Q818">
        <f>(VALUE(LEFT(SUBSTITUTE(O818,"T"," "),23)) - VALUE(LEFT(SUBSTITUTE(N818,"T"," "),23))) * 86400</f>
        <v>123.43899991828948</v>
      </c>
      <c r="R818">
        <f>I818/G818</f>
        <v>8.8551997733068863E-2</v>
      </c>
      <c r="S818">
        <f>H818/G818</f>
        <v>0.44275998866534433</v>
      </c>
    </row>
    <row r="819" spans="1:19" hidden="1" x14ac:dyDescent="0.2">
      <c r="A819">
        <v>79</v>
      </c>
      <c r="B819" t="s">
        <v>16</v>
      </c>
      <c r="C819">
        <v>70</v>
      </c>
      <c r="D819">
        <v>3</v>
      </c>
      <c r="E819">
        <v>1029</v>
      </c>
      <c r="F819" t="b">
        <v>1</v>
      </c>
      <c r="G819">
        <v>75.347999999999999</v>
      </c>
      <c r="H819">
        <v>22</v>
      </c>
      <c r="I819">
        <v>10</v>
      </c>
      <c r="J819">
        <v>1.68</v>
      </c>
      <c r="K819" t="s">
        <v>2467</v>
      </c>
      <c r="L819">
        <v>0</v>
      </c>
      <c r="N819" t="s">
        <v>2468</v>
      </c>
      <c r="O819" t="s">
        <v>2469</v>
      </c>
      <c r="P819" t="s">
        <v>20</v>
      </c>
      <c r="Q819">
        <f>(VALUE(LEFT(SUBSTITUTE(O819,"T"," "),23)) - VALUE(LEFT(SUBSTITUTE(N819,"T"," "),23))) * 86400</f>
        <v>175.55500043090433</v>
      </c>
      <c r="R819">
        <f>I819/G819</f>
        <v>0.13271752402187184</v>
      </c>
      <c r="S819">
        <f>H819/G819</f>
        <v>0.29197855284811808</v>
      </c>
    </row>
    <row r="820" spans="1:19" x14ac:dyDescent="0.2">
      <c r="A820">
        <v>38</v>
      </c>
      <c r="B820" t="s">
        <v>2476</v>
      </c>
      <c r="C820">
        <v>2</v>
      </c>
      <c r="D820">
        <v>5</v>
      </c>
      <c r="E820">
        <v>1004</v>
      </c>
      <c r="F820" t="b">
        <v>1</v>
      </c>
      <c r="G820">
        <v>52.591999999999999</v>
      </c>
      <c r="H820">
        <v>27</v>
      </c>
      <c r="I820">
        <v>1</v>
      </c>
      <c r="J820">
        <v>0.3</v>
      </c>
      <c r="K820" t="s">
        <v>2643</v>
      </c>
      <c r="L820">
        <v>0</v>
      </c>
      <c r="N820" t="s">
        <v>2644</v>
      </c>
      <c r="O820" t="s">
        <v>2645</v>
      </c>
      <c r="P820" t="s">
        <v>20</v>
      </c>
      <c r="Q820">
        <f>(VALUE(LEFT(SUBSTITUTE(O820,"T"," "),23)) - VALUE(LEFT(SUBSTITUTE(N820,"T"," "),23))) * 86400</f>
        <v>182.99499980639666</v>
      </c>
      <c r="R820">
        <f>I820/G820</f>
        <v>1.9014298752662001E-2</v>
      </c>
      <c r="S820">
        <f>H820/G820</f>
        <v>0.51338606632187411</v>
      </c>
    </row>
    <row r="821" spans="1:19" x14ac:dyDescent="0.2">
      <c r="A821">
        <v>4</v>
      </c>
      <c r="B821" t="s">
        <v>2476</v>
      </c>
      <c r="C821">
        <v>2</v>
      </c>
      <c r="D821">
        <v>1</v>
      </c>
      <c r="E821">
        <v>1005</v>
      </c>
      <c r="F821" t="b">
        <v>1</v>
      </c>
      <c r="G821">
        <v>126.072</v>
      </c>
      <c r="H821">
        <v>28</v>
      </c>
      <c r="I821">
        <v>6</v>
      </c>
      <c r="J821">
        <v>1.2</v>
      </c>
      <c r="K821" t="s">
        <v>2901</v>
      </c>
      <c r="L821">
        <v>0</v>
      </c>
      <c r="N821" t="s">
        <v>2902</v>
      </c>
      <c r="O821" t="s">
        <v>2903</v>
      </c>
      <c r="Q821">
        <f>(VALUE(LEFT(SUBSTITUTE(O821,"T"," "),23)) - VALUE(LEFT(SUBSTITUTE(N821,"T"," "),23))) * 86400</f>
        <v>528.0880001373589</v>
      </c>
      <c r="R821">
        <f>I821/G821</f>
        <v>4.7591852274890538E-2</v>
      </c>
      <c r="S821">
        <f>H821/G821</f>
        <v>0.22209531061615584</v>
      </c>
    </row>
    <row r="822" spans="1:19" hidden="1" x14ac:dyDescent="0.2">
      <c r="A822">
        <v>26</v>
      </c>
      <c r="B822" t="s">
        <v>2476</v>
      </c>
      <c r="C822">
        <v>-1</v>
      </c>
      <c r="D822">
        <v>4</v>
      </c>
      <c r="E822">
        <v>1003</v>
      </c>
      <c r="F822" t="b">
        <v>1</v>
      </c>
      <c r="G822">
        <v>52.9</v>
      </c>
      <c r="H822">
        <v>31</v>
      </c>
      <c r="I822">
        <v>6</v>
      </c>
      <c r="J822">
        <v>5.22</v>
      </c>
      <c r="K822" t="s">
        <v>2607</v>
      </c>
      <c r="L822">
        <v>0</v>
      </c>
      <c r="N822" t="s">
        <v>2608</v>
      </c>
      <c r="O822" t="s">
        <v>2609</v>
      </c>
      <c r="P822" t="s">
        <v>20</v>
      </c>
      <c r="Q822">
        <f>(VALUE(LEFT(SUBSTITUTE(O822,"T"," "),23)) - VALUE(LEFT(SUBSTITUTE(N822,"T"," "),23))) * 86400</f>
        <v>283.52599998470396</v>
      </c>
      <c r="R822">
        <f>I822/G822</f>
        <v>0.11342155009451796</v>
      </c>
      <c r="S822">
        <f>H822/G822</f>
        <v>0.5860113421550095</v>
      </c>
    </row>
    <row r="823" spans="1:19" x14ac:dyDescent="0.2">
      <c r="A823">
        <v>8</v>
      </c>
      <c r="B823" t="s">
        <v>2476</v>
      </c>
      <c r="C823">
        <v>2</v>
      </c>
      <c r="D823">
        <v>2</v>
      </c>
      <c r="E823">
        <v>1006</v>
      </c>
      <c r="F823" t="b">
        <v>1</v>
      </c>
      <c r="G823">
        <v>55.911999999999999</v>
      </c>
      <c r="H823">
        <v>29</v>
      </c>
      <c r="I823">
        <v>1</v>
      </c>
      <c r="J823">
        <v>0.12</v>
      </c>
      <c r="K823" t="s">
        <v>2913</v>
      </c>
      <c r="L823">
        <v>0</v>
      </c>
      <c r="N823" t="s">
        <v>2914</v>
      </c>
      <c r="O823" t="s">
        <v>2915</v>
      </c>
      <c r="Q823">
        <f>(VALUE(LEFT(SUBSTITUTE(O823,"T"," "),23)) - VALUE(LEFT(SUBSTITUTE(N823,"T"," "),23))) * 86400</f>
        <v>195.14600008260459</v>
      </c>
      <c r="R823">
        <f>I823/G823</f>
        <v>1.7885248247245671E-2</v>
      </c>
      <c r="S823">
        <f>H823/G823</f>
        <v>0.51867219917012453</v>
      </c>
    </row>
    <row r="824" spans="1:19" hidden="1" x14ac:dyDescent="0.2">
      <c r="A824">
        <v>57</v>
      </c>
      <c r="B824" t="s">
        <v>25</v>
      </c>
      <c r="C824">
        <v>-1</v>
      </c>
      <c r="D824">
        <v>3</v>
      </c>
      <c r="E824">
        <v>1019</v>
      </c>
      <c r="F824" t="b">
        <v>1</v>
      </c>
      <c r="G824">
        <v>49.875999999999998</v>
      </c>
      <c r="H824">
        <v>29</v>
      </c>
      <c r="I824">
        <v>5</v>
      </c>
      <c r="J824">
        <v>4.74</v>
      </c>
      <c r="K824" t="s">
        <v>2159</v>
      </c>
      <c r="L824">
        <v>0</v>
      </c>
      <c r="N824" t="s">
        <v>2160</v>
      </c>
      <c r="O824" t="s">
        <v>2161</v>
      </c>
      <c r="P824" t="s">
        <v>20</v>
      </c>
      <c r="Q824">
        <f>(VALUE(LEFT(SUBSTITUTE(O824,"T"," "),23)) - VALUE(LEFT(SUBSTITUTE(N824,"T"," "),23))) * 86400</f>
        <v>129.17299994733185</v>
      </c>
      <c r="R824">
        <f>I824/G824</f>
        <v>0.10024861656909136</v>
      </c>
      <c r="S824">
        <f>H824/G824</f>
        <v>0.58144197610072978</v>
      </c>
    </row>
    <row r="825" spans="1:19" hidden="1" x14ac:dyDescent="0.2">
      <c r="A825">
        <v>30</v>
      </c>
      <c r="B825" t="s">
        <v>25</v>
      </c>
      <c r="C825">
        <v>-1</v>
      </c>
      <c r="D825">
        <v>2</v>
      </c>
      <c r="E825">
        <v>1028</v>
      </c>
      <c r="F825" t="b">
        <v>1</v>
      </c>
      <c r="G825">
        <v>56.764000000000003</v>
      </c>
      <c r="H825">
        <v>33</v>
      </c>
      <c r="I825">
        <v>4</v>
      </c>
      <c r="J825">
        <v>3.72</v>
      </c>
      <c r="K825" t="s">
        <v>2321</v>
      </c>
      <c r="L825">
        <v>0</v>
      </c>
      <c r="N825" t="s">
        <v>2322</v>
      </c>
      <c r="O825" t="s">
        <v>2323</v>
      </c>
      <c r="P825" t="s">
        <v>20</v>
      </c>
      <c r="Q825">
        <f>(VALUE(LEFT(SUBSTITUTE(O825,"T"," "),23)) - VALUE(LEFT(SUBSTITUTE(N825,"T"," "),23))) * 86400</f>
        <v>128.23300051968545</v>
      </c>
      <c r="R825">
        <f>I825/G825</f>
        <v>7.0467197519554645E-2</v>
      </c>
      <c r="S825">
        <f>H825/G825</f>
        <v>0.58135437953632585</v>
      </c>
    </row>
    <row r="826" spans="1:19" hidden="1" x14ac:dyDescent="0.2">
      <c r="A826">
        <v>2</v>
      </c>
      <c r="B826" t="s">
        <v>2476</v>
      </c>
      <c r="C826">
        <v>-1</v>
      </c>
      <c r="D826">
        <v>1</v>
      </c>
      <c r="E826">
        <v>1025</v>
      </c>
      <c r="F826" t="b">
        <v>1</v>
      </c>
      <c r="G826">
        <v>39.648000000000003</v>
      </c>
      <c r="H826">
        <v>23</v>
      </c>
      <c r="I826">
        <v>5</v>
      </c>
      <c r="J826">
        <v>3.9</v>
      </c>
      <c r="K826" t="s">
        <v>2943</v>
      </c>
      <c r="L826">
        <v>0</v>
      </c>
      <c r="N826" t="s">
        <v>2944</v>
      </c>
      <c r="O826" t="s">
        <v>2945</v>
      </c>
      <c r="Q826">
        <f>(VALUE(LEFT(SUBSTITUTE(O826,"T"," "),23)) - VALUE(LEFT(SUBSTITUTE(N826,"T"," "),23))) * 86400</f>
        <v>129.47900060098618</v>
      </c>
      <c r="R826">
        <f>I826/G826</f>
        <v>0.1261097659402744</v>
      </c>
      <c r="S826">
        <f>H826/G826</f>
        <v>0.58010492332526231</v>
      </c>
    </row>
    <row r="827" spans="1:19" x14ac:dyDescent="0.2">
      <c r="A827">
        <v>5</v>
      </c>
      <c r="B827" t="s">
        <v>2531</v>
      </c>
      <c r="C827">
        <v>2</v>
      </c>
      <c r="D827">
        <v>1</v>
      </c>
      <c r="E827">
        <v>1020</v>
      </c>
      <c r="F827" t="b">
        <v>1</v>
      </c>
      <c r="G827">
        <v>62.944000000000003</v>
      </c>
      <c r="H827">
        <v>29</v>
      </c>
      <c r="I827">
        <v>0</v>
      </c>
      <c r="J827">
        <v>0</v>
      </c>
      <c r="K827" t="s">
        <v>2784</v>
      </c>
      <c r="L827">
        <v>0</v>
      </c>
      <c r="N827" t="s">
        <v>2785</v>
      </c>
      <c r="O827" t="s">
        <v>2786</v>
      </c>
      <c r="P827" t="s">
        <v>20</v>
      </c>
      <c r="Q827">
        <f>(VALUE(LEFT(SUBSTITUTE(O827,"T"," "),23)) - VALUE(LEFT(SUBSTITUTE(N827,"T"," "),23))) * 86400</f>
        <v>341.72999993897974</v>
      </c>
      <c r="R827">
        <f>I827/G827</f>
        <v>0</v>
      </c>
      <c r="S827">
        <f>H827/G827</f>
        <v>0.46072699542450429</v>
      </c>
    </row>
    <row r="828" spans="1:19" x14ac:dyDescent="0.2">
      <c r="A828">
        <v>2</v>
      </c>
      <c r="B828" t="s">
        <v>2476</v>
      </c>
      <c r="C828">
        <v>2</v>
      </c>
      <c r="D828">
        <v>1</v>
      </c>
      <c r="E828">
        <v>1007</v>
      </c>
      <c r="F828" t="b">
        <v>1</v>
      </c>
      <c r="G828">
        <v>41.308</v>
      </c>
      <c r="H828">
        <v>27</v>
      </c>
      <c r="I828">
        <v>0</v>
      </c>
      <c r="J828">
        <v>0</v>
      </c>
      <c r="K828" t="s">
        <v>2480</v>
      </c>
      <c r="L828">
        <v>0</v>
      </c>
      <c r="N828" t="s">
        <v>2481</v>
      </c>
      <c r="O828" t="s">
        <v>2482</v>
      </c>
      <c r="P828" t="s">
        <v>20</v>
      </c>
      <c r="Q828">
        <f>(VALUE(LEFT(SUBSTITUTE(O828,"T"," "),23)) - VALUE(LEFT(SUBSTITUTE(N828,"T"," "),23))) * 86400</f>
        <v>172.53300037700683</v>
      </c>
      <c r="R828">
        <f>I828/G828</f>
        <v>0</v>
      </c>
      <c r="S828">
        <f>H828/G828</f>
        <v>0.65362641619056838</v>
      </c>
    </row>
    <row r="829" spans="1:19" x14ac:dyDescent="0.2">
      <c r="A829">
        <v>9</v>
      </c>
      <c r="B829" t="s">
        <v>25</v>
      </c>
      <c r="C829">
        <v>2</v>
      </c>
      <c r="D829">
        <v>1</v>
      </c>
      <c r="E829">
        <v>1012</v>
      </c>
      <c r="F829" t="b">
        <v>1</v>
      </c>
      <c r="G829">
        <v>51.368000000000002</v>
      </c>
      <c r="H829">
        <v>24</v>
      </c>
      <c r="I829">
        <v>1</v>
      </c>
      <c r="J829">
        <v>0.42</v>
      </c>
      <c r="K829" t="s">
        <v>1000</v>
      </c>
      <c r="L829">
        <v>0</v>
      </c>
      <c r="N829" t="s">
        <v>1001</v>
      </c>
      <c r="O829" t="s">
        <v>1002</v>
      </c>
      <c r="P829" t="s">
        <v>20</v>
      </c>
      <c r="Q829">
        <f>(VALUE(LEFT(SUBSTITUTE(O829,"T"," "),23)) - VALUE(LEFT(SUBSTITUTE(N829,"T"," "),23))) * 86400</f>
        <v>270.05699991714209</v>
      </c>
      <c r="R829">
        <f>I829/G829</f>
        <v>1.9467372683382649E-2</v>
      </c>
      <c r="S829">
        <f>H829/G829</f>
        <v>0.46721694440118361</v>
      </c>
    </row>
    <row r="830" spans="1:19" x14ac:dyDescent="0.2">
      <c r="A830">
        <v>4</v>
      </c>
      <c r="B830" t="s">
        <v>2476</v>
      </c>
      <c r="C830">
        <v>2</v>
      </c>
      <c r="D830">
        <v>2</v>
      </c>
      <c r="E830">
        <v>1008</v>
      </c>
      <c r="F830" t="b">
        <v>1</v>
      </c>
      <c r="G830">
        <v>73.084000000000003</v>
      </c>
      <c r="H830">
        <v>24</v>
      </c>
      <c r="I830">
        <v>4</v>
      </c>
      <c r="J830">
        <v>1.68</v>
      </c>
      <c r="K830" t="s">
        <v>2486</v>
      </c>
      <c r="L830">
        <v>0</v>
      </c>
      <c r="N830" t="s">
        <v>2487</v>
      </c>
      <c r="O830" t="s">
        <v>2488</v>
      </c>
      <c r="P830" t="s">
        <v>20</v>
      </c>
      <c r="Q830">
        <f>(VALUE(LEFT(SUBSTITUTE(O830,"T"," "),23)) - VALUE(LEFT(SUBSTITUTE(N830,"T"," "),23))) * 86400</f>
        <v>262.58199959993362</v>
      </c>
      <c r="R830">
        <f>I830/G830</f>
        <v>5.4731541787532152E-2</v>
      </c>
      <c r="S830">
        <f>H830/G830</f>
        <v>0.32838925072519293</v>
      </c>
    </row>
    <row r="831" spans="1:19" x14ac:dyDescent="0.2">
      <c r="A831">
        <v>7</v>
      </c>
      <c r="B831" t="s">
        <v>16</v>
      </c>
      <c r="C831">
        <v>2</v>
      </c>
      <c r="D831">
        <v>1</v>
      </c>
      <c r="E831">
        <v>1010</v>
      </c>
      <c r="F831" t="b">
        <v>1</v>
      </c>
      <c r="G831">
        <v>59.86</v>
      </c>
      <c r="H831">
        <v>28</v>
      </c>
      <c r="I831">
        <v>2</v>
      </c>
      <c r="J831">
        <v>0.3</v>
      </c>
      <c r="K831" t="s">
        <v>128</v>
      </c>
      <c r="L831">
        <v>0</v>
      </c>
      <c r="N831" t="s">
        <v>129</v>
      </c>
      <c r="O831" t="s">
        <v>130</v>
      </c>
      <c r="P831" t="s">
        <v>20</v>
      </c>
      <c r="Q831">
        <f>(VALUE(LEFT(SUBSTITUTE(O831,"T"," "),23)) - VALUE(LEFT(SUBSTITUTE(N831,"T"," "),23))) * 86400</f>
        <v>191.15200017113239</v>
      </c>
      <c r="R831">
        <f>I831/G831</f>
        <v>3.341129301703976E-2</v>
      </c>
      <c r="S831">
        <f>H831/G831</f>
        <v>0.46775810223855663</v>
      </c>
    </row>
    <row r="832" spans="1:19" hidden="1" x14ac:dyDescent="0.2">
      <c r="A832">
        <v>1</v>
      </c>
      <c r="B832" t="s">
        <v>2476</v>
      </c>
      <c r="C832">
        <v>-1</v>
      </c>
      <c r="D832">
        <v>1</v>
      </c>
      <c r="E832">
        <v>1007</v>
      </c>
      <c r="F832" t="b">
        <v>1</v>
      </c>
      <c r="G832">
        <v>45</v>
      </c>
      <c r="H832">
        <v>26</v>
      </c>
      <c r="I832">
        <v>3</v>
      </c>
      <c r="J832">
        <v>4.62</v>
      </c>
      <c r="K832" t="s">
        <v>2477</v>
      </c>
      <c r="L832">
        <v>0</v>
      </c>
      <c r="N832" t="s">
        <v>2478</v>
      </c>
      <c r="O832" t="s">
        <v>2479</v>
      </c>
      <c r="P832" t="s">
        <v>20</v>
      </c>
      <c r="Q832">
        <f>(VALUE(LEFT(SUBSTITUTE(O832,"T"," "),23)) - VALUE(LEFT(SUBSTITUTE(N832,"T"," "),23))) * 86400</f>
        <v>183.20299945771694</v>
      </c>
      <c r="R832">
        <f>I832/G832</f>
        <v>6.6666666666666666E-2</v>
      </c>
      <c r="S832">
        <f>H832/G832</f>
        <v>0.57777777777777772</v>
      </c>
    </row>
    <row r="833" spans="1:19" hidden="1" x14ac:dyDescent="0.2">
      <c r="A833">
        <v>1</v>
      </c>
      <c r="B833" t="s">
        <v>3413</v>
      </c>
      <c r="C833">
        <v>-1</v>
      </c>
      <c r="D833">
        <v>1</v>
      </c>
      <c r="E833">
        <v>1020</v>
      </c>
      <c r="F833" t="b">
        <v>1</v>
      </c>
      <c r="G833">
        <v>43.828000000000003</v>
      </c>
      <c r="H833">
        <v>25</v>
      </c>
      <c r="I833">
        <v>2</v>
      </c>
      <c r="J833">
        <v>1.98</v>
      </c>
      <c r="K833" t="s">
        <v>3084</v>
      </c>
      <c r="L833">
        <v>0</v>
      </c>
      <c r="N833" t="s">
        <v>3085</v>
      </c>
      <c r="O833" t="s">
        <v>3086</v>
      </c>
      <c r="P833" t="s">
        <v>20</v>
      </c>
      <c r="Q833">
        <f>(VALUE(LEFT(SUBSTITUTE(O833,"T"," "),23)) - VALUE(LEFT(SUBSTITUTE(N833,"T"," "),23))) * 86400</f>
        <v>196.55899973586202</v>
      </c>
      <c r="R833">
        <f>I833/G833</f>
        <v>4.5632928721365332E-2</v>
      </c>
      <c r="S833">
        <f>H833/G833</f>
        <v>0.57041160901706667</v>
      </c>
    </row>
    <row r="834" spans="1:19" x14ac:dyDescent="0.2">
      <c r="A834">
        <v>6</v>
      </c>
      <c r="B834" t="s">
        <v>2476</v>
      </c>
      <c r="C834">
        <v>2</v>
      </c>
      <c r="D834">
        <v>3</v>
      </c>
      <c r="E834">
        <v>1009</v>
      </c>
      <c r="F834" t="b">
        <v>1</v>
      </c>
      <c r="G834">
        <v>61.488</v>
      </c>
      <c r="H834">
        <v>28</v>
      </c>
      <c r="I834">
        <v>2</v>
      </c>
      <c r="J834">
        <v>0.6</v>
      </c>
      <c r="K834" t="s">
        <v>2492</v>
      </c>
      <c r="L834">
        <v>0</v>
      </c>
      <c r="N834" t="s">
        <v>2493</v>
      </c>
      <c r="O834" t="s">
        <v>2494</v>
      </c>
      <c r="P834" t="s">
        <v>20</v>
      </c>
      <c r="Q834">
        <f>(VALUE(LEFT(SUBSTITUTE(O834,"T"," "),23)) - VALUE(LEFT(SUBSTITUTE(N834,"T"," "),23))) * 86400</f>
        <v>258.04699980653822</v>
      </c>
      <c r="R834">
        <f>I834/G834</f>
        <v>3.2526671870934165E-2</v>
      </c>
      <c r="S834">
        <f>H834/G834</f>
        <v>0.45537340619307831</v>
      </c>
    </row>
    <row r="835" spans="1:19" hidden="1" x14ac:dyDescent="0.2">
      <c r="A835">
        <v>26</v>
      </c>
      <c r="B835" t="s">
        <v>2476</v>
      </c>
      <c r="C835">
        <v>-1</v>
      </c>
      <c r="D835">
        <v>4</v>
      </c>
      <c r="E835">
        <v>1023</v>
      </c>
      <c r="F835" t="b">
        <v>1</v>
      </c>
      <c r="G835">
        <v>47.34</v>
      </c>
      <c r="H835">
        <v>27</v>
      </c>
      <c r="I835">
        <v>5</v>
      </c>
      <c r="J835">
        <v>2.76</v>
      </c>
      <c r="K835" t="s">
        <v>2847</v>
      </c>
      <c r="L835">
        <v>0</v>
      </c>
      <c r="N835" t="s">
        <v>2848</v>
      </c>
      <c r="O835" t="s">
        <v>2849</v>
      </c>
      <c r="P835" t="s">
        <v>20</v>
      </c>
      <c r="Q835">
        <f>(VALUE(LEFT(SUBSTITUTE(O835,"T"," "),23)) - VALUE(LEFT(SUBSTITUTE(N835,"T"," "),23))) * 86400</f>
        <v>248.71600032784045</v>
      </c>
      <c r="R835">
        <f>I835/G835</f>
        <v>0.10561892691170258</v>
      </c>
      <c r="S835">
        <f>H835/G835</f>
        <v>0.57034220532319391</v>
      </c>
    </row>
    <row r="836" spans="1:19" hidden="1" x14ac:dyDescent="0.2">
      <c r="A836">
        <v>1</v>
      </c>
      <c r="B836" t="s">
        <v>2531</v>
      </c>
      <c r="C836">
        <v>-1</v>
      </c>
      <c r="D836">
        <v>1</v>
      </c>
      <c r="E836">
        <v>1010</v>
      </c>
      <c r="F836" t="b">
        <v>1</v>
      </c>
      <c r="G836">
        <v>50.948</v>
      </c>
      <c r="H836">
        <v>29</v>
      </c>
      <c r="I836">
        <v>6</v>
      </c>
      <c r="J836">
        <v>4.0199999999999996</v>
      </c>
      <c r="K836" t="s">
        <v>2652</v>
      </c>
      <c r="L836">
        <v>0</v>
      </c>
      <c r="N836" t="s">
        <v>2653</v>
      </c>
      <c r="O836" t="s">
        <v>2654</v>
      </c>
      <c r="P836" t="s">
        <v>20</v>
      </c>
      <c r="Q836">
        <f>(VALUE(LEFT(SUBSTITUTE(O836,"T"," "),23)) - VALUE(LEFT(SUBSTITUTE(N836,"T"," "),23))) * 86400</f>
        <v>176.43700002226979</v>
      </c>
      <c r="R836">
        <f>I836/G836</f>
        <v>0.11776713511815969</v>
      </c>
      <c r="S836">
        <f>H836/G836</f>
        <v>0.56920781973777179</v>
      </c>
    </row>
    <row r="837" spans="1:19" hidden="1" x14ac:dyDescent="0.2">
      <c r="A837">
        <v>110</v>
      </c>
      <c r="B837" t="s">
        <v>21</v>
      </c>
      <c r="C837">
        <v>-1</v>
      </c>
      <c r="D837">
        <v>5</v>
      </c>
      <c r="E837">
        <v>1026</v>
      </c>
      <c r="F837" t="b">
        <v>1</v>
      </c>
      <c r="G837">
        <v>49.256</v>
      </c>
      <c r="H837">
        <v>28</v>
      </c>
      <c r="I837">
        <v>4</v>
      </c>
      <c r="J837">
        <v>4.8600000000000003</v>
      </c>
      <c r="K837" t="s">
        <v>1724</v>
      </c>
      <c r="L837">
        <v>0</v>
      </c>
      <c r="N837" t="s">
        <v>1725</v>
      </c>
      <c r="O837" t="s">
        <v>1726</v>
      </c>
      <c r="P837" t="s">
        <v>20</v>
      </c>
      <c r="Q837">
        <f>(VALUE(LEFT(SUBSTITUTE(O837,"T"," "),23)) - VALUE(LEFT(SUBSTITUTE(N837,"T"," "),23))) * 86400</f>
        <v>196.06900038197637</v>
      </c>
      <c r="R837">
        <f>I837/G837</f>
        <v>8.1208380704888741E-2</v>
      </c>
      <c r="S837">
        <f>H837/G837</f>
        <v>0.56845866493422126</v>
      </c>
    </row>
    <row r="838" spans="1:19" hidden="1" x14ac:dyDescent="0.2">
      <c r="A838">
        <v>34</v>
      </c>
      <c r="B838" t="s">
        <v>2476</v>
      </c>
      <c r="C838">
        <v>-1</v>
      </c>
      <c r="D838">
        <v>5</v>
      </c>
      <c r="E838">
        <v>1024</v>
      </c>
      <c r="F838" t="b">
        <v>1</v>
      </c>
      <c r="G838">
        <v>49.351999999999997</v>
      </c>
      <c r="H838">
        <v>28</v>
      </c>
      <c r="I838">
        <v>5</v>
      </c>
      <c r="J838">
        <v>3.06</v>
      </c>
      <c r="K838" t="s">
        <v>2871</v>
      </c>
      <c r="L838">
        <v>0</v>
      </c>
      <c r="N838" t="s">
        <v>2872</v>
      </c>
      <c r="O838" t="s">
        <v>2873</v>
      </c>
      <c r="P838" t="s">
        <v>20</v>
      </c>
      <c r="Q838">
        <f>(VALUE(LEFT(SUBSTITUTE(O838,"T"," "),23)) - VALUE(LEFT(SUBSTITUTE(N838,"T"," "),23))) * 86400</f>
        <v>313.15299994312227</v>
      </c>
      <c r="R838">
        <f>I838/G838</f>
        <v>0.10131301669638516</v>
      </c>
      <c r="S838">
        <f>H838/G838</f>
        <v>0.56735289349975693</v>
      </c>
    </row>
    <row r="839" spans="1:19" x14ac:dyDescent="0.2">
      <c r="A839">
        <v>6</v>
      </c>
      <c r="B839" t="s">
        <v>2476</v>
      </c>
      <c r="C839">
        <v>2</v>
      </c>
      <c r="D839">
        <v>1</v>
      </c>
      <c r="E839">
        <v>1010</v>
      </c>
      <c r="F839" t="b">
        <v>1</v>
      </c>
      <c r="G839">
        <v>75.543999999999997</v>
      </c>
      <c r="H839">
        <v>27</v>
      </c>
      <c r="I839">
        <v>2</v>
      </c>
      <c r="J839">
        <v>1.56</v>
      </c>
      <c r="K839" t="s">
        <v>2667</v>
      </c>
      <c r="L839">
        <v>0</v>
      </c>
      <c r="N839" t="s">
        <v>2668</v>
      </c>
      <c r="O839" t="s">
        <v>2669</v>
      </c>
      <c r="P839" t="s">
        <v>20</v>
      </c>
      <c r="Q839">
        <f>(VALUE(LEFT(SUBSTITUTE(O839,"T"," "),23)) - VALUE(LEFT(SUBSTITUTE(N839,"T"," "),23))) * 86400</f>
        <v>400.65599984955043</v>
      </c>
      <c r="R839">
        <f>I839/G839</f>
        <v>2.6474637297469027E-2</v>
      </c>
      <c r="S839">
        <f>H839/G839</f>
        <v>0.35740760351583184</v>
      </c>
    </row>
    <row r="840" spans="1:19" hidden="1" x14ac:dyDescent="0.2">
      <c r="A840">
        <v>3</v>
      </c>
      <c r="B840" t="s">
        <v>2531</v>
      </c>
      <c r="C840">
        <v>0</v>
      </c>
      <c r="D840">
        <v>1</v>
      </c>
      <c r="E840">
        <v>1000</v>
      </c>
      <c r="F840" t="b">
        <v>1</v>
      </c>
      <c r="G840">
        <v>79.891999999999996</v>
      </c>
      <c r="H840">
        <v>24</v>
      </c>
      <c r="I840">
        <v>1</v>
      </c>
      <c r="J840">
        <v>0.3</v>
      </c>
      <c r="K840" t="s">
        <v>2538</v>
      </c>
      <c r="L840">
        <v>0</v>
      </c>
      <c r="N840" t="s">
        <v>2539</v>
      </c>
      <c r="O840" t="s">
        <v>2540</v>
      </c>
      <c r="P840" t="s">
        <v>20</v>
      </c>
      <c r="Q840">
        <f>(VALUE(LEFT(SUBSTITUTE(O840,"T"," "),23)) - VALUE(LEFT(SUBSTITUTE(N840,"T"," "),23))) * 86400</f>
        <v>427.10000057704747</v>
      </c>
      <c r="R840">
        <f>I840/G840</f>
        <v>1.2516897812046263E-2</v>
      </c>
      <c r="S840">
        <f>H840/G840</f>
        <v>0.3004055474891103</v>
      </c>
    </row>
    <row r="841" spans="1:19" hidden="1" x14ac:dyDescent="0.2">
      <c r="A841">
        <v>57</v>
      </c>
      <c r="B841" t="s">
        <v>25</v>
      </c>
      <c r="C841">
        <v>-1</v>
      </c>
      <c r="D841">
        <v>3</v>
      </c>
      <c r="E841">
        <v>1009</v>
      </c>
      <c r="F841" t="b">
        <v>1</v>
      </c>
      <c r="G841">
        <v>47.78</v>
      </c>
      <c r="H841">
        <v>27</v>
      </c>
      <c r="I841">
        <v>8</v>
      </c>
      <c r="J841">
        <v>4.1399999999999997</v>
      </c>
      <c r="K841" t="s">
        <v>1932</v>
      </c>
      <c r="L841">
        <v>0</v>
      </c>
      <c r="N841" t="s">
        <v>1933</v>
      </c>
      <c r="O841" t="s">
        <v>1934</v>
      </c>
      <c r="P841" t="s">
        <v>20</v>
      </c>
      <c r="Q841">
        <f>(VALUE(LEFT(SUBSTITUTE(O841,"T"," "),23)) - VALUE(LEFT(SUBSTITUTE(N841,"T"," "),23))) * 86400</f>
        <v>122.43500025942922</v>
      </c>
      <c r="R841">
        <f>I841/G841</f>
        <v>0.16743407283382167</v>
      </c>
      <c r="S841">
        <f>H841/G841</f>
        <v>0.5650899958141482</v>
      </c>
    </row>
    <row r="842" spans="1:19" x14ac:dyDescent="0.2">
      <c r="A842">
        <v>117</v>
      </c>
      <c r="B842" t="s">
        <v>25</v>
      </c>
      <c r="C842">
        <v>2</v>
      </c>
      <c r="D842">
        <v>5</v>
      </c>
      <c r="E842">
        <v>1006</v>
      </c>
      <c r="F842" t="b">
        <v>1</v>
      </c>
      <c r="G842">
        <v>55.856000000000002</v>
      </c>
      <c r="H842">
        <v>27</v>
      </c>
      <c r="I842">
        <v>5</v>
      </c>
      <c r="J842">
        <v>1.86</v>
      </c>
      <c r="K842" t="s">
        <v>881</v>
      </c>
      <c r="L842">
        <v>0</v>
      </c>
      <c r="N842" t="s">
        <v>882</v>
      </c>
      <c r="O842" t="s">
        <v>883</v>
      </c>
      <c r="P842" t="s">
        <v>20</v>
      </c>
      <c r="Q842">
        <f>(VALUE(LEFT(SUBSTITUTE(O842,"T"," "),23)) - VALUE(LEFT(SUBSTITUTE(N842,"T"," "),23))) * 86400</f>
        <v>304.3430000776425</v>
      </c>
      <c r="R842">
        <f>I842/G842</f>
        <v>8.9515898023488971E-2</v>
      </c>
      <c r="S842">
        <f>H842/G842</f>
        <v>0.48338584932684042</v>
      </c>
    </row>
    <row r="843" spans="1:19" x14ac:dyDescent="0.2">
      <c r="A843">
        <v>37</v>
      </c>
      <c r="B843" t="s">
        <v>2531</v>
      </c>
      <c r="C843">
        <v>2</v>
      </c>
      <c r="D843">
        <v>5</v>
      </c>
      <c r="E843">
        <v>1004</v>
      </c>
      <c r="F843" t="b">
        <v>1</v>
      </c>
      <c r="G843">
        <v>49.207999999999998</v>
      </c>
      <c r="H843">
        <v>24</v>
      </c>
      <c r="I843">
        <v>0</v>
      </c>
      <c r="J843">
        <v>0</v>
      </c>
      <c r="K843" t="s">
        <v>2640</v>
      </c>
      <c r="L843">
        <v>0</v>
      </c>
      <c r="N843" t="s">
        <v>2641</v>
      </c>
      <c r="O843" t="s">
        <v>2642</v>
      </c>
      <c r="P843" t="s">
        <v>20</v>
      </c>
      <c r="Q843">
        <f>(VALUE(LEFT(SUBSTITUTE(O843,"T"," "),23)) - VALUE(LEFT(SUBSTITUTE(N843,"T"," "),23))) * 86400</f>
        <v>299.11599978804588</v>
      </c>
      <c r="R843">
        <f>I843/G843</f>
        <v>0</v>
      </c>
      <c r="S843">
        <f>H843/G843</f>
        <v>0.48772557307754838</v>
      </c>
    </row>
    <row r="844" spans="1:19" hidden="1" x14ac:dyDescent="0.2">
      <c r="A844">
        <v>7</v>
      </c>
      <c r="B844" t="s">
        <v>2531</v>
      </c>
      <c r="C844">
        <v>5</v>
      </c>
      <c r="D844">
        <v>1</v>
      </c>
      <c r="E844">
        <v>1000</v>
      </c>
      <c r="F844" t="b">
        <v>1</v>
      </c>
      <c r="G844">
        <v>79.896000000000001</v>
      </c>
      <c r="H844">
        <v>25</v>
      </c>
      <c r="I844">
        <v>1</v>
      </c>
      <c r="J844">
        <v>0.84</v>
      </c>
      <c r="K844" t="s">
        <v>2550</v>
      </c>
      <c r="L844">
        <v>0</v>
      </c>
      <c r="N844" t="s">
        <v>2551</v>
      </c>
      <c r="O844" t="s">
        <v>2552</v>
      </c>
      <c r="P844" t="s">
        <v>20</v>
      </c>
      <c r="Q844">
        <f>(VALUE(LEFT(SUBSTITUTE(O844,"T"," "),23)) - VALUE(LEFT(SUBSTITUTE(N844,"T"," "),23))) * 86400</f>
        <v>443.0860000429675</v>
      </c>
      <c r="R844">
        <f>I844/G844</f>
        <v>1.2516271152498247E-2</v>
      </c>
      <c r="S844">
        <f>H844/G844</f>
        <v>0.31290677881245621</v>
      </c>
    </row>
    <row r="845" spans="1:19" hidden="1" x14ac:dyDescent="0.2">
      <c r="A845">
        <v>4</v>
      </c>
      <c r="B845" t="s">
        <v>2476</v>
      </c>
      <c r="C845">
        <v>0</v>
      </c>
      <c r="D845">
        <v>1</v>
      </c>
      <c r="E845">
        <v>1010</v>
      </c>
      <c r="F845" t="b">
        <v>1</v>
      </c>
      <c r="G845">
        <v>88.343999999999994</v>
      </c>
      <c r="H845">
        <v>27</v>
      </c>
      <c r="I845">
        <v>2</v>
      </c>
      <c r="J845">
        <v>0.18</v>
      </c>
      <c r="K845" t="s">
        <v>2661</v>
      </c>
      <c r="L845">
        <v>0</v>
      </c>
      <c r="N845" t="s">
        <v>2662</v>
      </c>
      <c r="O845" t="s">
        <v>2663</v>
      </c>
      <c r="P845" t="s">
        <v>20</v>
      </c>
      <c r="Q845">
        <f>(VALUE(LEFT(SUBSTITUTE(O845,"T"," "),23)) - VALUE(LEFT(SUBSTITUTE(N845,"T"," "),23))) * 86400</f>
        <v>467.6580001367256</v>
      </c>
      <c r="R845">
        <f>I845/G845</f>
        <v>2.2638775695010414E-2</v>
      </c>
      <c r="S845">
        <f>H845/G845</f>
        <v>0.30562347188264061</v>
      </c>
    </row>
    <row r="846" spans="1:19" hidden="1" x14ac:dyDescent="0.2">
      <c r="A846">
        <v>41</v>
      </c>
      <c r="B846" t="s">
        <v>3414</v>
      </c>
      <c r="C846">
        <v>-1</v>
      </c>
      <c r="D846">
        <v>5</v>
      </c>
      <c r="E846">
        <v>1004</v>
      </c>
      <c r="F846" t="b">
        <v>1</v>
      </c>
      <c r="G846">
        <v>44.332000000000001</v>
      </c>
      <c r="H846">
        <v>25</v>
      </c>
      <c r="I846">
        <v>3</v>
      </c>
      <c r="J846">
        <v>6.3</v>
      </c>
      <c r="K846" t="s">
        <v>3535</v>
      </c>
      <c r="L846">
        <v>0</v>
      </c>
      <c r="N846" t="s">
        <v>3536</v>
      </c>
      <c r="O846" t="s">
        <v>3537</v>
      </c>
      <c r="P846" t="s">
        <v>20</v>
      </c>
      <c r="Q846">
        <f>(VALUE(LEFT(SUBSTITUTE(O846,"T"," "),23)) - VALUE(LEFT(SUBSTITUTE(N846,"T"," "),23))) * 86400</f>
        <v>208.5459996946156</v>
      </c>
      <c r="R846">
        <f>I846/G846</f>
        <v>6.7671208156636284E-2</v>
      </c>
      <c r="S846">
        <f>H846/G846</f>
        <v>0.56392673463863574</v>
      </c>
    </row>
    <row r="847" spans="1:19" hidden="1" x14ac:dyDescent="0.2">
      <c r="A847">
        <v>8</v>
      </c>
      <c r="B847" t="s">
        <v>2476</v>
      </c>
      <c r="C847">
        <v>5</v>
      </c>
      <c r="D847">
        <v>1</v>
      </c>
      <c r="E847">
        <v>1010</v>
      </c>
      <c r="F847" t="b">
        <v>1</v>
      </c>
      <c r="G847">
        <v>99.816000000000003</v>
      </c>
      <c r="H847">
        <v>26</v>
      </c>
      <c r="I847">
        <v>1</v>
      </c>
      <c r="J847">
        <v>0.06</v>
      </c>
      <c r="K847" t="s">
        <v>2673</v>
      </c>
      <c r="L847">
        <v>0</v>
      </c>
      <c r="N847" t="s">
        <v>2674</v>
      </c>
      <c r="O847" t="s">
        <v>2675</v>
      </c>
      <c r="P847" t="s">
        <v>20</v>
      </c>
      <c r="Q847">
        <f>(VALUE(LEFT(SUBSTITUTE(O847,"T"," "),23)) - VALUE(LEFT(SUBSTITUTE(N847,"T"," "),23))) * 86400</f>
        <v>525.24499981664121</v>
      </c>
      <c r="R847">
        <f>I847/G847</f>
        <v>1.0018433918409874E-2</v>
      </c>
      <c r="S847">
        <f>H847/G847</f>
        <v>0.26047928187865671</v>
      </c>
    </row>
    <row r="848" spans="1:19" hidden="1" x14ac:dyDescent="0.2">
      <c r="A848">
        <v>11</v>
      </c>
      <c r="B848" t="s">
        <v>2531</v>
      </c>
      <c r="C848">
        <v>0</v>
      </c>
      <c r="D848">
        <v>2</v>
      </c>
      <c r="E848">
        <v>1001</v>
      </c>
      <c r="F848" t="b">
        <v>1</v>
      </c>
      <c r="G848">
        <v>73.239999999999995</v>
      </c>
      <c r="H848">
        <v>26</v>
      </c>
      <c r="I848">
        <v>1</v>
      </c>
      <c r="J848">
        <v>0.12</v>
      </c>
      <c r="K848" t="s">
        <v>2562</v>
      </c>
      <c r="L848">
        <v>0</v>
      </c>
      <c r="N848" t="s">
        <v>2563</v>
      </c>
      <c r="O848" t="s">
        <v>2564</v>
      </c>
      <c r="P848" t="s">
        <v>20</v>
      </c>
      <c r="Q848">
        <f>(VALUE(LEFT(SUBSTITUTE(O848,"T"," "),23)) - VALUE(LEFT(SUBSTITUTE(N848,"T"," "),23))) * 86400</f>
        <v>395.64200006425381</v>
      </c>
      <c r="R848">
        <f>I848/G848</f>
        <v>1.365374112506827E-2</v>
      </c>
      <c r="S848">
        <f>H848/G848</f>
        <v>0.35499726925177499</v>
      </c>
    </row>
    <row r="849" spans="1:19" hidden="1" x14ac:dyDescent="0.2">
      <c r="A849">
        <v>56</v>
      </c>
      <c r="B849" t="s">
        <v>21</v>
      </c>
      <c r="C849">
        <v>-1</v>
      </c>
      <c r="D849">
        <v>3</v>
      </c>
      <c r="E849">
        <v>1029</v>
      </c>
      <c r="F849" t="b">
        <v>1</v>
      </c>
      <c r="G849">
        <v>46.636000000000003</v>
      </c>
      <c r="H849">
        <v>26</v>
      </c>
      <c r="I849">
        <v>5</v>
      </c>
      <c r="J849">
        <v>4.8600000000000003</v>
      </c>
      <c r="K849" t="s">
        <v>2398</v>
      </c>
      <c r="L849">
        <v>0</v>
      </c>
      <c r="N849" t="s">
        <v>2399</v>
      </c>
      <c r="O849" t="s">
        <v>2400</v>
      </c>
      <c r="P849" t="s">
        <v>20</v>
      </c>
      <c r="Q849">
        <f>(VALUE(LEFT(SUBSTITUTE(O849,"T"," "),23)) - VALUE(LEFT(SUBSTITUTE(N849,"T"," "),23))) * 86400</f>
        <v>128.38799993041903</v>
      </c>
      <c r="R849">
        <f>I849/G849</f>
        <v>0.10721331160476884</v>
      </c>
      <c r="S849">
        <f>H849/G849</f>
        <v>0.557509220344798</v>
      </c>
    </row>
    <row r="850" spans="1:19" x14ac:dyDescent="0.2">
      <c r="A850">
        <v>21</v>
      </c>
      <c r="B850" t="s">
        <v>2531</v>
      </c>
      <c r="C850">
        <v>2</v>
      </c>
      <c r="D850">
        <v>3</v>
      </c>
      <c r="E850">
        <v>1012</v>
      </c>
      <c r="F850" t="b">
        <v>1</v>
      </c>
      <c r="G850">
        <v>59.387999999999998</v>
      </c>
      <c r="H850">
        <v>29</v>
      </c>
      <c r="I850">
        <v>1</v>
      </c>
      <c r="J850">
        <v>0.12</v>
      </c>
      <c r="K850" t="s">
        <v>2712</v>
      </c>
      <c r="L850">
        <v>0</v>
      </c>
      <c r="N850" t="s">
        <v>2713</v>
      </c>
      <c r="O850" t="s">
        <v>2714</v>
      </c>
      <c r="P850" t="s">
        <v>20</v>
      </c>
      <c r="Q850">
        <f>(VALUE(LEFT(SUBSTITUTE(O850,"T"," "),23)) - VALUE(LEFT(SUBSTITUTE(N850,"T"," "),23))) * 86400</f>
        <v>329.11499971523881</v>
      </c>
      <c r="R850">
        <f>I850/G850</f>
        <v>1.6838418535731123E-2</v>
      </c>
      <c r="S850">
        <f>H850/G850</f>
        <v>0.48831413753620262</v>
      </c>
    </row>
    <row r="851" spans="1:19" x14ac:dyDescent="0.2">
      <c r="A851">
        <v>36</v>
      </c>
      <c r="B851" t="s">
        <v>25</v>
      </c>
      <c r="C851">
        <v>2</v>
      </c>
      <c r="D851">
        <v>2</v>
      </c>
      <c r="E851">
        <v>1023</v>
      </c>
      <c r="F851" t="b">
        <v>1</v>
      </c>
      <c r="G851">
        <v>53.008000000000003</v>
      </c>
      <c r="H851">
        <v>26</v>
      </c>
      <c r="I851">
        <v>1</v>
      </c>
      <c r="J851">
        <v>0.06</v>
      </c>
      <c r="K851" t="s">
        <v>1502</v>
      </c>
      <c r="L851">
        <v>0</v>
      </c>
      <c r="N851" t="s">
        <v>1503</v>
      </c>
      <c r="O851" t="s">
        <v>1504</v>
      </c>
      <c r="P851" t="s">
        <v>20</v>
      </c>
      <c r="Q851">
        <f>(VALUE(LEFT(SUBSTITUTE(O851,"T"," "),23)) - VALUE(LEFT(SUBSTITUTE(N851,"T"," "),23))) * 86400</f>
        <v>281.60599996335804</v>
      </c>
      <c r="R851">
        <f>I851/G851</f>
        <v>1.8865076969514033E-2</v>
      </c>
      <c r="S851">
        <f>H851/G851</f>
        <v>0.49049200120736491</v>
      </c>
    </row>
    <row r="852" spans="1:19" hidden="1" x14ac:dyDescent="0.2">
      <c r="A852">
        <v>15</v>
      </c>
      <c r="B852" t="s">
        <v>2531</v>
      </c>
      <c r="C852">
        <v>5</v>
      </c>
      <c r="D852">
        <v>2</v>
      </c>
      <c r="E852">
        <v>1001</v>
      </c>
      <c r="F852" t="b">
        <v>1</v>
      </c>
      <c r="G852">
        <v>123.34</v>
      </c>
      <c r="H852">
        <v>25</v>
      </c>
      <c r="I852">
        <v>3</v>
      </c>
      <c r="J852">
        <v>1.38</v>
      </c>
      <c r="K852" t="s">
        <v>2574</v>
      </c>
      <c r="L852">
        <v>0</v>
      </c>
      <c r="N852" t="s">
        <v>2575</v>
      </c>
      <c r="O852" t="s">
        <v>2576</v>
      </c>
      <c r="P852" t="s">
        <v>20</v>
      </c>
      <c r="Q852">
        <f>(VALUE(LEFT(SUBSTITUTE(O852,"T"," "),23)) - VALUE(LEFT(SUBSTITUTE(N852,"T"," "),23))) * 86400</f>
        <v>660.54100014735013</v>
      </c>
      <c r="R852">
        <f>I852/G852</f>
        <v>2.4323009567050431E-2</v>
      </c>
      <c r="S852">
        <f>H852/G852</f>
        <v>0.2026917463920869</v>
      </c>
    </row>
    <row r="853" spans="1:19" hidden="1" x14ac:dyDescent="0.2">
      <c r="A853">
        <v>12</v>
      </c>
      <c r="B853" t="s">
        <v>2476</v>
      </c>
      <c r="C853">
        <v>0</v>
      </c>
      <c r="D853">
        <v>2</v>
      </c>
      <c r="E853">
        <v>1011</v>
      </c>
      <c r="F853" t="b">
        <v>1</v>
      </c>
      <c r="G853">
        <v>36.207999999999998</v>
      </c>
      <c r="H853">
        <v>30</v>
      </c>
      <c r="I853">
        <v>2</v>
      </c>
      <c r="J853">
        <v>0.9</v>
      </c>
      <c r="K853" t="s">
        <v>2685</v>
      </c>
      <c r="L853">
        <v>0</v>
      </c>
      <c r="N853" t="s">
        <v>2686</v>
      </c>
      <c r="O853" t="s">
        <v>2687</v>
      </c>
      <c r="P853" t="s">
        <v>20</v>
      </c>
      <c r="Q853">
        <f>(VALUE(LEFT(SUBSTITUTE(O853,"T"," "),23)) - VALUE(LEFT(SUBSTITUTE(N853,"T"," "),23))) * 86400</f>
        <v>197.75100003462285</v>
      </c>
      <c r="R853">
        <f>I853/G853</f>
        <v>5.5236411842686704E-2</v>
      </c>
      <c r="S853">
        <f>H853/G853</f>
        <v>0.82854617764030047</v>
      </c>
    </row>
    <row r="854" spans="1:19" hidden="1" x14ac:dyDescent="0.2">
      <c r="A854" s="1">
        <v>2</v>
      </c>
      <c r="B854" s="1" t="s">
        <v>21</v>
      </c>
      <c r="C854" s="1">
        <v>-1</v>
      </c>
      <c r="D854" s="1">
        <v>1</v>
      </c>
      <c r="E854" s="1">
        <v>1021</v>
      </c>
      <c r="F854" s="1" t="b">
        <v>1</v>
      </c>
      <c r="G854" s="1">
        <v>48.68</v>
      </c>
      <c r="H854" s="1">
        <v>27</v>
      </c>
      <c r="I854" s="1">
        <v>9</v>
      </c>
      <c r="J854" s="1">
        <v>15.96</v>
      </c>
      <c r="K854" s="1" t="s">
        <v>455</v>
      </c>
      <c r="L854" s="1">
        <v>0</v>
      </c>
      <c r="M854" s="1"/>
      <c r="N854" s="1" t="s">
        <v>456</v>
      </c>
      <c r="O854" s="1" t="s">
        <v>457</v>
      </c>
      <c r="P854" s="1" t="s">
        <v>20</v>
      </c>
      <c r="Q854">
        <f>(VALUE(LEFT(SUBSTITUTE(O854,"T"," "),23)) - VALUE(LEFT(SUBSTITUTE(N854,"T"," "),23))) * 86400</f>
        <v>369.52400025911629</v>
      </c>
      <c r="R854">
        <f>I854/G854</f>
        <v>0.18488085456039441</v>
      </c>
      <c r="S854">
        <f>H854/G854</f>
        <v>0.55464256368118325</v>
      </c>
    </row>
    <row r="855" spans="1:19" hidden="1" x14ac:dyDescent="0.2">
      <c r="A855">
        <v>16</v>
      </c>
      <c r="B855" t="s">
        <v>2476</v>
      </c>
      <c r="C855">
        <v>5</v>
      </c>
      <c r="D855">
        <v>2</v>
      </c>
      <c r="E855">
        <v>1011</v>
      </c>
      <c r="F855" t="b">
        <v>1</v>
      </c>
      <c r="G855">
        <v>90.995999999999995</v>
      </c>
      <c r="H855">
        <v>28</v>
      </c>
      <c r="I855">
        <v>3</v>
      </c>
      <c r="J855">
        <v>0.78</v>
      </c>
      <c r="K855" t="s">
        <v>2697</v>
      </c>
      <c r="L855">
        <v>0</v>
      </c>
      <c r="N855" t="s">
        <v>2698</v>
      </c>
      <c r="O855" t="s">
        <v>2699</v>
      </c>
      <c r="P855" t="s">
        <v>20</v>
      </c>
      <c r="Q855">
        <f>(VALUE(LEFT(SUBSTITUTE(O855,"T"," "),23)) - VALUE(LEFT(SUBSTITUTE(N855,"T"," "),23))) * 86400</f>
        <v>486.55699992086738</v>
      </c>
      <c r="R855">
        <f>I855/G855</f>
        <v>3.2968482131082687E-2</v>
      </c>
      <c r="S855">
        <f>H855/G855</f>
        <v>0.30770583322343842</v>
      </c>
    </row>
    <row r="856" spans="1:19" hidden="1" x14ac:dyDescent="0.2">
      <c r="A856">
        <v>19</v>
      </c>
      <c r="B856" t="s">
        <v>2531</v>
      </c>
      <c r="C856">
        <v>0</v>
      </c>
      <c r="D856">
        <v>3</v>
      </c>
      <c r="E856">
        <v>1002</v>
      </c>
      <c r="F856" t="b">
        <v>1</v>
      </c>
      <c r="G856">
        <v>49.372</v>
      </c>
      <c r="H856">
        <v>26</v>
      </c>
      <c r="I856">
        <v>0</v>
      </c>
      <c r="J856">
        <v>0</v>
      </c>
      <c r="K856" t="s">
        <v>2586</v>
      </c>
      <c r="L856">
        <v>0</v>
      </c>
      <c r="N856" t="s">
        <v>2587</v>
      </c>
      <c r="O856" t="s">
        <v>2588</v>
      </c>
      <c r="P856" t="s">
        <v>20</v>
      </c>
      <c r="Q856">
        <f>(VALUE(LEFT(SUBSTITUTE(O856,"T"," "),23)) - VALUE(LEFT(SUBSTITUTE(N856,"T"," "),23))) * 86400</f>
        <v>274.66800010297447</v>
      </c>
      <c r="R856">
        <f>I856/G856</f>
        <v>0</v>
      </c>
      <c r="S856">
        <f>H856/G856</f>
        <v>0.52661427529773963</v>
      </c>
    </row>
    <row r="857" spans="1:19" x14ac:dyDescent="0.2">
      <c r="A857">
        <v>14</v>
      </c>
      <c r="B857" t="s">
        <v>2476</v>
      </c>
      <c r="C857">
        <v>2</v>
      </c>
      <c r="D857">
        <v>2</v>
      </c>
      <c r="E857">
        <v>1011</v>
      </c>
      <c r="F857" t="b">
        <v>1</v>
      </c>
      <c r="G857">
        <v>42.92</v>
      </c>
      <c r="H857">
        <v>27</v>
      </c>
      <c r="I857">
        <v>3</v>
      </c>
      <c r="J857">
        <v>0.84</v>
      </c>
      <c r="K857" t="s">
        <v>2691</v>
      </c>
      <c r="L857">
        <v>0</v>
      </c>
      <c r="N857" t="s">
        <v>2692</v>
      </c>
      <c r="O857" t="s">
        <v>2693</v>
      </c>
      <c r="P857" t="s">
        <v>20</v>
      </c>
      <c r="Q857">
        <f>(VALUE(LEFT(SUBSTITUTE(O857,"T"," "),23)) - VALUE(LEFT(SUBSTITUTE(N857,"T"," "),23))) * 86400</f>
        <v>541.14800021052361</v>
      </c>
      <c r="R857">
        <f>I857/G857</f>
        <v>6.9897483690587139E-2</v>
      </c>
      <c r="S857">
        <f>H857/G857</f>
        <v>0.62907735321528424</v>
      </c>
    </row>
    <row r="858" spans="1:19" hidden="1" x14ac:dyDescent="0.2">
      <c r="A858" s="1">
        <v>3</v>
      </c>
      <c r="B858" s="1" t="s">
        <v>25</v>
      </c>
      <c r="C858" s="1">
        <v>-1</v>
      </c>
      <c r="D858" s="1">
        <v>1</v>
      </c>
      <c r="E858" s="1">
        <v>1001</v>
      </c>
      <c r="F858" s="1" t="b">
        <v>1</v>
      </c>
      <c r="G858" s="1">
        <v>45.2</v>
      </c>
      <c r="H858" s="1">
        <v>25</v>
      </c>
      <c r="I858" s="1">
        <v>4</v>
      </c>
      <c r="J858" s="1">
        <v>5.94</v>
      </c>
      <c r="K858" s="1" t="s">
        <v>296</v>
      </c>
      <c r="L858" s="1">
        <v>0</v>
      </c>
      <c r="M858" s="1"/>
      <c r="N858" s="1" t="s">
        <v>297</v>
      </c>
      <c r="O858" s="1" t="s">
        <v>298</v>
      </c>
      <c r="P858" s="1" t="s">
        <v>20</v>
      </c>
      <c r="Q858">
        <f>(VALUE(LEFT(SUBSTITUTE(O858,"T"," "),23)) - VALUE(LEFT(SUBSTITUTE(N858,"T"," "),23))) * 86400</f>
        <v>202.49499964993447</v>
      </c>
      <c r="R858">
        <f>I858/G858</f>
        <v>8.8495575221238937E-2</v>
      </c>
      <c r="S858">
        <f>H858/G858</f>
        <v>0.55309734513274333</v>
      </c>
    </row>
    <row r="859" spans="1:19" x14ac:dyDescent="0.2">
      <c r="A859">
        <v>90</v>
      </c>
      <c r="B859" t="s">
        <v>25</v>
      </c>
      <c r="C859">
        <v>2</v>
      </c>
      <c r="D859">
        <v>4</v>
      </c>
      <c r="E859">
        <v>1005</v>
      </c>
      <c r="F859" t="b">
        <v>1</v>
      </c>
      <c r="G859">
        <v>48.216000000000001</v>
      </c>
      <c r="H859">
        <v>24</v>
      </c>
      <c r="I859">
        <v>2</v>
      </c>
      <c r="J859">
        <v>0.42</v>
      </c>
      <c r="K859" t="s">
        <v>800</v>
      </c>
      <c r="L859">
        <v>0</v>
      </c>
      <c r="N859" t="s">
        <v>801</v>
      </c>
      <c r="O859" t="s">
        <v>802</v>
      </c>
      <c r="P859" t="s">
        <v>20</v>
      </c>
      <c r="Q859">
        <f>(VALUE(LEFT(SUBSTITUTE(O859,"T"," "),23)) - VALUE(LEFT(SUBSTITUTE(N859,"T"," "),23))) * 86400</f>
        <v>193.59100009314716</v>
      </c>
      <c r="R859">
        <f>I859/G859</f>
        <v>4.1480006636801063E-2</v>
      </c>
      <c r="S859">
        <f>H859/G859</f>
        <v>0.49776007964161273</v>
      </c>
    </row>
    <row r="860" spans="1:19" hidden="1" x14ac:dyDescent="0.2">
      <c r="A860">
        <v>23</v>
      </c>
      <c r="B860" t="s">
        <v>2531</v>
      </c>
      <c r="C860">
        <v>5</v>
      </c>
      <c r="D860">
        <v>3</v>
      </c>
      <c r="E860">
        <v>1002</v>
      </c>
      <c r="F860" t="b">
        <v>1</v>
      </c>
      <c r="G860">
        <v>61.856000000000002</v>
      </c>
      <c r="H860">
        <v>27</v>
      </c>
      <c r="I860">
        <v>1</v>
      </c>
      <c r="J860">
        <v>0.18</v>
      </c>
      <c r="K860" t="s">
        <v>2598</v>
      </c>
      <c r="L860">
        <v>0</v>
      </c>
      <c r="N860" t="s">
        <v>2599</v>
      </c>
      <c r="O860" t="s">
        <v>2600</v>
      </c>
      <c r="P860" t="s">
        <v>20</v>
      </c>
      <c r="Q860">
        <f>(VALUE(LEFT(SUBSTITUTE(O860,"T"," "),23)) - VALUE(LEFT(SUBSTITUTE(N860,"T"," "),23))) * 86400</f>
        <v>303.01899989135563</v>
      </c>
      <c r="R860">
        <f>I860/G860</f>
        <v>1.6166580444904294E-2</v>
      </c>
      <c r="S860">
        <f>H860/G860</f>
        <v>0.4364976720124159</v>
      </c>
    </row>
    <row r="861" spans="1:19" x14ac:dyDescent="0.2">
      <c r="A861">
        <v>22</v>
      </c>
      <c r="B861" t="s">
        <v>2476</v>
      </c>
      <c r="C861">
        <v>2</v>
      </c>
      <c r="D861">
        <v>3</v>
      </c>
      <c r="E861">
        <v>1012</v>
      </c>
      <c r="F861" t="b">
        <v>1</v>
      </c>
      <c r="G861">
        <v>73.796000000000006</v>
      </c>
      <c r="H861">
        <v>25</v>
      </c>
      <c r="I861">
        <v>1</v>
      </c>
      <c r="J861">
        <v>0.06</v>
      </c>
      <c r="K861" t="s">
        <v>2715</v>
      </c>
      <c r="L861">
        <v>0</v>
      </c>
      <c r="N861" t="s">
        <v>2716</v>
      </c>
      <c r="O861" t="s">
        <v>2717</v>
      </c>
      <c r="P861" t="s">
        <v>20</v>
      </c>
      <c r="Q861">
        <f>(VALUE(LEFT(SUBSTITUTE(O861,"T"," "),23)) - VALUE(LEFT(SUBSTITUTE(N861,"T"," "),23))) * 86400</f>
        <v>394.85099965240806</v>
      </c>
      <c r="R861">
        <f>I861/G861</f>
        <v>1.3550869965851807E-2</v>
      </c>
      <c r="S861">
        <f>H861/G861</f>
        <v>0.33877174914629515</v>
      </c>
    </row>
    <row r="862" spans="1:19" hidden="1" x14ac:dyDescent="0.2">
      <c r="A862">
        <v>29</v>
      </c>
      <c r="B862" t="s">
        <v>21</v>
      </c>
      <c r="C862">
        <v>-1</v>
      </c>
      <c r="D862">
        <v>2</v>
      </c>
      <c r="E862">
        <v>1028</v>
      </c>
      <c r="F862" t="b">
        <v>1</v>
      </c>
      <c r="G862">
        <v>54.375999999999998</v>
      </c>
      <c r="H862">
        <v>30</v>
      </c>
      <c r="I862">
        <v>6</v>
      </c>
      <c r="J862">
        <v>5.28</v>
      </c>
      <c r="K862" t="s">
        <v>2318</v>
      </c>
      <c r="L862">
        <v>0</v>
      </c>
      <c r="N862" t="s">
        <v>2319</v>
      </c>
      <c r="O862" t="s">
        <v>2320</v>
      </c>
      <c r="P862" t="s">
        <v>20</v>
      </c>
      <c r="Q862">
        <f>(VALUE(LEFT(SUBSTITUTE(O862,"T"," "),23)) - VALUE(LEFT(SUBSTITUTE(N862,"T"," "),23))) * 86400</f>
        <v>121.62100032437593</v>
      </c>
      <c r="R862">
        <f>I862/G862</f>
        <v>0.11034279829336473</v>
      </c>
      <c r="S862">
        <f>H862/G862</f>
        <v>0.55171399146682365</v>
      </c>
    </row>
    <row r="863" spans="1:19" hidden="1" x14ac:dyDescent="0.2">
      <c r="A863">
        <v>31</v>
      </c>
      <c r="B863" t="s">
        <v>3414</v>
      </c>
      <c r="C863">
        <v>-1</v>
      </c>
      <c r="D863">
        <v>4</v>
      </c>
      <c r="E863">
        <v>1023</v>
      </c>
      <c r="F863" t="b">
        <v>1</v>
      </c>
      <c r="G863">
        <v>49.183999999999997</v>
      </c>
      <c r="H863">
        <v>27</v>
      </c>
      <c r="I863">
        <v>7</v>
      </c>
      <c r="J863">
        <v>7.8</v>
      </c>
      <c r="K863" t="s">
        <v>3772</v>
      </c>
      <c r="L863">
        <v>0</v>
      </c>
      <c r="N863" t="s">
        <v>3773</v>
      </c>
      <c r="O863" t="s">
        <v>3774</v>
      </c>
      <c r="P863" t="s">
        <v>20</v>
      </c>
      <c r="Q863">
        <f>(VALUE(LEFT(SUBSTITUTE(O863,"T"," "),23)) - VALUE(LEFT(SUBSTITUTE(N863,"T"," "),23))) * 86400</f>
        <v>217.06400003749877</v>
      </c>
      <c r="R863">
        <f>I863/G863</f>
        <v>0.14232270657124269</v>
      </c>
      <c r="S863">
        <f>H863/G863</f>
        <v>0.54895901106050748</v>
      </c>
    </row>
    <row r="864" spans="1:19" hidden="1" x14ac:dyDescent="0.2">
      <c r="A864">
        <v>27</v>
      </c>
      <c r="B864" t="s">
        <v>2531</v>
      </c>
      <c r="C864">
        <v>0</v>
      </c>
      <c r="D864">
        <v>4</v>
      </c>
      <c r="E864">
        <v>1003</v>
      </c>
      <c r="F864" t="b">
        <v>1</v>
      </c>
      <c r="G864">
        <v>73.055999999999997</v>
      </c>
      <c r="H864">
        <v>28</v>
      </c>
      <c r="I864">
        <v>3</v>
      </c>
      <c r="J864">
        <v>0.9</v>
      </c>
      <c r="K864" t="s">
        <v>2610</v>
      </c>
      <c r="L864">
        <v>0</v>
      </c>
      <c r="N864" t="s">
        <v>2611</v>
      </c>
      <c r="O864" t="s">
        <v>2612</v>
      </c>
      <c r="P864" t="s">
        <v>20</v>
      </c>
      <c r="Q864">
        <f>(VALUE(LEFT(SUBSTITUTE(O864,"T"," "),23)) - VALUE(LEFT(SUBSTITUTE(N864,"T"," "),23))) * 86400</f>
        <v>549.98699999414384</v>
      </c>
      <c r="R864">
        <f>I864/G864</f>
        <v>4.1064388961892247E-2</v>
      </c>
      <c r="S864">
        <f>H864/G864</f>
        <v>0.38326763031099431</v>
      </c>
    </row>
    <row r="865" spans="1:19" hidden="1" x14ac:dyDescent="0.2">
      <c r="A865">
        <v>20</v>
      </c>
      <c r="B865" t="s">
        <v>2476</v>
      </c>
      <c r="C865">
        <v>0</v>
      </c>
      <c r="D865">
        <v>3</v>
      </c>
      <c r="E865">
        <v>1012</v>
      </c>
      <c r="F865" t="b">
        <v>1</v>
      </c>
      <c r="G865">
        <v>93.724000000000004</v>
      </c>
      <c r="H865">
        <v>26</v>
      </c>
      <c r="I865">
        <v>3</v>
      </c>
      <c r="J865">
        <v>0.6</v>
      </c>
      <c r="K865" t="s">
        <v>2709</v>
      </c>
      <c r="L865">
        <v>0</v>
      </c>
      <c r="N865" t="s">
        <v>2710</v>
      </c>
      <c r="O865" t="s">
        <v>2711</v>
      </c>
      <c r="P865" t="s">
        <v>20</v>
      </c>
      <c r="Q865">
        <f>(VALUE(LEFT(SUBSTITUTE(O865,"T"," "),23)) - VALUE(LEFT(SUBSTITUTE(N865,"T"," "),23))) * 86400</f>
        <v>508.6600000038743</v>
      </c>
      <c r="R865">
        <f>I865/G865</f>
        <v>3.2008877128590331E-2</v>
      </c>
      <c r="S865">
        <f>H865/G865</f>
        <v>0.27741026844778283</v>
      </c>
    </row>
    <row r="866" spans="1:19" hidden="1" x14ac:dyDescent="0.2">
      <c r="A866">
        <v>17</v>
      </c>
      <c r="B866" t="s">
        <v>2531</v>
      </c>
      <c r="C866">
        <v>-1</v>
      </c>
      <c r="D866">
        <v>3</v>
      </c>
      <c r="E866">
        <v>1012</v>
      </c>
      <c r="F866" t="b">
        <v>1</v>
      </c>
      <c r="G866">
        <v>53.231999999999999</v>
      </c>
      <c r="H866">
        <v>29</v>
      </c>
      <c r="I866">
        <v>7</v>
      </c>
      <c r="J866">
        <v>7.2</v>
      </c>
      <c r="K866" t="s">
        <v>2700</v>
      </c>
      <c r="L866">
        <v>0</v>
      </c>
      <c r="N866" t="s">
        <v>2701</v>
      </c>
      <c r="O866" t="s">
        <v>2702</v>
      </c>
      <c r="P866" t="s">
        <v>20</v>
      </c>
      <c r="Q866">
        <f>(VALUE(LEFT(SUBSTITUTE(O866,"T"," "),23)) - VALUE(LEFT(SUBSTITUTE(N866,"T"," "),23))) * 86400</f>
        <v>329.4910003663972</v>
      </c>
      <c r="R866">
        <f>I866/G866</f>
        <v>0.13149984971445747</v>
      </c>
      <c r="S866">
        <f>H866/G866</f>
        <v>0.54478509167418099</v>
      </c>
    </row>
    <row r="867" spans="1:19" x14ac:dyDescent="0.2">
      <c r="A867">
        <v>21</v>
      </c>
      <c r="B867" t="s">
        <v>2531</v>
      </c>
      <c r="C867">
        <v>2</v>
      </c>
      <c r="D867">
        <v>3</v>
      </c>
      <c r="E867">
        <v>1002</v>
      </c>
      <c r="F867" t="b">
        <v>1</v>
      </c>
      <c r="G867">
        <v>54.164000000000001</v>
      </c>
      <c r="H867">
        <v>27</v>
      </c>
      <c r="I867">
        <v>0</v>
      </c>
      <c r="J867">
        <v>0</v>
      </c>
      <c r="K867" t="s">
        <v>2592</v>
      </c>
      <c r="L867">
        <v>0</v>
      </c>
      <c r="N867" t="s">
        <v>2593</v>
      </c>
      <c r="O867" t="s">
        <v>2594</v>
      </c>
      <c r="P867" t="s">
        <v>20</v>
      </c>
      <c r="Q867">
        <f>(VALUE(LEFT(SUBSTITUTE(O867,"T"," "),23)) - VALUE(LEFT(SUBSTITUTE(N867,"T"," "),23))) * 86400</f>
        <v>305.31500056385994</v>
      </c>
      <c r="R867">
        <f>I867/G867</f>
        <v>0</v>
      </c>
      <c r="S867">
        <f>H867/G867</f>
        <v>0.49848607931467392</v>
      </c>
    </row>
    <row r="868" spans="1:19" hidden="1" x14ac:dyDescent="0.2">
      <c r="A868">
        <v>31</v>
      </c>
      <c r="B868" t="s">
        <v>2531</v>
      </c>
      <c r="C868">
        <v>5</v>
      </c>
      <c r="D868">
        <v>4</v>
      </c>
      <c r="E868">
        <v>1003</v>
      </c>
      <c r="F868" t="b">
        <v>1</v>
      </c>
      <c r="G868">
        <v>59.4</v>
      </c>
      <c r="H868">
        <v>28</v>
      </c>
      <c r="I868">
        <v>1</v>
      </c>
      <c r="J868">
        <v>0.06</v>
      </c>
      <c r="K868" t="s">
        <v>2622</v>
      </c>
      <c r="L868">
        <v>0</v>
      </c>
      <c r="N868" t="s">
        <v>2623</v>
      </c>
      <c r="O868" t="s">
        <v>2624</v>
      </c>
      <c r="P868" t="s">
        <v>20</v>
      </c>
      <c r="Q868">
        <f>(VALUE(LEFT(SUBSTITUTE(O868,"T"," "),23)) - VALUE(LEFT(SUBSTITUTE(N868,"T"," "),23))) * 86400</f>
        <v>265.90500008314848</v>
      </c>
      <c r="R868">
        <f>I868/G868</f>
        <v>1.6835016835016835E-2</v>
      </c>
      <c r="S868">
        <f>H868/G868</f>
        <v>0.4713804713804714</v>
      </c>
    </row>
    <row r="869" spans="1:19" hidden="1" x14ac:dyDescent="0.2">
      <c r="A869">
        <v>24</v>
      </c>
      <c r="B869" t="s">
        <v>2476</v>
      </c>
      <c r="C869">
        <v>5</v>
      </c>
      <c r="D869">
        <v>3</v>
      </c>
      <c r="E869">
        <v>1012</v>
      </c>
      <c r="F869" t="b">
        <v>1</v>
      </c>
      <c r="G869">
        <v>48.531999999999996</v>
      </c>
      <c r="H869">
        <v>27</v>
      </c>
      <c r="I869">
        <v>1</v>
      </c>
      <c r="J869">
        <v>0.48</v>
      </c>
      <c r="K869" t="s">
        <v>2721</v>
      </c>
      <c r="L869">
        <v>0</v>
      </c>
      <c r="N869" t="s">
        <v>2722</v>
      </c>
      <c r="O869" t="s">
        <v>2723</v>
      </c>
      <c r="P869" t="s">
        <v>20</v>
      </c>
      <c r="Q869">
        <f>(VALUE(LEFT(SUBSTITUTE(O869,"T"," "),23)) - VALUE(LEFT(SUBSTITUTE(N869,"T"," "),23))) * 86400</f>
        <v>267.38499985076487</v>
      </c>
      <c r="R869">
        <f>I869/G869</f>
        <v>2.0604961674771285E-2</v>
      </c>
      <c r="S869">
        <f>H869/G869</f>
        <v>0.55633396521882472</v>
      </c>
    </row>
    <row r="870" spans="1:19" hidden="1" x14ac:dyDescent="0.2">
      <c r="A870">
        <v>34</v>
      </c>
      <c r="B870" t="s">
        <v>2476</v>
      </c>
      <c r="C870">
        <v>-1</v>
      </c>
      <c r="D870">
        <v>5</v>
      </c>
      <c r="E870">
        <v>1004</v>
      </c>
      <c r="F870" t="b">
        <v>1</v>
      </c>
      <c r="G870">
        <v>49.712000000000003</v>
      </c>
      <c r="H870">
        <v>27</v>
      </c>
      <c r="I870">
        <v>5</v>
      </c>
      <c r="J870">
        <v>3.06</v>
      </c>
      <c r="K870" t="s">
        <v>2631</v>
      </c>
      <c r="L870">
        <v>0</v>
      </c>
      <c r="N870" t="s">
        <v>2632</v>
      </c>
      <c r="O870" t="s">
        <v>2633</v>
      </c>
      <c r="P870" t="s">
        <v>20</v>
      </c>
      <c r="Q870">
        <f>(VALUE(LEFT(SUBSTITUTE(O870,"T"," "),23)) - VALUE(LEFT(SUBSTITUTE(N870,"T"," "),23))) * 86400</f>
        <v>211.5850001340732</v>
      </c>
      <c r="R870">
        <f>I870/G870</f>
        <v>0.10057933698101061</v>
      </c>
      <c r="S870">
        <f>H870/G870</f>
        <v>0.54312841969745729</v>
      </c>
    </row>
    <row r="871" spans="1:19" hidden="1" x14ac:dyDescent="0.2">
      <c r="A871">
        <v>137</v>
      </c>
      <c r="B871" t="s">
        <v>21</v>
      </c>
      <c r="C871">
        <v>-1</v>
      </c>
      <c r="D871">
        <v>6</v>
      </c>
      <c r="E871">
        <v>1007</v>
      </c>
      <c r="F871" t="b">
        <v>1</v>
      </c>
      <c r="G871">
        <v>49.795999999999999</v>
      </c>
      <c r="H871">
        <v>27</v>
      </c>
      <c r="I871">
        <v>1</v>
      </c>
      <c r="J871">
        <v>0.48</v>
      </c>
      <c r="K871" t="s">
        <v>941</v>
      </c>
      <c r="L871">
        <v>0</v>
      </c>
      <c r="N871" t="s">
        <v>942</v>
      </c>
      <c r="O871" t="s">
        <v>943</v>
      </c>
      <c r="P871" t="s">
        <v>20</v>
      </c>
      <c r="Q871">
        <f>(VALUE(LEFT(SUBSTITUTE(O871,"T"," "),23)) - VALUE(LEFT(SUBSTITUTE(N871,"T"," "),23))) * 86400</f>
        <v>188.78800047095865</v>
      </c>
      <c r="R871">
        <f>I871/G871</f>
        <v>2.0081934291910998E-2</v>
      </c>
      <c r="S871">
        <f>H871/G871</f>
        <v>0.5422122258815969</v>
      </c>
    </row>
    <row r="872" spans="1:19" hidden="1" x14ac:dyDescent="0.2">
      <c r="A872">
        <v>35</v>
      </c>
      <c r="B872" t="s">
        <v>2531</v>
      </c>
      <c r="C872">
        <v>0</v>
      </c>
      <c r="D872">
        <v>5</v>
      </c>
      <c r="E872">
        <v>1004</v>
      </c>
      <c r="F872" t="b">
        <v>1</v>
      </c>
      <c r="G872">
        <v>82.04</v>
      </c>
      <c r="H872">
        <v>27</v>
      </c>
      <c r="I872">
        <v>1</v>
      </c>
      <c r="J872">
        <v>0.24</v>
      </c>
      <c r="K872" t="s">
        <v>2634</v>
      </c>
      <c r="L872">
        <v>0</v>
      </c>
      <c r="N872" t="s">
        <v>2635</v>
      </c>
      <c r="O872" t="s">
        <v>2636</v>
      </c>
      <c r="P872" t="s">
        <v>20</v>
      </c>
      <c r="Q872">
        <f>(VALUE(LEFT(SUBSTITUTE(O872,"T"," "),23)) - VALUE(LEFT(SUBSTITUTE(N872,"T"," "),23))) * 86400</f>
        <v>429.58199966233224</v>
      </c>
      <c r="R872">
        <f>I872/G872</f>
        <v>1.2189176011701608E-2</v>
      </c>
      <c r="S872">
        <f>H872/G872</f>
        <v>0.32910775231594341</v>
      </c>
    </row>
    <row r="873" spans="1:19" hidden="1" x14ac:dyDescent="0.2">
      <c r="A873">
        <v>28</v>
      </c>
      <c r="B873" t="s">
        <v>2476</v>
      </c>
      <c r="C873">
        <v>0</v>
      </c>
      <c r="D873">
        <v>4</v>
      </c>
      <c r="E873">
        <v>1013</v>
      </c>
      <c r="F873" t="b">
        <v>1</v>
      </c>
      <c r="G873">
        <v>65.296000000000006</v>
      </c>
      <c r="H873">
        <v>20</v>
      </c>
      <c r="I873">
        <v>1</v>
      </c>
      <c r="J873">
        <v>0.06</v>
      </c>
      <c r="K873" t="s">
        <v>2733</v>
      </c>
      <c r="L873">
        <v>0</v>
      </c>
      <c r="N873" t="s">
        <v>2734</v>
      </c>
      <c r="O873" t="s">
        <v>2735</v>
      </c>
      <c r="P873" t="s">
        <v>20</v>
      </c>
      <c r="Q873">
        <f>(VALUE(LEFT(SUBSTITUTE(O873,"T"," "),23)) - VALUE(LEFT(SUBSTITUTE(N873,"T"," "),23))) * 86400</f>
        <v>351.2109998613596</v>
      </c>
      <c r="R873">
        <f>I873/G873</f>
        <v>1.5314873805439841E-2</v>
      </c>
      <c r="S873">
        <f>H873/G873</f>
        <v>0.30629747610879682</v>
      </c>
    </row>
    <row r="874" spans="1:19" x14ac:dyDescent="0.2">
      <c r="A874">
        <v>88</v>
      </c>
      <c r="B874" t="s">
        <v>16</v>
      </c>
      <c r="C874">
        <v>2</v>
      </c>
      <c r="D874">
        <v>4</v>
      </c>
      <c r="E874">
        <v>1005</v>
      </c>
      <c r="F874" t="b">
        <v>1</v>
      </c>
      <c r="G874">
        <v>53.332000000000001</v>
      </c>
      <c r="H874">
        <v>27</v>
      </c>
      <c r="I874">
        <v>1</v>
      </c>
      <c r="J874">
        <v>0.36</v>
      </c>
      <c r="K874" t="s">
        <v>794</v>
      </c>
      <c r="L874">
        <v>0</v>
      </c>
      <c r="N874" t="s">
        <v>795</v>
      </c>
      <c r="O874" t="s">
        <v>796</v>
      </c>
      <c r="P874" t="s">
        <v>20</v>
      </c>
      <c r="Q874">
        <f>(VALUE(LEFT(SUBSTITUTE(O874,"T"," "),23)) - VALUE(LEFT(SUBSTITUTE(N874,"T"," "),23))) * 86400</f>
        <v>223.52100019343197</v>
      </c>
      <c r="R874">
        <f>I874/G874</f>
        <v>1.8750468761719041E-2</v>
      </c>
      <c r="S874">
        <f>H874/G874</f>
        <v>0.50626265656641412</v>
      </c>
    </row>
    <row r="875" spans="1:19" x14ac:dyDescent="0.2">
      <c r="A875">
        <v>62</v>
      </c>
      <c r="B875" t="s">
        <v>21</v>
      </c>
      <c r="C875">
        <v>2</v>
      </c>
      <c r="D875">
        <v>3</v>
      </c>
      <c r="E875">
        <v>1009</v>
      </c>
      <c r="F875" t="b">
        <v>1</v>
      </c>
      <c r="G875">
        <v>47.28</v>
      </c>
      <c r="H875">
        <v>24</v>
      </c>
      <c r="I875">
        <v>1</v>
      </c>
      <c r="J875">
        <v>0.48</v>
      </c>
      <c r="K875" t="s">
        <v>1947</v>
      </c>
      <c r="L875">
        <v>0</v>
      </c>
      <c r="N875" t="s">
        <v>1948</v>
      </c>
      <c r="O875" t="s">
        <v>1949</v>
      </c>
      <c r="P875" t="s">
        <v>20</v>
      </c>
      <c r="Q875">
        <f>(VALUE(LEFT(SUBSTITUTE(O875,"T"," "),23)) - VALUE(LEFT(SUBSTITUTE(N875,"T"," "),23))) * 86400</f>
        <v>123.41000000014901</v>
      </c>
      <c r="R875">
        <f>I875/G875</f>
        <v>2.1150592216582064E-2</v>
      </c>
      <c r="S875">
        <f>H875/G875</f>
        <v>0.50761421319796951</v>
      </c>
    </row>
    <row r="876" spans="1:19" hidden="1" x14ac:dyDescent="0.2">
      <c r="A876">
        <v>39</v>
      </c>
      <c r="B876" t="s">
        <v>2531</v>
      </c>
      <c r="C876">
        <v>5</v>
      </c>
      <c r="D876">
        <v>5</v>
      </c>
      <c r="E876">
        <v>1004</v>
      </c>
      <c r="F876" t="b">
        <v>1</v>
      </c>
      <c r="G876">
        <v>63.351999999999997</v>
      </c>
      <c r="H876">
        <v>26</v>
      </c>
      <c r="I876">
        <v>1</v>
      </c>
      <c r="J876">
        <v>1.02</v>
      </c>
      <c r="K876" t="s">
        <v>2646</v>
      </c>
      <c r="L876">
        <v>0</v>
      </c>
      <c r="N876" t="s">
        <v>2647</v>
      </c>
      <c r="O876" t="s">
        <v>2648</v>
      </c>
      <c r="P876" t="s">
        <v>20</v>
      </c>
      <c r="Q876">
        <f>(VALUE(LEFT(SUBSTITUTE(O876,"T"," "),23)) - VALUE(LEFT(SUBSTITUTE(N876,"T"," "),23))) * 86400</f>
        <v>206.86999980825931</v>
      </c>
      <c r="R876">
        <f>I876/G876</f>
        <v>1.5784821315822706E-2</v>
      </c>
      <c r="S876">
        <f>H876/G876</f>
        <v>0.41040535421139035</v>
      </c>
    </row>
    <row r="877" spans="1:19" hidden="1" x14ac:dyDescent="0.2">
      <c r="A877">
        <v>32</v>
      </c>
      <c r="B877" t="s">
        <v>2476</v>
      </c>
      <c r="C877">
        <v>5</v>
      </c>
      <c r="D877">
        <v>4</v>
      </c>
      <c r="E877">
        <v>1013</v>
      </c>
      <c r="F877" t="b">
        <v>1</v>
      </c>
      <c r="G877">
        <v>64.087999999999994</v>
      </c>
      <c r="H877">
        <v>23</v>
      </c>
      <c r="I877">
        <v>4</v>
      </c>
      <c r="J877">
        <v>1.86</v>
      </c>
      <c r="K877" t="s">
        <v>2745</v>
      </c>
      <c r="L877">
        <v>0</v>
      </c>
      <c r="N877" t="s">
        <v>2746</v>
      </c>
      <c r="O877" t="s">
        <v>2747</v>
      </c>
      <c r="P877" t="s">
        <v>20</v>
      </c>
      <c r="Q877">
        <f>(VALUE(LEFT(SUBSTITUTE(O877,"T"," "),23)) - VALUE(LEFT(SUBSTITUTE(N877,"T"," "),23))) * 86400</f>
        <v>335.20599966868758</v>
      </c>
      <c r="R877">
        <f>I877/G877</f>
        <v>6.2414180501810017E-2</v>
      </c>
      <c r="S877">
        <f>H877/G877</f>
        <v>0.35888153788540761</v>
      </c>
    </row>
    <row r="878" spans="1:19" hidden="1" x14ac:dyDescent="0.2">
      <c r="A878">
        <v>56</v>
      </c>
      <c r="B878" t="s">
        <v>21</v>
      </c>
      <c r="C878">
        <v>-1</v>
      </c>
      <c r="D878">
        <v>3</v>
      </c>
      <c r="E878">
        <v>1009</v>
      </c>
      <c r="F878" t="b">
        <v>1</v>
      </c>
      <c r="G878">
        <v>48.34</v>
      </c>
      <c r="H878">
        <v>26</v>
      </c>
      <c r="I878">
        <v>7</v>
      </c>
      <c r="J878">
        <v>5.4</v>
      </c>
      <c r="K878" t="s">
        <v>1929</v>
      </c>
      <c r="L878">
        <v>0</v>
      </c>
      <c r="N878" t="s">
        <v>1930</v>
      </c>
      <c r="O878" t="s">
        <v>1931</v>
      </c>
      <c r="P878" t="s">
        <v>20</v>
      </c>
      <c r="Q878">
        <f>(VALUE(LEFT(SUBSTITUTE(O878,"T"," "),23)) - VALUE(LEFT(SUBSTITUTE(N878,"T"," "),23))) * 86400</f>
        <v>120.20800004247576</v>
      </c>
      <c r="R878">
        <f>I878/G878</f>
        <v>0.14480761274306991</v>
      </c>
      <c r="S878">
        <f>H878/G878</f>
        <v>0.53785684733140249</v>
      </c>
    </row>
    <row r="879" spans="1:19" x14ac:dyDescent="0.2">
      <c r="A879">
        <v>30</v>
      </c>
      <c r="B879" t="s">
        <v>2476</v>
      </c>
      <c r="C879">
        <v>2</v>
      </c>
      <c r="D879">
        <v>4</v>
      </c>
      <c r="E879">
        <v>1013</v>
      </c>
      <c r="F879" t="b">
        <v>1</v>
      </c>
      <c r="G879">
        <v>44.2</v>
      </c>
      <c r="H879">
        <v>25</v>
      </c>
      <c r="I879">
        <v>0</v>
      </c>
      <c r="J879">
        <v>0</v>
      </c>
      <c r="K879" t="s">
        <v>2739</v>
      </c>
      <c r="L879">
        <v>0</v>
      </c>
      <c r="N879" t="s">
        <v>2740</v>
      </c>
      <c r="O879" t="s">
        <v>2741</v>
      </c>
      <c r="P879" t="s">
        <v>20</v>
      </c>
      <c r="Q879">
        <f>(VALUE(LEFT(SUBSTITUTE(O879,"T"," "),23)) - VALUE(LEFT(SUBSTITUTE(N879,"T"," "),23))) * 86400</f>
        <v>273.56099984608591</v>
      </c>
      <c r="R879">
        <f>I879/G879</f>
        <v>0</v>
      </c>
      <c r="S879">
        <f>H879/G879</f>
        <v>0.56561085972850678</v>
      </c>
    </row>
    <row r="880" spans="1:19" hidden="1" x14ac:dyDescent="0.2">
      <c r="A880">
        <v>3</v>
      </c>
      <c r="B880" t="s">
        <v>2531</v>
      </c>
      <c r="C880">
        <v>0</v>
      </c>
      <c r="D880">
        <v>1</v>
      </c>
      <c r="E880">
        <v>1010</v>
      </c>
      <c r="F880" t="b">
        <v>1</v>
      </c>
      <c r="G880">
        <v>76.016000000000005</v>
      </c>
      <c r="H880">
        <v>25</v>
      </c>
      <c r="I880">
        <v>0</v>
      </c>
      <c r="J880">
        <v>0</v>
      </c>
      <c r="K880" t="s">
        <v>2658</v>
      </c>
      <c r="L880">
        <v>0</v>
      </c>
      <c r="N880" t="s">
        <v>2659</v>
      </c>
      <c r="O880" t="s">
        <v>2660</v>
      </c>
      <c r="P880" t="s">
        <v>20</v>
      </c>
      <c r="Q880">
        <f>(VALUE(LEFT(SUBSTITUTE(O880,"T"," "),23)) - VALUE(LEFT(SUBSTITUTE(N880,"T"," "),23))) * 86400</f>
        <v>337.80799973756075</v>
      </c>
      <c r="R880">
        <f>I880/G880</f>
        <v>0</v>
      </c>
      <c r="S880">
        <f>H880/G880</f>
        <v>0.32887813091980633</v>
      </c>
    </row>
    <row r="881" spans="1:19" x14ac:dyDescent="0.2">
      <c r="A881">
        <v>38</v>
      </c>
      <c r="B881" t="s">
        <v>2476</v>
      </c>
      <c r="C881">
        <v>2</v>
      </c>
      <c r="D881">
        <v>5</v>
      </c>
      <c r="E881">
        <v>1014</v>
      </c>
      <c r="F881" t="b">
        <v>1</v>
      </c>
      <c r="G881">
        <v>97.108000000000004</v>
      </c>
      <c r="H881">
        <v>29</v>
      </c>
      <c r="I881">
        <v>2</v>
      </c>
      <c r="J881">
        <v>0.72</v>
      </c>
      <c r="K881" t="s">
        <v>2763</v>
      </c>
      <c r="L881">
        <v>0</v>
      </c>
      <c r="N881" t="s">
        <v>2764</v>
      </c>
      <c r="O881" t="s">
        <v>2765</v>
      </c>
      <c r="P881" t="s">
        <v>20</v>
      </c>
      <c r="Q881">
        <f>(VALUE(LEFT(SUBSTITUTE(O881,"T"," "),23)) - VALUE(LEFT(SUBSTITUTE(N881,"T"," "),23))) * 86400</f>
        <v>469.24099987372756</v>
      </c>
      <c r="R881">
        <f>I881/G881</f>
        <v>2.0595625489146105E-2</v>
      </c>
      <c r="S881">
        <f>H881/G881</f>
        <v>0.29863656959261853</v>
      </c>
    </row>
    <row r="882" spans="1:19" x14ac:dyDescent="0.2">
      <c r="A882">
        <v>35</v>
      </c>
      <c r="B882" t="s">
        <v>21</v>
      </c>
      <c r="C882">
        <v>2</v>
      </c>
      <c r="D882">
        <v>2</v>
      </c>
      <c r="E882">
        <v>1018</v>
      </c>
      <c r="F882" t="b">
        <v>1</v>
      </c>
      <c r="G882">
        <v>47.271999999999998</v>
      </c>
      <c r="H882">
        <v>24</v>
      </c>
      <c r="I882">
        <v>2</v>
      </c>
      <c r="J882">
        <v>0.96</v>
      </c>
      <c r="K882" t="s">
        <v>2093</v>
      </c>
      <c r="L882">
        <v>0</v>
      </c>
      <c r="N882" t="s">
        <v>2094</v>
      </c>
      <c r="O882" t="s">
        <v>2095</v>
      </c>
      <c r="P882" t="s">
        <v>20</v>
      </c>
      <c r="Q882">
        <f>(VALUE(LEFT(SUBSTITUTE(O882,"T"," "),23)) - VALUE(LEFT(SUBSTITUTE(N882,"T"," "),23))) * 86400</f>
        <v>171.3629994308576</v>
      </c>
      <c r="R882">
        <f>I882/G882</f>
        <v>4.2308343205280083E-2</v>
      </c>
      <c r="S882">
        <f>H882/G882</f>
        <v>0.50770011846336094</v>
      </c>
    </row>
    <row r="883" spans="1:19" x14ac:dyDescent="0.2">
      <c r="A883">
        <v>62</v>
      </c>
      <c r="B883" t="s">
        <v>21</v>
      </c>
      <c r="C883">
        <v>2</v>
      </c>
      <c r="D883">
        <v>3</v>
      </c>
      <c r="E883">
        <v>1029</v>
      </c>
      <c r="F883" t="b">
        <v>1</v>
      </c>
      <c r="G883">
        <v>47.183999999999997</v>
      </c>
      <c r="H883">
        <v>24</v>
      </c>
      <c r="I883">
        <v>2</v>
      </c>
      <c r="J883">
        <v>1.74</v>
      </c>
      <c r="K883" t="s">
        <v>2416</v>
      </c>
      <c r="L883">
        <v>0</v>
      </c>
      <c r="N883" t="s">
        <v>2417</v>
      </c>
      <c r="O883" t="s">
        <v>2418</v>
      </c>
      <c r="P883" t="s">
        <v>20</v>
      </c>
      <c r="Q883">
        <f>(VALUE(LEFT(SUBSTITUTE(O883,"T"," "),23)) - VALUE(LEFT(SUBSTITUTE(N883,"T"," "),23))) * 86400</f>
        <v>139.69099950045347</v>
      </c>
      <c r="R883">
        <f>I883/G883</f>
        <v>4.2387249915225501E-2</v>
      </c>
      <c r="S883">
        <f>H883/G883</f>
        <v>0.50864699898270604</v>
      </c>
    </row>
    <row r="884" spans="1:19" hidden="1" x14ac:dyDescent="0.2">
      <c r="A884">
        <v>7</v>
      </c>
      <c r="B884" t="s">
        <v>2531</v>
      </c>
      <c r="C884">
        <v>5</v>
      </c>
      <c r="D884">
        <v>1</v>
      </c>
      <c r="E884">
        <v>1010</v>
      </c>
      <c r="F884" t="b">
        <v>1</v>
      </c>
      <c r="G884">
        <v>59.616</v>
      </c>
      <c r="H884">
        <v>28</v>
      </c>
      <c r="I884">
        <v>1</v>
      </c>
      <c r="J884">
        <v>0.06</v>
      </c>
      <c r="K884" t="s">
        <v>2670</v>
      </c>
      <c r="L884">
        <v>0</v>
      </c>
      <c r="N884" t="s">
        <v>2671</v>
      </c>
      <c r="O884" t="s">
        <v>2672</v>
      </c>
      <c r="P884" t="s">
        <v>20</v>
      </c>
      <c r="Q884">
        <f>(VALUE(LEFT(SUBSTITUTE(O884,"T"," "),23)) - VALUE(LEFT(SUBSTITUTE(N884,"T"," "),23))) * 86400</f>
        <v>333.78000031225383</v>
      </c>
      <c r="R884">
        <f>I884/G884</f>
        <v>1.6774020397208805E-2</v>
      </c>
      <c r="S884">
        <f>H884/G884</f>
        <v>0.46967257112184646</v>
      </c>
    </row>
    <row r="885" spans="1:19" hidden="1" x14ac:dyDescent="0.2">
      <c r="A885" s="1">
        <v>1</v>
      </c>
      <c r="B885" s="1" t="s">
        <v>16</v>
      </c>
      <c r="C885" s="1">
        <v>-1</v>
      </c>
      <c r="D885" s="1">
        <v>1</v>
      </c>
      <c r="E885" s="1">
        <v>1011</v>
      </c>
      <c r="F885" s="1" t="b">
        <v>1</v>
      </c>
      <c r="G885" s="1">
        <v>57.948</v>
      </c>
      <c r="H885" s="1">
        <v>31</v>
      </c>
      <c r="I885" s="1">
        <v>9</v>
      </c>
      <c r="J885" s="1">
        <v>9.06</v>
      </c>
      <c r="K885" s="1" t="s">
        <v>371</v>
      </c>
      <c r="L885" s="1">
        <v>0</v>
      </c>
      <c r="M885" s="1"/>
      <c r="N885" s="1" t="s">
        <v>372</v>
      </c>
      <c r="O885" s="1" t="s">
        <v>373</v>
      </c>
      <c r="P885" s="1" t="s">
        <v>20</v>
      </c>
      <c r="Q885">
        <f>(VALUE(LEFT(SUBSTITUTE(O885,"T"," "),23)) - VALUE(LEFT(SUBSTITUTE(N885,"T"," "),23))) * 86400</f>
        <v>225.21799989044666</v>
      </c>
      <c r="R885">
        <f>I885/G885</f>
        <v>0.15531165872851521</v>
      </c>
      <c r="S885">
        <f>H885/G885</f>
        <v>0.53496238006488572</v>
      </c>
    </row>
    <row r="886" spans="1:19" hidden="1" x14ac:dyDescent="0.2">
      <c r="A886">
        <v>1</v>
      </c>
      <c r="B886" t="s">
        <v>2531</v>
      </c>
      <c r="C886">
        <v>-1</v>
      </c>
      <c r="D886">
        <v>1</v>
      </c>
      <c r="E886">
        <v>1015</v>
      </c>
      <c r="F886" t="b">
        <v>1</v>
      </c>
      <c r="G886">
        <v>50.612000000000002</v>
      </c>
      <c r="H886">
        <v>27</v>
      </c>
      <c r="I886">
        <v>4</v>
      </c>
      <c r="J886">
        <v>4.4400000000000004</v>
      </c>
      <c r="K886" t="s">
        <v>2916</v>
      </c>
      <c r="L886">
        <v>0</v>
      </c>
      <c r="N886" t="s">
        <v>2917</v>
      </c>
      <c r="O886" t="s">
        <v>2918</v>
      </c>
      <c r="Q886">
        <f>(VALUE(LEFT(SUBSTITUTE(O886,"T"," "),23)) - VALUE(LEFT(SUBSTITUTE(N886,"T"," "),23))) * 86400</f>
        <v>235.99000002723187</v>
      </c>
      <c r="R886">
        <f>I886/G886</f>
        <v>7.9032640480518446E-2</v>
      </c>
      <c r="S886">
        <f>H886/G886</f>
        <v>0.53347032324349952</v>
      </c>
    </row>
    <row r="887" spans="1:19" hidden="1" x14ac:dyDescent="0.2">
      <c r="A887">
        <v>36</v>
      </c>
      <c r="B887" t="s">
        <v>2476</v>
      </c>
      <c r="C887">
        <v>0</v>
      </c>
      <c r="D887">
        <v>5</v>
      </c>
      <c r="E887">
        <v>1014</v>
      </c>
      <c r="F887" t="b">
        <v>1</v>
      </c>
      <c r="G887">
        <v>57.155999999999999</v>
      </c>
      <c r="H887">
        <v>29</v>
      </c>
      <c r="I887">
        <v>1</v>
      </c>
      <c r="J887">
        <v>0.06</v>
      </c>
      <c r="K887" t="s">
        <v>2757</v>
      </c>
      <c r="L887">
        <v>0</v>
      </c>
      <c r="N887" t="s">
        <v>2758</v>
      </c>
      <c r="O887" t="s">
        <v>2759</v>
      </c>
      <c r="P887" t="s">
        <v>20</v>
      </c>
      <c r="Q887">
        <f>(VALUE(LEFT(SUBSTITUTE(O887,"T"," "),23)) - VALUE(LEFT(SUBSTITUTE(N887,"T"," "),23))) * 86400</f>
        <v>354.92000018712133</v>
      </c>
      <c r="R887">
        <f>I887/G887</f>
        <v>1.7495975925537127E-2</v>
      </c>
      <c r="S887">
        <f>H887/G887</f>
        <v>0.50738330184057667</v>
      </c>
    </row>
    <row r="888" spans="1:19" hidden="1" x14ac:dyDescent="0.2">
      <c r="A888">
        <v>11</v>
      </c>
      <c r="B888" t="s">
        <v>2531</v>
      </c>
      <c r="C888">
        <v>0</v>
      </c>
      <c r="D888">
        <v>2</v>
      </c>
      <c r="E888">
        <v>1011</v>
      </c>
      <c r="F888" t="b">
        <v>1</v>
      </c>
      <c r="G888">
        <v>140.43600000000001</v>
      </c>
      <c r="H888">
        <v>28</v>
      </c>
      <c r="I888">
        <v>3</v>
      </c>
      <c r="J888">
        <v>1.08</v>
      </c>
      <c r="K888" t="s">
        <v>2682</v>
      </c>
      <c r="L888">
        <v>0</v>
      </c>
      <c r="N888" t="s">
        <v>2683</v>
      </c>
      <c r="O888" t="s">
        <v>2684</v>
      </c>
      <c r="P888" t="s">
        <v>20</v>
      </c>
      <c r="Q888">
        <f>(VALUE(LEFT(SUBSTITUTE(O888,"T"," "),23)) - VALUE(LEFT(SUBSTITUTE(N888,"T"," "),23))) * 86400</f>
        <v>734.7640001680702</v>
      </c>
      <c r="R888">
        <f>I888/G888</f>
        <v>2.1362043920362297E-2</v>
      </c>
      <c r="S888">
        <f>H888/G888</f>
        <v>0.19937907659004814</v>
      </c>
    </row>
    <row r="889" spans="1:19" hidden="1" x14ac:dyDescent="0.2">
      <c r="A889">
        <v>40</v>
      </c>
      <c r="B889" t="s">
        <v>2476</v>
      </c>
      <c r="C889">
        <v>5</v>
      </c>
      <c r="D889">
        <v>5</v>
      </c>
      <c r="E889">
        <v>1014</v>
      </c>
      <c r="F889" t="b">
        <v>1</v>
      </c>
      <c r="G889">
        <v>61.531999999999996</v>
      </c>
      <c r="H889">
        <v>29</v>
      </c>
      <c r="I889">
        <v>3</v>
      </c>
      <c r="J889">
        <v>1.08</v>
      </c>
      <c r="K889" t="s">
        <v>2769</v>
      </c>
      <c r="L889">
        <v>0</v>
      </c>
      <c r="N889" t="s">
        <v>2770</v>
      </c>
      <c r="O889" t="s">
        <v>2771</v>
      </c>
      <c r="P889" t="s">
        <v>20</v>
      </c>
      <c r="Q889">
        <f>(VALUE(LEFT(SUBSTITUTE(O889,"T"," "),23)) - VALUE(LEFT(SUBSTITUTE(N889,"T"," "),23))) * 86400</f>
        <v>215.7789995893836</v>
      </c>
      <c r="R889">
        <f>I889/G889</f>
        <v>4.8755119287525191E-2</v>
      </c>
      <c r="S889">
        <f>H889/G889</f>
        <v>0.47129948644607689</v>
      </c>
    </row>
    <row r="890" spans="1:19" hidden="1" x14ac:dyDescent="0.2">
      <c r="A890">
        <v>17</v>
      </c>
      <c r="B890" t="s">
        <v>2531</v>
      </c>
      <c r="C890">
        <v>-1</v>
      </c>
      <c r="D890">
        <v>3</v>
      </c>
      <c r="E890">
        <v>1002</v>
      </c>
      <c r="F890" t="b">
        <v>1</v>
      </c>
      <c r="G890">
        <v>51.24</v>
      </c>
      <c r="H890">
        <v>27</v>
      </c>
      <c r="I890">
        <v>3</v>
      </c>
      <c r="J890">
        <v>1.68</v>
      </c>
      <c r="K890" t="s">
        <v>2580</v>
      </c>
      <c r="L890">
        <v>0</v>
      </c>
      <c r="N890" t="s">
        <v>2581</v>
      </c>
      <c r="O890" t="s">
        <v>2582</v>
      </c>
      <c r="P890" t="s">
        <v>20</v>
      </c>
      <c r="Q890">
        <f>(VALUE(LEFT(SUBSTITUTE(O890,"T"," "),23)) - VALUE(LEFT(SUBSTITUTE(N890,"T"," "),23))) * 86400</f>
        <v>274.38899965491146</v>
      </c>
      <c r="R890">
        <f>I890/G890</f>
        <v>5.8548009367681494E-2</v>
      </c>
      <c r="S890">
        <f>H890/G890</f>
        <v>0.52693208430913352</v>
      </c>
    </row>
    <row r="891" spans="1:19" x14ac:dyDescent="0.2">
      <c r="A891">
        <v>4</v>
      </c>
      <c r="B891" t="s">
        <v>2476</v>
      </c>
      <c r="C891">
        <v>2</v>
      </c>
      <c r="D891">
        <v>1</v>
      </c>
      <c r="E891">
        <v>1015</v>
      </c>
      <c r="F891" t="b">
        <v>1</v>
      </c>
      <c r="G891">
        <v>92.975999999999999</v>
      </c>
      <c r="H891">
        <v>21</v>
      </c>
      <c r="I891">
        <v>3</v>
      </c>
      <c r="J891">
        <v>1.44</v>
      </c>
      <c r="K891" t="s">
        <v>2925</v>
      </c>
      <c r="L891">
        <v>0</v>
      </c>
      <c r="N891" t="s">
        <v>2926</v>
      </c>
      <c r="O891" t="s">
        <v>2927</v>
      </c>
      <c r="Q891">
        <f>(VALUE(LEFT(SUBSTITUTE(O891,"T"," "),23)) - VALUE(LEFT(SUBSTITUTE(N891,"T"," "),23))) * 86400</f>
        <v>408.28500003553927</v>
      </c>
      <c r="R891">
        <f>I891/G891</f>
        <v>3.2266391326794014E-2</v>
      </c>
      <c r="S891">
        <f>H891/G891</f>
        <v>0.22586473928755807</v>
      </c>
    </row>
    <row r="892" spans="1:19" hidden="1" x14ac:dyDescent="0.2">
      <c r="A892">
        <v>15</v>
      </c>
      <c r="B892" t="s">
        <v>2531</v>
      </c>
      <c r="C892">
        <v>5</v>
      </c>
      <c r="D892">
        <v>2</v>
      </c>
      <c r="E892">
        <v>1011</v>
      </c>
      <c r="F892" t="b">
        <v>1</v>
      </c>
      <c r="G892">
        <v>93.215999999999994</v>
      </c>
      <c r="H892">
        <v>25</v>
      </c>
      <c r="I892">
        <v>2</v>
      </c>
      <c r="J892">
        <v>0.18</v>
      </c>
      <c r="K892" t="s">
        <v>2694</v>
      </c>
      <c r="L892">
        <v>0</v>
      </c>
      <c r="N892" t="s">
        <v>2695</v>
      </c>
      <c r="O892" t="s">
        <v>2696</v>
      </c>
      <c r="P892" t="s">
        <v>20</v>
      </c>
      <c r="Q892">
        <f>(VALUE(LEFT(SUBSTITUTE(O892,"T"," "),23)) - VALUE(LEFT(SUBSTITUTE(N892,"T"," "),23))) * 86400</f>
        <v>507.71900040563196</v>
      </c>
      <c r="R892">
        <f>I892/G892</f>
        <v>2.1455544112598698E-2</v>
      </c>
      <c r="S892">
        <f>H892/G892</f>
        <v>0.26819430140748374</v>
      </c>
    </row>
    <row r="893" spans="1:19" hidden="1" x14ac:dyDescent="0.2">
      <c r="A893">
        <v>1</v>
      </c>
      <c r="B893" t="s">
        <v>16</v>
      </c>
      <c r="C893">
        <v>-1</v>
      </c>
      <c r="D893">
        <v>1</v>
      </c>
      <c r="E893">
        <v>1002</v>
      </c>
      <c r="F893" t="b">
        <v>1</v>
      </c>
      <c r="G893">
        <v>51.344000000000001</v>
      </c>
      <c r="H893">
        <v>27</v>
      </c>
      <c r="I893">
        <v>4</v>
      </c>
      <c r="J893">
        <v>2.82</v>
      </c>
      <c r="K893" t="s">
        <v>536</v>
      </c>
      <c r="L893">
        <v>0</v>
      </c>
      <c r="N893" t="s">
        <v>537</v>
      </c>
      <c r="O893" t="s">
        <v>538</v>
      </c>
      <c r="P893" t="s">
        <v>20</v>
      </c>
      <c r="Q893">
        <f>(VALUE(LEFT(SUBSTITUTE(O893,"T"," "),23)) - VALUE(LEFT(SUBSTITUTE(N893,"T"," "),23))) * 86400</f>
        <v>201.91900008358061</v>
      </c>
      <c r="R893">
        <f>I893/G893</f>
        <v>7.7905889685260202E-2</v>
      </c>
      <c r="S893">
        <f>H893/G893</f>
        <v>0.52586475537550637</v>
      </c>
    </row>
    <row r="894" spans="1:19" hidden="1" x14ac:dyDescent="0.2">
      <c r="A894">
        <v>9</v>
      </c>
      <c r="B894" t="s">
        <v>2531</v>
      </c>
      <c r="C894">
        <v>-1</v>
      </c>
      <c r="D894">
        <v>2</v>
      </c>
      <c r="E894">
        <v>1021</v>
      </c>
      <c r="F894" t="b">
        <v>1</v>
      </c>
      <c r="G894">
        <v>49.776000000000003</v>
      </c>
      <c r="H894">
        <v>26</v>
      </c>
      <c r="I894">
        <v>9</v>
      </c>
      <c r="J894">
        <v>6.12</v>
      </c>
      <c r="K894" t="s">
        <v>2796</v>
      </c>
      <c r="L894">
        <v>0</v>
      </c>
      <c r="N894" t="s">
        <v>2797</v>
      </c>
      <c r="O894" t="s">
        <v>2798</v>
      </c>
      <c r="P894" t="s">
        <v>20</v>
      </c>
      <c r="Q894">
        <f>(VALUE(LEFT(SUBSTITUTE(O894,"T"," "),23)) - VALUE(LEFT(SUBSTITUTE(N894,"T"," "),23))) * 86400</f>
        <v>259.65099998284131</v>
      </c>
      <c r="R894">
        <f>I894/G894</f>
        <v>0.18081002892960463</v>
      </c>
      <c r="S894">
        <f>H894/G894</f>
        <v>0.52234008357441331</v>
      </c>
    </row>
    <row r="895" spans="1:19" x14ac:dyDescent="0.2">
      <c r="A895">
        <v>8</v>
      </c>
      <c r="B895" t="s">
        <v>2476</v>
      </c>
      <c r="C895">
        <v>2</v>
      </c>
      <c r="D895">
        <v>2</v>
      </c>
      <c r="E895">
        <v>1016</v>
      </c>
      <c r="F895" t="b">
        <v>1</v>
      </c>
      <c r="G895">
        <v>104.52800000000001</v>
      </c>
      <c r="H895">
        <v>28</v>
      </c>
      <c r="I895">
        <v>4</v>
      </c>
      <c r="J895">
        <v>1.98</v>
      </c>
      <c r="K895" t="s">
        <v>2937</v>
      </c>
      <c r="L895">
        <v>0</v>
      </c>
      <c r="N895" t="s">
        <v>2938</v>
      </c>
      <c r="O895" t="s">
        <v>2939</v>
      </c>
      <c r="Q895">
        <f>(VALUE(LEFT(SUBSTITUTE(O895,"T"," "),23)) - VALUE(LEFT(SUBSTITUTE(N895,"T"," "),23))) * 86400</f>
        <v>227.30999970808625</v>
      </c>
      <c r="R895">
        <f>I895/G895</f>
        <v>3.826725853359865E-2</v>
      </c>
      <c r="S895">
        <f>H895/G895</f>
        <v>0.26787080973519056</v>
      </c>
    </row>
    <row r="896" spans="1:19" hidden="1" x14ac:dyDescent="0.2">
      <c r="A896">
        <v>19</v>
      </c>
      <c r="B896" t="s">
        <v>2531</v>
      </c>
      <c r="C896">
        <v>0</v>
      </c>
      <c r="D896">
        <v>3</v>
      </c>
      <c r="E896">
        <v>1012</v>
      </c>
      <c r="F896" t="b">
        <v>1</v>
      </c>
      <c r="G896">
        <v>42.636000000000003</v>
      </c>
      <c r="H896">
        <v>29</v>
      </c>
      <c r="I896">
        <v>0</v>
      </c>
      <c r="J896">
        <v>0</v>
      </c>
      <c r="K896" t="s">
        <v>2706</v>
      </c>
      <c r="L896">
        <v>0</v>
      </c>
      <c r="N896" t="s">
        <v>2707</v>
      </c>
      <c r="O896" t="s">
        <v>2708</v>
      </c>
      <c r="P896" t="s">
        <v>20</v>
      </c>
      <c r="Q896">
        <f>(VALUE(LEFT(SUBSTITUTE(O896,"T"," "),23)) - VALUE(LEFT(SUBSTITUTE(N896,"T"," "),23))) * 86400</f>
        <v>314.21100001316518</v>
      </c>
      <c r="R896">
        <f>I896/G896</f>
        <v>0</v>
      </c>
      <c r="S896">
        <f>H896/G896</f>
        <v>0.680176376770804</v>
      </c>
    </row>
    <row r="897" spans="1:19" hidden="1" x14ac:dyDescent="0.2">
      <c r="A897">
        <v>11</v>
      </c>
      <c r="B897" t="s">
        <v>3414</v>
      </c>
      <c r="C897">
        <v>-1</v>
      </c>
      <c r="D897">
        <v>2</v>
      </c>
      <c r="E897">
        <v>1011</v>
      </c>
      <c r="F897" t="b">
        <v>1</v>
      </c>
      <c r="G897">
        <v>57.787999999999997</v>
      </c>
      <c r="H897">
        <v>30</v>
      </c>
      <c r="I897">
        <v>12</v>
      </c>
      <c r="J897">
        <v>9.48</v>
      </c>
      <c r="K897" t="s">
        <v>3580</v>
      </c>
      <c r="L897">
        <v>0</v>
      </c>
      <c r="N897" t="s">
        <v>3581</v>
      </c>
      <c r="O897" t="s">
        <v>3582</v>
      </c>
      <c r="P897" t="s">
        <v>20</v>
      </c>
      <c r="Q897">
        <f>(VALUE(LEFT(SUBSTITUTE(O897,"T"," "),23)) - VALUE(LEFT(SUBSTITUTE(N897,"T"," "),23))) * 86400</f>
        <v>215.57199948001653</v>
      </c>
      <c r="R897">
        <f>I897/G897</f>
        <v>0.20765556863016543</v>
      </c>
      <c r="S897">
        <f>H897/G897</f>
        <v>0.51913892157541364</v>
      </c>
    </row>
    <row r="898" spans="1:19" x14ac:dyDescent="0.2">
      <c r="A898">
        <v>35</v>
      </c>
      <c r="B898" t="s">
        <v>21</v>
      </c>
      <c r="C898">
        <v>2</v>
      </c>
      <c r="D898">
        <v>2</v>
      </c>
      <c r="E898">
        <v>1003</v>
      </c>
      <c r="F898" t="b">
        <v>1</v>
      </c>
      <c r="G898">
        <v>48.375999999999998</v>
      </c>
      <c r="H898">
        <v>25</v>
      </c>
      <c r="I898">
        <v>1</v>
      </c>
      <c r="J898">
        <v>0.12</v>
      </c>
      <c r="K898" t="s">
        <v>635</v>
      </c>
      <c r="L898">
        <v>0</v>
      </c>
      <c r="N898" t="s">
        <v>636</v>
      </c>
      <c r="O898" t="s">
        <v>637</v>
      </c>
      <c r="P898" t="s">
        <v>20</v>
      </c>
      <c r="Q898">
        <f>(VALUE(LEFT(SUBSTITUTE(O898,"T"," "),23)) - VALUE(LEFT(SUBSTITUTE(N898,"T"," "),23))) * 86400</f>
        <v>195.76999966520816</v>
      </c>
      <c r="R898">
        <f>I898/G898</f>
        <v>2.0671407309409626E-2</v>
      </c>
      <c r="S898">
        <f>H898/G898</f>
        <v>0.51678518273524066</v>
      </c>
    </row>
    <row r="899" spans="1:19" hidden="1" x14ac:dyDescent="0.2">
      <c r="A899">
        <v>3</v>
      </c>
      <c r="B899" t="s">
        <v>2476</v>
      </c>
      <c r="C899">
        <v>-1</v>
      </c>
      <c r="D899">
        <v>2</v>
      </c>
      <c r="E899">
        <v>1028</v>
      </c>
      <c r="F899" t="b">
        <v>1</v>
      </c>
      <c r="G899">
        <v>55.988</v>
      </c>
      <c r="H899">
        <v>29</v>
      </c>
      <c r="I899">
        <v>5</v>
      </c>
      <c r="J899">
        <v>4.9800000000000004</v>
      </c>
      <c r="K899" t="s">
        <v>2519</v>
      </c>
      <c r="L899">
        <v>0</v>
      </c>
      <c r="N899" t="s">
        <v>2520</v>
      </c>
      <c r="O899" t="s">
        <v>2521</v>
      </c>
      <c r="P899" t="s">
        <v>20</v>
      </c>
      <c r="Q899">
        <f>(VALUE(LEFT(SUBSTITUTE(O899,"T"," "),23)) - VALUE(LEFT(SUBSTITUTE(N899,"T"," "),23))) * 86400</f>
        <v>214.61399949621409</v>
      </c>
      <c r="R899">
        <f>I899/G899</f>
        <v>8.930485103950847E-2</v>
      </c>
      <c r="S899">
        <f>H899/G899</f>
        <v>0.51796813602914915</v>
      </c>
    </row>
    <row r="900" spans="1:19" hidden="1" x14ac:dyDescent="0.2">
      <c r="A900">
        <v>23</v>
      </c>
      <c r="B900" t="s">
        <v>2531</v>
      </c>
      <c r="C900">
        <v>5</v>
      </c>
      <c r="D900">
        <v>3</v>
      </c>
      <c r="E900">
        <v>1012</v>
      </c>
      <c r="F900" t="b">
        <v>1</v>
      </c>
      <c r="G900">
        <v>84.647999999999996</v>
      </c>
      <c r="H900">
        <v>28</v>
      </c>
      <c r="I900">
        <v>4</v>
      </c>
      <c r="J900">
        <v>0.6</v>
      </c>
      <c r="K900" t="s">
        <v>2718</v>
      </c>
      <c r="L900">
        <v>0</v>
      </c>
      <c r="N900" t="s">
        <v>2719</v>
      </c>
      <c r="O900" t="s">
        <v>2720</v>
      </c>
      <c r="P900" t="s">
        <v>20</v>
      </c>
      <c r="Q900">
        <f>(VALUE(LEFT(SUBSTITUTE(O900,"T"," "),23)) - VALUE(LEFT(SUBSTITUTE(N900,"T"," "),23))) * 86400</f>
        <v>422.44500042870641</v>
      </c>
      <c r="R900">
        <f>I900/G900</f>
        <v>4.7254512805972974E-2</v>
      </c>
      <c r="S900">
        <f>H900/G900</f>
        <v>0.33078158964181081</v>
      </c>
    </row>
    <row r="901" spans="1:19" x14ac:dyDescent="0.2">
      <c r="A901">
        <v>2</v>
      </c>
      <c r="B901" t="s">
        <v>2476</v>
      </c>
      <c r="C901">
        <v>2</v>
      </c>
      <c r="D901">
        <v>1</v>
      </c>
      <c r="E901">
        <v>1017</v>
      </c>
      <c r="F901" t="b">
        <v>1</v>
      </c>
      <c r="G901">
        <v>74.028000000000006</v>
      </c>
      <c r="H901">
        <v>30</v>
      </c>
      <c r="I901">
        <v>3</v>
      </c>
      <c r="J901">
        <v>0.3</v>
      </c>
      <c r="K901" t="s">
        <v>2498</v>
      </c>
      <c r="L901">
        <v>0</v>
      </c>
      <c r="N901" t="s">
        <v>2499</v>
      </c>
      <c r="O901" t="s">
        <v>2500</v>
      </c>
      <c r="P901" t="s">
        <v>20</v>
      </c>
      <c r="Q901">
        <f>(VALUE(LEFT(SUBSTITUTE(O901,"T"," "),23)) - VALUE(LEFT(SUBSTITUTE(N901,"T"," "),23))) * 86400</f>
        <v>335.15900045167655</v>
      </c>
      <c r="R901">
        <f>I901/G901</f>
        <v>4.0525206678554054E-2</v>
      </c>
      <c r="S901">
        <f>H901/G901</f>
        <v>0.4052520667855406</v>
      </c>
    </row>
    <row r="902" spans="1:19" hidden="1" x14ac:dyDescent="0.2">
      <c r="A902">
        <v>55</v>
      </c>
      <c r="B902" t="s">
        <v>16</v>
      </c>
      <c r="C902">
        <v>-1</v>
      </c>
      <c r="D902">
        <v>3</v>
      </c>
      <c r="E902">
        <v>1014</v>
      </c>
      <c r="F902" t="b">
        <v>1</v>
      </c>
      <c r="G902">
        <v>59.984000000000002</v>
      </c>
      <c r="H902">
        <v>31</v>
      </c>
      <c r="I902">
        <v>11</v>
      </c>
      <c r="J902">
        <v>9.6</v>
      </c>
      <c r="K902" t="s">
        <v>1138</v>
      </c>
      <c r="L902">
        <v>0</v>
      </c>
      <c r="N902" t="s">
        <v>1139</v>
      </c>
      <c r="O902" t="s">
        <v>1140</v>
      </c>
      <c r="P902" t="s">
        <v>20</v>
      </c>
      <c r="Q902">
        <f>(VALUE(LEFT(SUBSTITUTE(O902,"T"," "),23)) - VALUE(LEFT(SUBSTITUTE(N902,"T"," "),23))) * 86400</f>
        <v>231.92099989391863</v>
      </c>
      <c r="R902">
        <f>I902/G902</f>
        <v>0.18338223526273673</v>
      </c>
      <c r="S902">
        <f>H902/G902</f>
        <v>0.51680448119498534</v>
      </c>
    </row>
    <row r="903" spans="1:19" hidden="1" x14ac:dyDescent="0.2">
      <c r="A903">
        <v>1</v>
      </c>
      <c r="B903" t="s">
        <v>3414</v>
      </c>
      <c r="C903">
        <v>-1</v>
      </c>
      <c r="D903">
        <v>1</v>
      </c>
      <c r="E903">
        <v>1000</v>
      </c>
      <c r="F903" t="b">
        <v>1</v>
      </c>
      <c r="G903">
        <v>60.38</v>
      </c>
      <c r="H903">
        <v>31</v>
      </c>
      <c r="I903">
        <v>13</v>
      </c>
      <c r="J903">
        <v>13.08</v>
      </c>
      <c r="K903" t="s">
        <v>3415</v>
      </c>
      <c r="L903">
        <v>0</v>
      </c>
      <c r="N903" t="s">
        <v>3416</v>
      </c>
      <c r="O903" t="s">
        <v>3417</v>
      </c>
      <c r="P903" t="s">
        <v>20</v>
      </c>
      <c r="Q903">
        <f>(VALUE(LEFT(SUBSTITUTE(O903,"T"," "),23)) - VALUE(LEFT(SUBSTITUTE(N903,"T"," "),23))) * 86400</f>
        <v>241.06299981940538</v>
      </c>
      <c r="R903">
        <f>I903/G903</f>
        <v>0.21530308049022853</v>
      </c>
      <c r="S903">
        <f>H903/G903</f>
        <v>0.51341503809208344</v>
      </c>
    </row>
    <row r="904" spans="1:19" hidden="1" x14ac:dyDescent="0.2">
      <c r="A904">
        <v>27</v>
      </c>
      <c r="B904" t="s">
        <v>2531</v>
      </c>
      <c r="C904">
        <v>0</v>
      </c>
      <c r="D904">
        <v>4</v>
      </c>
      <c r="E904">
        <v>1013</v>
      </c>
      <c r="F904" t="b">
        <v>1</v>
      </c>
      <c r="G904">
        <v>59.98</v>
      </c>
      <c r="H904">
        <v>22</v>
      </c>
      <c r="I904">
        <v>1</v>
      </c>
      <c r="J904">
        <v>0.18</v>
      </c>
      <c r="K904" t="s">
        <v>2730</v>
      </c>
      <c r="L904">
        <v>0</v>
      </c>
      <c r="N904" t="s">
        <v>2731</v>
      </c>
      <c r="O904" t="s">
        <v>2732</v>
      </c>
      <c r="P904" t="s">
        <v>20</v>
      </c>
      <c r="Q904">
        <f>(VALUE(LEFT(SUBSTITUTE(O904,"T"," "),23)) - VALUE(LEFT(SUBSTITUTE(N904,"T"," "),23))) * 86400</f>
        <v>319.69100008718669</v>
      </c>
      <c r="R904">
        <f>I904/G904</f>
        <v>1.6672224074691565E-2</v>
      </c>
      <c r="S904">
        <f>H904/G904</f>
        <v>0.36678892964321441</v>
      </c>
    </row>
    <row r="905" spans="1:19" x14ac:dyDescent="0.2">
      <c r="A905">
        <v>4</v>
      </c>
      <c r="B905" t="s">
        <v>2476</v>
      </c>
      <c r="C905">
        <v>2</v>
      </c>
      <c r="D905">
        <v>2</v>
      </c>
      <c r="E905">
        <v>1018</v>
      </c>
      <c r="F905" t="b">
        <v>1</v>
      </c>
      <c r="G905">
        <v>69.36</v>
      </c>
      <c r="H905">
        <v>26</v>
      </c>
      <c r="I905">
        <v>3</v>
      </c>
      <c r="J905">
        <v>0.9</v>
      </c>
      <c r="K905" t="s">
        <v>2504</v>
      </c>
      <c r="L905">
        <v>0</v>
      </c>
      <c r="N905" t="s">
        <v>2505</v>
      </c>
      <c r="O905" t="s">
        <v>2506</v>
      </c>
      <c r="P905" t="s">
        <v>20</v>
      </c>
      <c r="Q905">
        <f>(VALUE(LEFT(SUBSTITUTE(O905,"T"," "),23)) - VALUE(LEFT(SUBSTITUTE(N905,"T"," "),23))) * 86400</f>
        <v>261.46399998106062</v>
      </c>
      <c r="R905">
        <f>I905/G905</f>
        <v>4.3252595155709346E-2</v>
      </c>
      <c r="S905">
        <f>H905/G905</f>
        <v>0.37485582468281431</v>
      </c>
    </row>
    <row r="906" spans="1:19" hidden="1" x14ac:dyDescent="0.2">
      <c r="A906">
        <v>2</v>
      </c>
      <c r="B906" t="s">
        <v>21</v>
      </c>
      <c r="C906">
        <v>-1</v>
      </c>
      <c r="D906">
        <v>1</v>
      </c>
      <c r="E906">
        <v>1002</v>
      </c>
      <c r="F906" t="b">
        <v>1</v>
      </c>
      <c r="G906">
        <v>48.8</v>
      </c>
      <c r="H906">
        <v>25</v>
      </c>
      <c r="I906">
        <v>3</v>
      </c>
      <c r="J906">
        <v>3.78</v>
      </c>
      <c r="K906" t="s">
        <v>539</v>
      </c>
      <c r="L906">
        <v>0</v>
      </c>
      <c r="N906" t="s">
        <v>540</v>
      </c>
      <c r="O906" t="s">
        <v>541</v>
      </c>
      <c r="P906" t="s">
        <v>20</v>
      </c>
      <c r="Q906">
        <f>(VALUE(LEFT(SUBSTITUTE(O906,"T"," "),23)) - VALUE(LEFT(SUBSTITUTE(N906,"T"," "),23))) * 86400</f>
        <v>260.05399958230555</v>
      </c>
      <c r="R906">
        <f>I906/G906</f>
        <v>6.147540983606558E-2</v>
      </c>
      <c r="S906">
        <f>H906/G906</f>
        <v>0.51229508196721318</v>
      </c>
    </row>
    <row r="907" spans="1:19" x14ac:dyDescent="0.2">
      <c r="A907">
        <v>90</v>
      </c>
      <c r="B907" t="s">
        <v>25</v>
      </c>
      <c r="C907">
        <v>2</v>
      </c>
      <c r="D907">
        <v>4</v>
      </c>
      <c r="E907">
        <v>1015</v>
      </c>
      <c r="F907" t="b">
        <v>1</v>
      </c>
      <c r="G907">
        <v>50.06</v>
      </c>
      <c r="H907">
        <v>26</v>
      </c>
      <c r="I907">
        <v>1</v>
      </c>
      <c r="J907">
        <v>0.66</v>
      </c>
      <c r="K907" t="s">
        <v>1243</v>
      </c>
      <c r="L907">
        <v>0</v>
      </c>
      <c r="N907" t="s">
        <v>1244</v>
      </c>
      <c r="O907" t="s">
        <v>1245</v>
      </c>
      <c r="P907" t="s">
        <v>20</v>
      </c>
      <c r="Q907">
        <f>(VALUE(LEFT(SUBSTITUTE(O907,"T"," "),23)) - VALUE(LEFT(SUBSTITUTE(N907,"T"," "),23))) * 86400</f>
        <v>280.94700006768107</v>
      </c>
      <c r="R907">
        <f>I907/G907</f>
        <v>1.9976028765481421E-2</v>
      </c>
      <c r="S907">
        <f>H907/G907</f>
        <v>0.51937674790251698</v>
      </c>
    </row>
    <row r="908" spans="1:19" hidden="1" x14ac:dyDescent="0.2">
      <c r="A908">
        <v>31</v>
      </c>
      <c r="B908" t="s">
        <v>2531</v>
      </c>
      <c r="C908">
        <v>5</v>
      </c>
      <c r="D908">
        <v>4</v>
      </c>
      <c r="E908">
        <v>1013</v>
      </c>
      <c r="F908" t="b">
        <v>1</v>
      </c>
      <c r="G908">
        <v>64.516000000000005</v>
      </c>
      <c r="H908">
        <v>19</v>
      </c>
      <c r="I908">
        <v>4</v>
      </c>
      <c r="J908">
        <v>1.86</v>
      </c>
      <c r="K908" t="s">
        <v>2742</v>
      </c>
      <c r="L908">
        <v>0</v>
      </c>
      <c r="N908" t="s">
        <v>2743</v>
      </c>
      <c r="O908" t="s">
        <v>2744</v>
      </c>
      <c r="P908" t="s">
        <v>20</v>
      </c>
      <c r="Q908">
        <f>(VALUE(LEFT(SUBSTITUTE(O908,"T"," "),23)) - VALUE(LEFT(SUBSTITUTE(N908,"T"," "),23))) * 86400</f>
        <v>389.52100002206862</v>
      </c>
      <c r="R908">
        <f>I908/G908</f>
        <v>6.2000124000247993E-2</v>
      </c>
      <c r="S908">
        <f>H908/G908</f>
        <v>0.29450058900117798</v>
      </c>
    </row>
    <row r="909" spans="1:19" x14ac:dyDescent="0.2">
      <c r="A909">
        <v>6</v>
      </c>
      <c r="B909" t="s">
        <v>2476</v>
      </c>
      <c r="C909">
        <v>2</v>
      </c>
      <c r="D909">
        <v>3</v>
      </c>
      <c r="E909">
        <v>1019</v>
      </c>
      <c r="F909" t="b">
        <v>1</v>
      </c>
      <c r="G909">
        <v>90.492000000000004</v>
      </c>
      <c r="H909">
        <v>24</v>
      </c>
      <c r="I909">
        <v>4</v>
      </c>
      <c r="J909">
        <v>1.38</v>
      </c>
      <c r="K909" t="s">
        <v>2510</v>
      </c>
      <c r="L909">
        <v>0</v>
      </c>
      <c r="N909" t="s">
        <v>2511</v>
      </c>
      <c r="O909" t="s">
        <v>2512</v>
      </c>
      <c r="P909" t="s">
        <v>20</v>
      </c>
      <c r="Q909">
        <f>(VALUE(LEFT(SUBSTITUTE(O909,"T"," "),23)) - VALUE(LEFT(SUBSTITUTE(N909,"T"," "),23))) * 86400</f>
        <v>178.19700040854514</v>
      </c>
      <c r="R909">
        <f>I909/G909</f>
        <v>4.4202802457675813E-2</v>
      </c>
      <c r="S909">
        <f>H909/G909</f>
        <v>0.26521681474605491</v>
      </c>
    </row>
    <row r="910" spans="1:19" hidden="1" x14ac:dyDescent="0.2">
      <c r="A910">
        <v>5</v>
      </c>
      <c r="B910" t="s">
        <v>2531</v>
      </c>
      <c r="C910">
        <v>-1</v>
      </c>
      <c r="D910">
        <v>2</v>
      </c>
      <c r="E910">
        <v>1026</v>
      </c>
      <c r="F910" t="b">
        <v>1</v>
      </c>
      <c r="G910">
        <v>56.944000000000003</v>
      </c>
      <c r="H910">
        <v>29</v>
      </c>
      <c r="I910">
        <v>3</v>
      </c>
      <c r="J910">
        <v>2.4</v>
      </c>
      <c r="K910" t="s">
        <v>2952</v>
      </c>
      <c r="L910">
        <v>0</v>
      </c>
      <c r="N910" t="s">
        <v>2953</v>
      </c>
      <c r="O910" t="s">
        <v>2954</v>
      </c>
      <c r="Q910">
        <f>(VALUE(LEFT(SUBSTITUTE(O910,"T"," "),23)) - VALUE(LEFT(SUBSTITUTE(N910,"T"," "),23))) * 86400</f>
        <v>286.23299973551184</v>
      </c>
      <c r="R910">
        <f>I910/G910</f>
        <v>5.268333801629671E-2</v>
      </c>
      <c r="S910">
        <f>H910/G910</f>
        <v>0.50927226749086818</v>
      </c>
    </row>
    <row r="911" spans="1:19" hidden="1" x14ac:dyDescent="0.2">
      <c r="A911">
        <v>29</v>
      </c>
      <c r="B911" t="s">
        <v>21</v>
      </c>
      <c r="C911">
        <v>-1</v>
      </c>
      <c r="D911">
        <v>2</v>
      </c>
      <c r="E911">
        <v>1003</v>
      </c>
      <c r="F911" t="b">
        <v>1</v>
      </c>
      <c r="G911">
        <v>55.436</v>
      </c>
      <c r="H911">
        <v>28</v>
      </c>
      <c r="I911">
        <v>4</v>
      </c>
      <c r="J911">
        <v>4.68</v>
      </c>
      <c r="K911" t="s">
        <v>617</v>
      </c>
      <c r="L911">
        <v>0</v>
      </c>
      <c r="N911" t="s">
        <v>618</v>
      </c>
      <c r="O911" t="s">
        <v>619</v>
      </c>
      <c r="P911" t="s">
        <v>20</v>
      </c>
      <c r="Q911">
        <f>(VALUE(LEFT(SUBSTITUTE(O911,"T"," "),23)) - VALUE(LEFT(SUBSTITUTE(N911,"T"," "),23))) * 86400</f>
        <v>249.47800019290298</v>
      </c>
      <c r="R911">
        <f>I911/G911</f>
        <v>7.2155278158597305E-2</v>
      </c>
      <c r="S911">
        <f>H911/G911</f>
        <v>0.50508694711018109</v>
      </c>
    </row>
    <row r="912" spans="1:19" hidden="1" x14ac:dyDescent="0.2">
      <c r="A912">
        <v>35</v>
      </c>
      <c r="B912" t="s">
        <v>2531</v>
      </c>
      <c r="C912">
        <v>0</v>
      </c>
      <c r="D912">
        <v>5</v>
      </c>
      <c r="E912">
        <v>1014</v>
      </c>
      <c r="F912" t="b">
        <v>1</v>
      </c>
      <c r="G912">
        <v>92.98</v>
      </c>
      <c r="H912">
        <v>27</v>
      </c>
      <c r="I912">
        <v>1</v>
      </c>
      <c r="J912">
        <v>0.06</v>
      </c>
      <c r="K912" t="s">
        <v>2754</v>
      </c>
      <c r="L912">
        <v>0</v>
      </c>
      <c r="N912" t="s">
        <v>2755</v>
      </c>
      <c r="O912" t="s">
        <v>2756</v>
      </c>
      <c r="P912" t="s">
        <v>20</v>
      </c>
      <c r="Q912">
        <f>(VALUE(LEFT(SUBSTITUTE(O912,"T"," "),23)) - VALUE(LEFT(SUBSTITUTE(N912,"T"," "),23))) * 86400</f>
        <v>514.66700008604676</v>
      </c>
      <c r="R912">
        <f>I912/G912</f>
        <v>1.0755001075500106E-2</v>
      </c>
      <c r="S912">
        <f>H912/G912</f>
        <v>0.29038502903850288</v>
      </c>
    </row>
    <row r="913" spans="1:19" x14ac:dyDescent="0.2">
      <c r="A913">
        <v>6</v>
      </c>
      <c r="B913" t="s">
        <v>2476</v>
      </c>
      <c r="C913">
        <v>2</v>
      </c>
      <c r="D913">
        <v>1</v>
      </c>
      <c r="E913">
        <v>1020</v>
      </c>
      <c r="F913" t="b">
        <v>1</v>
      </c>
      <c r="G913">
        <v>76.052000000000007</v>
      </c>
      <c r="H913">
        <v>25</v>
      </c>
      <c r="I913">
        <v>1</v>
      </c>
      <c r="J913">
        <v>1.26</v>
      </c>
      <c r="K913" t="s">
        <v>2787</v>
      </c>
      <c r="L913">
        <v>0</v>
      </c>
      <c r="N913" t="s">
        <v>2788</v>
      </c>
      <c r="O913" t="s">
        <v>2789</v>
      </c>
      <c r="P913" t="s">
        <v>20</v>
      </c>
      <c r="Q913">
        <f>(VALUE(LEFT(SUBSTITUTE(O913,"T"," "),23)) - VALUE(LEFT(SUBSTITUTE(N913,"T"," "),23))) * 86400</f>
        <v>419.98800057917833</v>
      </c>
      <c r="R913">
        <f>I913/G913</f>
        <v>1.3148898122337348E-2</v>
      </c>
      <c r="S913">
        <f>H913/G913</f>
        <v>0.32872245305843367</v>
      </c>
    </row>
    <row r="914" spans="1:19" x14ac:dyDescent="0.2">
      <c r="A914">
        <v>9</v>
      </c>
      <c r="B914" t="s">
        <v>25</v>
      </c>
      <c r="C914">
        <v>2</v>
      </c>
      <c r="D914">
        <v>1</v>
      </c>
      <c r="E914">
        <v>1017</v>
      </c>
      <c r="F914" t="b">
        <v>1</v>
      </c>
      <c r="G914">
        <v>55.823999999999998</v>
      </c>
      <c r="H914">
        <v>29</v>
      </c>
      <c r="I914">
        <v>3</v>
      </c>
      <c r="J914">
        <v>1.38</v>
      </c>
      <c r="K914" t="s">
        <v>1389</v>
      </c>
      <c r="L914">
        <v>0</v>
      </c>
      <c r="N914" t="s">
        <v>2023</v>
      </c>
      <c r="O914" t="s">
        <v>2024</v>
      </c>
      <c r="P914" t="s">
        <v>20</v>
      </c>
      <c r="Q914">
        <f>(VALUE(LEFT(SUBSTITUTE(O914,"T"," "),23)) - VALUE(LEFT(SUBSTITUTE(N914,"T"," "),23))) * 86400</f>
        <v>208.53599987458438</v>
      </c>
      <c r="R914">
        <f>I914/G914</f>
        <v>5.3740326741186589E-2</v>
      </c>
      <c r="S914">
        <f>H914/G914</f>
        <v>0.51948982516480369</v>
      </c>
    </row>
    <row r="915" spans="1:19" x14ac:dyDescent="0.2">
      <c r="A915">
        <v>34</v>
      </c>
      <c r="B915" t="s">
        <v>16</v>
      </c>
      <c r="C915">
        <v>2</v>
      </c>
      <c r="D915">
        <v>2</v>
      </c>
      <c r="E915">
        <v>1018</v>
      </c>
      <c r="F915" t="b">
        <v>1</v>
      </c>
      <c r="G915">
        <v>51.612000000000002</v>
      </c>
      <c r="H915">
        <v>27</v>
      </c>
      <c r="I915">
        <v>0</v>
      </c>
      <c r="J915">
        <v>0</v>
      </c>
      <c r="K915" t="s">
        <v>2090</v>
      </c>
      <c r="L915">
        <v>0</v>
      </c>
      <c r="N915" t="s">
        <v>2091</v>
      </c>
      <c r="O915" t="s">
        <v>2092</v>
      </c>
      <c r="P915" t="s">
        <v>20</v>
      </c>
      <c r="Q915">
        <f>(VALUE(LEFT(SUBSTITUTE(O915,"T"," "),23)) - VALUE(LEFT(SUBSTITUTE(N915,"T"," "),23))) * 86400</f>
        <v>108.9859998319298</v>
      </c>
      <c r="R915">
        <f>I915/G915</f>
        <v>0</v>
      </c>
      <c r="S915">
        <f>H915/G915</f>
        <v>0.52313415484770986</v>
      </c>
    </row>
    <row r="916" spans="1:19" hidden="1" x14ac:dyDescent="0.2">
      <c r="A916">
        <v>39</v>
      </c>
      <c r="B916" t="s">
        <v>2531</v>
      </c>
      <c r="C916">
        <v>5</v>
      </c>
      <c r="D916">
        <v>5</v>
      </c>
      <c r="E916">
        <v>1014</v>
      </c>
      <c r="F916" t="b">
        <v>1</v>
      </c>
      <c r="G916">
        <v>67.62</v>
      </c>
      <c r="H916">
        <v>29</v>
      </c>
      <c r="I916">
        <v>1</v>
      </c>
      <c r="J916">
        <v>0.24</v>
      </c>
      <c r="K916" t="s">
        <v>2766</v>
      </c>
      <c r="L916">
        <v>0</v>
      </c>
      <c r="N916" t="s">
        <v>2767</v>
      </c>
      <c r="O916" t="s">
        <v>2768</v>
      </c>
      <c r="P916" t="s">
        <v>20</v>
      </c>
      <c r="Q916">
        <f>(VALUE(LEFT(SUBSTITUTE(O916,"T"," "),23)) - VALUE(LEFT(SUBSTITUTE(N916,"T"," "),23))) * 86400</f>
        <v>223.72499979101121</v>
      </c>
      <c r="R916">
        <f>I916/G916</f>
        <v>1.4788524105294291E-2</v>
      </c>
      <c r="S916">
        <f>H916/G916</f>
        <v>0.42886719905353443</v>
      </c>
    </row>
    <row r="917" spans="1:19" hidden="1" x14ac:dyDescent="0.2">
      <c r="A917">
        <v>21</v>
      </c>
      <c r="B917" t="s">
        <v>3414</v>
      </c>
      <c r="C917">
        <v>-1</v>
      </c>
      <c r="D917">
        <v>3</v>
      </c>
      <c r="E917">
        <v>1022</v>
      </c>
      <c r="F917" t="b">
        <v>1</v>
      </c>
      <c r="G917">
        <v>40.088000000000001</v>
      </c>
      <c r="H917">
        <v>20</v>
      </c>
      <c r="I917">
        <v>4</v>
      </c>
      <c r="J917">
        <v>4.9800000000000004</v>
      </c>
      <c r="K917" t="s">
        <v>3742</v>
      </c>
      <c r="L917">
        <v>0</v>
      </c>
      <c r="N917" t="s">
        <v>3743</v>
      </c>
      <c r="O917" t="s">
        <v>3744</v>
      </c>
      <c r="P917" t="s">
        <v>20</v>
      </c>
      <c r="Q917">
        <f>(VALUE(LEFT(SUBSTITUTE(O917,"T"," "),23)) - VALUE(LEFT(SUBSTITUTE(N917,"T"," "),23))) * 86400</f>
        <v>180.75899994000793</v>
      </c>
      <c r="R917">
        <f>I917/G917</f>
        <v>9.9780482937537412E-2</v>
      </c>
      <c r="S917">
        <f>H917/G917</f>
        <v>0.49890241468768709</v>
      </c>
    </row>
    <row r="918" spans="1:19" hidden="1" x14ac:dyDescent="0.2">
      <c r="A918">
        <v>33</v>
      </c>
      <c r="B918" t="s">
        <v>2531</v>
      </c>
      <c r="C918">
        <v>-1</v>
      </c>
      <c r="D918">
        <v>5</v>
      </c>
      <c r="E918">
        <v>1014</v>
      </c>
      <c r="F918" t="b">
        <v>1</v>
      </c>
      <c r="G918">
        <v>62.247999999999998</v>
      </c>
      <c r="H918">
        <v>31</v>
      </c>
      <c r="I918">
        <v>11</v>
      </c>
      <c r="J918">
        <v>9.7799999999999994</v>
      </c>
      <c r="K918" t="s">
        <v>2748</v>
      </c>
      <c r="L918">
        <v>0</v>
      </c>
      <c r="N918" t="s">
        <v>2749</v>
      </c>
      <c r="O918" t="s">
        <v>2750</v>
      </c>
      <c r="P918" t="s">
        <v>20</v>
      </c>
      <c r="Q918">
        <f>(VALUE(LEFT(SUBSTITUTE(O918,"T"," "),23)) - VALUE(LEFT(SUBSTITUTE(N918,"T"," "),23))) * 86400</f>
        <v>342.61400050017983</v>
      </c>
      <c r="R918">
        <f>I918/G918</f>
        <v>0.17671250481943196</v>
      </c>
      <c r="S918">
        <f>H918/G918</f>
        <v>0.49800796812749004</v>
      </c>
    </row>
    <row r="919" spans="1:19" hidden="1" x14ac:dyDescent="0.2">
      <c r="A919">
        <v>4</v>
      </c>
      <c r="B919" t="s">
        <v>2476</v>
      </c>
      <c r="C919">
        <v>0</v>
      </c>
      <c r="D919">
        <v>1</v>
      </c>
      <c r="E919">
        <v>1020</v>
      </c>
      <c r="F919" t="b">
        <v>1</v>
      </c>
      <c r="G919">
        <v>64.768000000000001</v>
      </c>
      <c r="H919">
        <v>22</v>
      </c>
      <c r="I919">
        <v>3</v>
      </c>
      <c r="J919">
        <v>1.86</v>
      </c>
      <c r="K919" t="s">
        <v>2781</v>
      </c>
      <c r="L919">
        <v>0</v>
      </c>
      <c r="N919" t="s">
        <v>2782</v>
      </c>
      <c r="O919" t="s">
        <v>2783</v>
      </c>
      <c r="P919" t="s">
        <v>20</v>
      </c>
      <c r="Q919">
        <f>(VALUE(LEFT(SUBSTITUTE(O919,"T"," "),23)) - VALUE(LEFT(SUBSTITUTE(N919,"T"," "),23))) * 86400</f>
        <v>450.21599996834993</v>
      </c>
      <c r="R919">
        <f>I919/G919</f>
        <v>4.6319169960474305E-2</v>
      </c>
      <c r="S919">
        <f>H919/G919</f>
        <v>0.33967391304347827</v>
      </c>
    </row>
    <row r="920" spans="1:19" hidden="1" x14ac:dyDescent="0.2">
      <c r="A920">
        <v>3</v>
      </c>
      <c r="B920" t="s">
        <v>2531</v>
      </c>
      <c r="C920">
        <v>0</v>
      </c>
      <c r="D920">
        <v>1</v>
      </c>
      <c r="E920">
        <v>1020</v>
      </c>
      <c r="F920" t="b">
        <v>1</v>
      </c>
      <c r="G920">
        <v>67.504000000000005</v>
      </c>
      <c r="H920">
        <v>29</v>
      </c>
      <c r="I920">
        <v>0</v>
      </c>
      <c r="J920">
        <v>0</v>
      </c>
      <c r="K920" t="s">
        <v>2778</v>
      </c>
      <c r="L920">
        <v>0</v>
      </c>
      <c r="N920" t="s">
        <v>2779</v>
      </c>
      <c r="O920" t="s">
        <v>2780</v>
      </c>
      <c r="P920" t="s">
        <v>20</v>
      </c>
      <c r="Q920">
        <f>(VALUE(LEFT(SUBSTITUTE(O920,"T"," "),23)) - VALUE(LEFT(SUBSTITUTE(N920,"T"," "),23))) * 86400</f>
        <v>363.88500009197742</v>
      </c>
      <c r="R920">
        <f>I920/G920</f>
        <v>0</v>
      </c>
      <c r="S920">
        <f>H920/G920</f>
        <v>0.42960417160464565</v>
      </c>
    </row>
    <row r="921" spans="1:19" hidden="1" x14ac:dyDescent="0.2">
      <c r="A921">
        <v>8</v>
      </c>
      <c r="B921" t="s">
        <v>2476</v>
      </c>
      <c r="C921">
        <v>5</v>
      </c>
      <c r="D921">
        <v>1</v>
      </c>
      <c r="E921">
        <v>1020</v>
      </c>
      <c r="F921" t="b">
        <v>1</v>
      </c>
      <c r="G921">
        <v>55.643999999999998</v>
      </c>
      <c r="H921">
        <v>28</v>
      </c>
      <c r="I921">
        <v>1</v>
      </c>
      <c r="J921">
        <v>0.48</v>
      </c>
      <c r="K921" t="s">
        <v>2793</v>
      </c>
      <c r="L921">
        <v>0</v>
      </c>
      <c r="N921" t="s">
        <v>2794</v>
      </c>
      <c r="O921" t="s">
        <v>2795</v>
      </c>
      <c r="P921" t="s">
        <v>20</v>
      </c>
      <c r="Q921">
        <f>(VALUE(LEFT(SUBSTITUTE(O921,"T"," "),23)) - VALUE(LEFT(SUBSTITUTE(N921,"T"," "),23))) * 86400</f>
        <v>302.11900037247688</v>
      </c>
      <c r="R921">
        <f>I921/G921</f>
        <v>1.797138954783984E-2</v>
      </c>
      <c r="S921">
        <f>H921/G921</f>
        <v>0.50319890733951556</v>
      </c>
    </row>
    <row r="922" spans="1:19" x14ac:dyDescent="0.2">
      <c r="A922">
        <v>3</v>
      </c>
      <c r="B922" t="s">
        <v>2531</v>
      </c>
      <c r="C922">
        <v>2</v>
      </c>
      <c r="D922">
        <v>1</v>
      </c>
      <c r="E922">
        <v>1005</v>
      </c>
      <c r="F922" t="b">
        <v>1</v>
      </c>
      <c r="G922">
        <v>51.292000000000002</v>
      </c>
      <c r="H922">
        <v>27</v>
      </c>
      <c r="I922">
        <v>1</v>
      </c>
      <c r="J922">
        <v>0.36</v>
      </c>
      <c r="K922" t="s">
        <v>2898</v>
      </c>
      <c r="L922">
        <v>0</v>
      </c>
      <c r="N922" t="s">
        <v>2899</v>
      </c>
      <c r="O922" t="s">
        <v>2900</v>
      </c>
      <c r="Q922">
        <f>(VALUE(LEFT(SUBSTITUTE(O922,"T"," "),23)) - VALUE(LEFT(SUBSTITUTE(N922,"T"," "),23))) * 86400</f>
        <v>224.47900017723441</v>
      </c>
      <c r="R922">
        <f>I922/G922</f>
        <v>1.949621773375965E-2</v>
      </c>
      <c r="S922">
        <f>H922/G922</f>
        <v>0.52639787881151057</v>
      </c>
    </row>
    <row r="923" spans="1:19" x14ac:dyDescent="0.2">
      <c r="A923">
        <v>144</v>
      </c>
      <c r="B923" t="s">
        <v>25</v>
      </c>
      <c r="C923">
        <v>2</v>
      </c>
      <c r="D923">
        <v>6</v>
      </c>
      <c r="E923">
        <v>1007</v>
      </c>
      <c r="F923" t="b">
        <v>1</v>
      </c>
      <c r="G923">
        <v>50.78</v>
      </c>
      <c r="H923">
        <v>27</v>
      </c>
      <c r="I923">
        <v>1</v>
      </c>
      <c r="J923">
        <v>0.18</v>
      </c>
      <c r="K923" t="s">
        <v>956</v>
      </c>
      <c r="L923">
        <v>0</v>
      </c>
      <c r="N923" t="s">
        <v>957</v>
      </c>
      <c r="O923" t="s">
        <v>958</v>
      </c>
      <c r="P923" t="s">
        <v>20</v>
      </c>
      <c r="Q923">
        <f>(VALUE(LEFT(SUBSTITUTE(O923,"T"," "),23)) - VALUE(LEFT(SUBSTITUTE(N923,"T"," "),23))) * 86400</f>
        <v>240.07700008805841</v>
      </c>
      <c r="R923">
        <f>I923/G923</f>
        <v>1.9692792437967704E-2</v>
      </c>
      <c r="S923">
        <f>H923/G923</f>
        <v>0.53170539582512799</v>
      </c>
    </row>
    <row r="924" spans="1:19" hidden="1" x14ac:dyDescent="0.2">
      <c r="A924">
        <v>7</v>
      </c>
      <c r="B924" t="s">
        <v>2531</v>
      </c>
      <c r="C924">
        <v>5</v>
      </c>
      <c r="D924">
        <v>1</v>
      </c>
      <c r="E924">
        <v>1020</v>
      </c>
      <c r="F924" t="b">
        <v>1</v>
      </c>
      <c r="G924">
        <v>88.004000000000005</v>
      </c>
      <c r="H924">
        <v>29</v>
      </c>
      <c r="I924">
        <v>0</v>
      </c>
      <c r="J924">
        <v>0</v>
      </c>
      <c r="K924" t="s">
        <v>2790</v>
      </c>
      <c r="L924">
        <v>0</v>
      </c>
      <c r="N924" t="s">
        <v>2791</v>
      </c>
      <c r="O924" t="s">
        <v>2792</v>
      </c>
      <c r="P924" t="s">
        <v>20</v>
      </c>
      <c r="Q924">
        <f>(VALUE(LEFT(SUBSTITUTE(O924,"T"," "),23)) - VALUE(LEFT(SUBSTITUTE(N924,"T"," "),23))) * 86400</f>
        <v>464.23200031276792</v>
      </c>
      <c r="R924">
        <f>I924/G924</f>
        <v>0</v>
      </c>
      <c r="S924">
        <f>H924/G924</f>
        <v>0.32953047588745965</v>
      </c>
    </row>
    <row r="925" spans="1:19" x14ac:dyDescent="0.2">
      <c r="A925">
        <v>14</v>
      </c>
      <c r="B925" t="s">
        <v>2476</v>
      </c>
      <c r="C925">
        <v>2</v>
      </c>
      <c r="D925">
        <v>2</v>
      </c>
      <c r="E925">
        <v>1021</v>
      </c>
      <c r="F925" t="b">
        <v>1</v>
      </c>
      <c r="G925">
        <v>62.54</v>
      </c>
      <c r="H925">
        <v>27</v>
      </c>
      <c r="I925">
        <v>1</v>
      </c>
      <c r="J925">
        <v>0.12</v>
      </c>
      <c r="K925" t="s">
        <v>2811</v>
      </c>
      <c r="L925">
        <v>0</v>
      </c>
      <c r="N925" t="s">
        <v>2812</v>
      </c>
      <c r="O925" t="s">
        <v>2813</v>
      </c>
      <c r="P925" t="s">
        <v>20</v>
      </c>
      <c r="Q925">
        <f>(VALUE(LEFT(SUBSTITUTE(O925,"T"," "),23)) - VALUE(LEFT(SUBSTITUTE(N925,"T"," "),23))) * 86400</f>
        <v>340.7569999108091</v>
      </c>
      <c r="R925">
        <f>I925/G925</f>
        <v>1.5989766549408379E-2</v>
      </c>
      <c r="S925">
        <f>H925/G925</f>
        <v>0.43172369683402623</v>
      </c>
    </row>
    <row r="926" spans="1:19" hidden="1" x14ac:dyDescent="0.2">
      <c r="A926">
        <v>28</v>
      </c>
      <c r="B926" t="s">
        <v>16</v>
      </c>
      <c r="C926">
        <v>-1</v>
      </c>
      <c r="D926">
        <v>2</v>
      </c>
      <c r="E926">
        <v>1018</v>
      </c>
      <c r="F926" t="b">
        <v>1</v>
      </c>
      <c r="G926">
        <v>54.271999999999998</v>
      </c>
      <c r="H926">
        <v>27</v>
      </c>
      <c r="I926">
        <v>7</v>
      </c>
      <c r="J926">
        <v>5.82</v>
      </c>
      <c r="K926" t="s">
        <v>2072</v>
      </c>
      <c r="L926">
        <v>0</v>
      </c>
      <c r="N926" t="s">
        <v>2073</v>
      </c>
      <c r="O926" t="s">
        <v>2074</v>
      </c>
      <c r="P926" t="s">
        <v>20</v>
      </c>
      <c r="Q926">
        <f>(VALUE(LEFT(SUBSTITUTE(O926,"T"," "),23)) - VALUE(LEFT(SUBSTITUTE(N926,"T"," "),23))) * 86400</f>
        <v>139.46899997536093</v>
      </c>
      <c r="R926">
        <f>I926/G926</f>
        <v>0.12897995283018868</v>
      </c>
      <c r="S926">
        <f>H926/G926</f>
        <v>0.49749410377358494</v>
      </c>
    </row>
    <row r="927" spans="1:19" hidden="1" x14ac:dyDescent="0.2">
      <c r="A927">
        <v>56</v>
      </c>
      <c r="B927" t="s">
        <v>21</v>
      </c>
      <c r="C927">
        <v>-1</v>
      </c>
      <c r="D927">
        <v>3</v>
      </c>
      <c r="E927">
        <v>1014</v>
      </c>
      <c r="F927" t="b">
        <v>1</v>
      </c>
      <c r="G927">
        <v>63.012</v>
      </c>
      <c r="H927">
        <v>31</v>
      </c>
      <c r="I927">
        <v>7</v>
      </c>
      <c r="J927">
        <v>5.52</v>
      </c>
      <c r="K927" t="s">
        <v>1141</v>
      </c>
      <c r="L927">
        <v>0</v>
      </c>
      <c r="N927" t="s">
        <v>1142</v>
      </c>
      <c r="O927" t="s">
        <v>1143</v>
      </c>
      <c r="P927" t="s">
        <v>20</v>
      </c>
      <c r="Q927">
        <f>(VALUE(LEFT(SUBSTITUTE(O927,"T"," "),23)) - VALUE(LEFT(SUBSTITUTE(N927,"T"," "),23))) * 86400</f>
        <v>235.72200019843876</v>
      </c>
      <c r="R927">
        <f>I927/G927</f>
        <v>0.11108995112042151</v>
      </c>
      <c r="S927">
        <f>H927/G927</f>
        <v>0.49196978353329524</v>
      </c>
    </row>
    <row r="928" spans="1:19" hidden="1" x14ac:dyDescent="0.2">
      <c r="A928">
        <v>11</v>
      </c>
      <c r="B928" t="s">
        <v>2531</v>
      </c>
      <c r="C928">
        <v>0</v>
      </c>
      <c r="D928">
        <v>2</v>
      </c>
      <c r="E928">
        <v>1021</v>
      </c>
      <c r="F928" t="b">
        <v>1</v>
      </c>
      <c r="G928">
        <v>99.864000000000004</v>
      </c>
      <c r="H928">
        <v>25</v>
      </c>
      <c r="I928">
        <v>4</v>
      </c>
      <c r="J928">
        <v>3.42</v>
      </c>
      <c r="K928" t="s">
        <v>2802</v>
      </c>
      <c r="L928">
        <v>0</v>
      </c>
      <c r="N928" t="s">
        <v>2803</v>
      </c>
      <c r="O928" t="s">
        <v>2804</v>
      </c>
      <c r="P928" t="s">
        <v>20</v>
      </c>
      <c r="Q928">
        <f>(VALUE(LEFT(SUBSTITUTE(O928,"T"," "),23)) - VALUE(LEFT(SUBSTITUTE(N928,"T"," "),23))) * 86400</f>
        <v>574.66899999417365</v>
      </c>
      <c r="R928">
        <f>I928/G928</f>
        <v>4.0054474084755265E-2</v>
      </c>
      <c r="S928">
        <f>H928/G928</f>
        <v>0.25034046302972041</v>
      </c>
    </row>
    <row r="929" spans="1:19" hidden="1" x14ac:dyDescent="0.2">
      <c r="A929">
        <v>12</v>
      </c>
      <c r="B929" t="s">
        <v>2476</v>
      </c>
      <c r="C929">
        <v>0</v>
      </c>
      <c r="D929">
        <v>2</v>
      </c>
      <c r="E929">
        <v>1021</v>
      </c>
      <c r="F929" t="b">
        <v>1</v>
      </c>
      <c r="G929">
        <v>88.852000000000004</v>
      </c>
      <c r="H929">
        <v>25</v>
      </c>
      <c r="I929">
        <v>2</v>
      </c>
      <c r="J929">
        <v>0.42</v>
      </c>
      <c r="K929" t="s">
        <v>2805</v>
      </c>
      <c r="L929">
        <v>0</v>
      </c>
      <c r="N929" t="s">
        <v>2806</v>
      </c>
      <c r="O929" t="s">
        <v>2807</v>
      </c>
      <c r="P929" t="s">
        <v>20</v>
      </c>
      <c r="Q929">
        <f>(VALUE(LEFT(SUBSTITUTE(O929,"T"," "),23)) - VALUE(LEFT(SUBSTITUTE(N929,"T"," "),23))) * 86400</f>
        <v>476.4030002290383</v>
      </c>
      <c r="R929">
        <f>I929/G929</f>
        <v>2.2509341376671318E-2</v>
      </c>
      <c r="S929">
        <f>H929/G929</f>
        <v>0.28136676720839149</v>
      </c>
    </row>
    <row r="930" spans="1:19" x14ac:dyDescent="0.2">
      <c r="A930">
        <v>9</v>
      </c>
      <c r="B930" t="s">
        <v>25</v>
      </c>
      <c r="C930">
        <v>2</v>
      </c>
      <c r="D930">
        <v>1</v>
      </c>
      <c r="E930">
        <v>1002</v>
      </c>
      <c r="F930" t="b">
        <v>1</v>
      </c>
      <c r="G930">
        <v>48.664000000000001</v>
      </c>
      <c r="H930">
        <v>26</v>
      </c>
      <c r="I930">
        <v>0</v>
      </c>
      <c r="J930">
        <v>0</v>
      </c>
      <c r="K930" t="s">
        <v>560</v>
      </c>
      <c r="L930">
        <v>0</v>
      </c>
      <c r="N930" t="s">
        <v>561</v>
      </c>
      <c r="O930" t="s">
        <v>562</v>
      </c>
      <c r="P930" t="s">
        <v>20</v>
      </c>
      <c r="Q930">
        <f>(VALUE(LEFT(SUBSTITUTE(O930,"T"," "),23)) - VALUE(LEFT(SUBSTITUTE(N930,"T"," "),23))) * 86400</f>
        <v>212.72800024598837</v>
      </c>
      <c r="R930">
        <f>I930/G930</f>
        <v>0</v>
      </c>
      <c r="S930">
        <f>H930/G930</f>
        <v>0.53427585073154693</v>
      </c>
    </row>
    <row r="931" spans="1:19" x14ac:dyDescent="0.2">
      <c r="A931">
        <v>9</v>
      </c>
      <c r="B931" t="s">
        <v>25</v>
      </c>
      <c r="C931">
        <v>2</v>
      </c>
      <c r="D931">
        <v>1</v>
      </c>
      <c r="E931">
        <v>1000</v>
      </c>
      <c r="F931" t="b">
        <v>1</v>
      </c>
      <c r="G931">
        <v>53.567999999999998</v>
      </c>
      <c r="H931">
        <v>29</v>
      </c>
      <c r="I931">
        <v>5</v>
      </c>
      <c r="J931">
        <v>1.92</v>
      </c>
      <c r="K931" t="s">
        <v>44</v>
      </c>
      <c r="L931">
        <v>0</v>
      </c>
      <c r="N931" t="s">
        <v>45</v>
      </c>
      <c r="O931" t="s">
        <v>46</v>
      </c>
      <c r="P931" t="s">
        <v>20</v>
      </c>
      <c r="Q931">
        <f>(VALUE(LEFT(SUBSTITUTE(O931,"T"," "),23)) - VALUE(LEFT(SUBSTITUTE(N931,"T"," "),23))) * 86400</f>
        <v>215.16799970995635</v>
      </c>
      <c r="R931">
        <f>I931/G931</f>
        <v>9.3339307048984466E-2</v>
      </c>
      <c r="S931">
        <f>H931/G931</f>
        <v>0.54136798088410998</v>
      </c>
    </row>
    <row r="932" spans="1:19" hidden="1" x14ac:dyDescent="0.2">
      <c r="A932">
        <v>15</v>
      </c>
      <c r="B932" t="s">
        <v>2531</v>
      </c>
      <c r="C932">
        <v>5</v>
      </c>
      <c r="D932">
        <v>2</v>
      </c>
      <c r="E932">
        <v>1021</v>
      </c>
      <c r="F932" t="b">
        <v>1</v>
      </c>
      <c r="G932">
        <v>58.564</v>
      </c>
      <c r="H932">
        <v>23</v>
      </c>
      <c r="I932">
        <v>1</v>
      </c>
      <c r="J932">
        <v>0.72</v>
      </c>
      <c r="K932" t="s">
        <v>2814</v>
      </c>
      <c r="L932">
        <v>0</v>
      </c>
      <c r="N932" t="s">
        <v>2815</v>
      </c>
      <c r="O932" t="s">
        <v>2816</v>
      </c>
      <c r="P932" t="s">
        <v>20</v>
      </c>
      <c r="Q932">
        <f>(VALUE(LEFT(SUBSTITUTE(O932,"T"," "),23)) - VALUE(LEFT(SUBSTITUTE(N932,"T"," "),23))) * 86400</f>
        <v>322.47999999672174</v>
      </c>
      <c r="R932">
        <f>I932/G932</f>
        <v>1.7075336384126769E-2</v>
      </c>
      <c r="S932">
        <f>H932/G932</f>
        <v>0.39273273683491566</v>
      </c>
    </row>
    <row r="933" spans="1:19" hidden="1" x14ac:dyDescent="0.2">
      <c r="A933">
        <v>16</v>
      </c>
      <c r="B933" t="s">
        <v>2476</v>
      </c>
      <c r="C933">
        <v>5</v>
      </c>
      <c r="D933">
        <v>2</v>
      </c>
      <c r="E933">
        <v>1021</v>
      </c>
      <c r="F933" t="b">
        <v>1</v>
      </c>
      <c r="G933">
        <v>38.392000000000003</v>
      </c>
      <c r="H933">
        <v>24</v>
      </c>
      <c r="I933">
        <v>0</v>
      </c>
      <c r="J933">
        <v>0</v>
      </c>
      <c r="K933" t="s">
        <v>2817</v>
      </c>
      <c r="L933">
        <v>0</v>
      </c>
      <c r="N933" t="s">
        <v>2818</v>
      </c>
      <c r="O933" t="s">
        <v>2819</v>
      </c>
      <c r="P933" t="s">
        <v>20</v>
      </c>
      <c r="Q933">
        <f>(VALUE(LEFT(SUBSTITUTE(O933,"T"," "),23)) - VALUE(LEFT(SUBSTITUTE(N933,"T"," "),23))) * 86400</f>
        <v>262.5719997799024</v>
      </c>
      <c r="R933">
        <f>I933/G933</f>
        <v>0</v>
      </c>
      <c r="S933">
        <f>H933/G933</f>
        <v>0.625130235465722</v>
      </c>
    </row>
    <row r="934" spans="1:19" hidden="1" x14ac:dyDescent="0.2">
      <c r="A934">
        <v>29</v>
      </c>
      <c r="B934" t="s">
        <v>21</v>
      </c>
      <c r="C934">
        <v>-1</v>
      </c>
      <c r="D934">
        <v>2</v>
      </c>
      <c r="E934">
        <v>1023</v>
      </c>
      <c r="F934" t="b">
        <v>1</v>
      </c>
      <c r="G934">
        <v>52.988</v>
      </c>
      <c r="H934">
        <v>26</v>
      </c>
      <c r="I934">
        <v>5</v>
      </c>
      <c r="J934">
        <v>7.02</v>
      </c>
      <c r="K934" t="s">
        <v>1481</v>
      </c>
      <c r="L934">
        <v>0</v>
      </c>
      <c r="N934" t="s">
        <v>1482</v>
      </c>
      <c r="O934" t="s">
        <v>1483</v>
      </c>
      <c r="P934" t="s">
        <v>20</v>
      </c>
      <c r="Q934">
        <f>(VALUE(LEFT(SUBSTITUTE(O934,"T"," "),23)) - VALUE(LEFT(SUBSTITUTE(N934,"T"," "),23))) * 86400</f>
        <v>223.50499997846782</v>
      </c>
      <c r="R934">
        <f>I934/G934</f>
        <v>9.4360987393372078E-2</v>
      </c>
      <c r="S934">
        <f>H934/G934</f>
        <v>0.49067713444553485</v>
      </c>
    </row>
    <row r="935" spans="1:19" x14ac:dyDescent="0.2">
      <c r="A935">
        <v>22</v>
      </c>
      <c r="B935" t="s">
        <v>2476</v>
      </c>
      <c r="C935">
        <v>2</v>
      </c>
      <c r="D935">
        <v>3</v>
      </c>
      <c r="E935">
        <v>1022</v>
      </c>
      <c r="F935" t="b">
        <v>1</v>
      </c>
      <c r="G935">
        <v>57.444000000000003</v>
      </c>
      <c r="H935">
        <v>17</v>
      </c>
      <c r="I935">
        <v>2</v>
      </c>
      <c r="J935">
        <v>0.78</v>
      </c>
      <c r="K935" t="s">
        <v>2835</v>
      </c>
      <c r="L935">
        <v>0</v>
      </c>
      <c r="N935" t="s">
        <v>2836</v>
      </c>
      <c r="O935" t="s">
        <v>2837</v>
      </c>
      <c r="P935" t="s">
        <v>20</v>
      </c>
      <c r="Q935">
        <f>(VALUE(LEFT(SUBSTITUTE(O935,"T"," "),23)) - VALUE(LEFT(SUBSTITUTE(N935,"T"," "),23))) * 86400</f>
        <v>313.90099993441254</v>
      </c>
      <c r="R935">
        <f>I935/G935</f>
        <v>3.4816516955643757E-2</v>
      </c>
      <c r="S935">
        <f>H935/G935</f>
        <v>0.29594039412297191</v>
      </c>
    </row>
    <row r="936" spans="1:19" hidden="1" x14ac:dyDescent="0.2">
      <c r="A936">
        <v>19</v>
      </c>
      <c r="B936" t="s">
        <v>2531</v>
      </c>
      <c r="C936">
        <v>0</v>
      </c>
      <c r="D936">
        <v>3</v>
      </c>
      <c r="E936">
        <v>1022</v>
      </c>
      <c r="F936" t="b">
        <v>1</v>
      </c>
      <c r="G936">
        <v>43.347999999999999</v>
      </c>
      <c r="H936">
        <v>18</v>
      </c>
      <c r="I936">
        <v>2</v>
      </c>
      <c r="J936">
        <v>0.84</v>
      </c>
      <c r="K936" t="s">
        <v>2826</v>
      </c>
      <c r="L936">
        <v>0</v>
      </c>
      <c r="N936" t="s">
        <v>2827</v>
      </c>
      <c r="O936" t="s">
        <v>2828</v>
      </c>
      <c r="P936" t="s">
        <v>20</v>
      </c>
      <c r="Q936">
        <f>(VALUE(LEFT(SUBSTITUTE(O936,"T"," "),23)) - VALUE(LEFT(SUBSTITUTE(N936,"T"," "),23))) * 86400</f>
        <v>314.83599976636469</v>
      </c>
      <c r="R936">
        <f>I936/G936</f>
        <v>4.613823013749193E-2</v>
      </c>
      <c r="S936">
        <f>H936/G936</f>
        <v>0.41524407123742735</v>
      </c>
    </row>
    <row r="937" spans="1:19" hidden="1" x14ac:dyDescent="0.2">
      <c r="A937">
        <v>1</v>
      </c>
      <c r="B937" t="s">
        <v>2476</v>
      </c>
      <c r="C937">
        <v>-1</v>
      </c>
      <c r="D937">
        <v>1</v>
      </c>
      <c r="E937">
        <v>1027</v>
      </c>
      <c r="F937" t="b">
        <v>1</v>
      </c>
      <c r="G937">
        <v>53.287999999999997</v>
      </c>
      <c r="H937">
        <v>26</v>
      </c>
      <c r="I937">
        <v>8</v>
      </c>
      <c r="J937">
        <v>8.82</v>
      </c>
      <c r="K937" t="s">
        <v>2513</v>
      </c>
      <c r="L937">
        <v>0</v>
      </c>
      <c r="N937" t="s">
        <v>2514</v>
      </c>
      <c r="O937" t="s">
        <v>2515</v>
      </c>
      <c r="P937" t="s">
        <v>20</v>
      </c>
      <c r="Q937">
        <f>(VALUE(LEFT(SUBSTITUTE(O937,"T"," "),23)) - VALUE(LEFT(SUBSTITUTE(N937,"T"," "),23))) * 86400</f>
        <v>245.76599998399615</v>
      </c>
      <c r="R937">
        <f>I937/G937</f>
        <v>0.15012760846719714</v>
      </c>
      <c r="S937">
        <f>H937/G937</f>
        <v>0.48791472751839066</v>
      </c>
    </row>
    <row r="938" spans="1:19" x14ac:dyDescent="0.2">
      <c r="A938">
        <v>7</v>
      </c>
      <c r="B938" t="s">
        <v>2531</v>
      </c>
      <c r="C938">
        <v>2</v>
      </c>
      <c r="D938">
        <v>2</v>
      </c>
      <c r="E938">
        <v>1006</v>
      </c>
      <c r="F938" t="b">
        <v>1</v>
      </c>
      <c r="G938">
        <v>49.828000000000003</v>
      </c>
      <c r="H938">
        <v>27</v>
      </c>
      <c r="I938">
        <v>1</v>
      </c>
      <c r="J938">
        <v>0.12</v>
      </c>
      <c r="K938" t="s">
        <v>2910</v>
      </c>
      <c r="L938">
        <v>0</v>
      </c>
      <c r="N938" t="s">
        <v>2911</v>
      </c>
      <c r="O938" t="s">
        <v>2912</v>
      </c>
      <c r="Q938">
        <f>(VALUE(LEFT(SUBSTITUTE(O938,"T"," "),23)) - VALUE(LEFT(SUBSTITUTE(N938,"T"," "),23))) * 86400</f>
        <v>139.52799998223782</v>
      </c>
      <c r="R938">
        <f>I938/G938</f>
        <v>2.0069037488962028E-2</v>
      </c>
      <c r="S938">
        <f>H938/G938</f>
        <v>0.54186401220197478</v>
      </c>
    </row>
    <row r="939" spans="1:19" x14ac:dyDescent="0.2">
      <c r="A939">
        <v>63</v>
      </c>
      <c r="B939" t="s">
        <v>25</v>
      </c>
      <c r="C939">
        <v>2</v>
      </c>
      <c r="D939">
        <v>3</v>
      </c>
      <c r="E939">
        <v>1009</v>
      </c>
      <c r="F939" t="b">
        <v>1</v>
      </c>
      <c r="G939">
        <v>51.268000000000001</v>
      </c>
      <c r="H939">
        <v>28</v>
      </c>
      <c r="I939">
        <v>0</v>
      </c>
      <c r="J939">
        <v>0</v>
      </c>
      <c r="K939" t="s">
        <v>1950</v>
      </c>
      <c r="L939">
        <v>0</v>
      </c>
      <c r="N939" t="s">
        <v>1951</v>
      </c>
      <c r="O939" t="s">
        <v>1952</v>
      </c>
      <c r="P939" t="s">
        <v>20</v>
      </c>
      <c r="Q939">
        <f>(VALUE(LEFT(SUBSTITUTE(O939,"T"," "),23)) - VALUE(LEFT(SUBSTITUTE(N939,"T"," "),23))) * 86400</f>
        <v>106.12499958369881</v>
      </c>
      <c r="R939">
        <f>I939/G939</f>
        <v>0</v>
      </c>
      <c r="S939">
        <f>H939/G939</f>
        <v>0.54614964500273078</v>
      </c>
    </row>
    <row r="940" spans="1:19" hidden="1" x14ac:dyDescent="0.2">
      <c r="A940">
        <v>23</v>
      </c>
      <c r="B940" t="s">
        <v>2531</v>
      </c>
      <c r="C940">
        <v>5</v>
      </c>
      <c r="D940">
        <v>3</v>
      </c>
      <c r="E940">
        <v>1022</v>
      </c>
      <c r="F940" t="b">
        <v>1</v>
      </c>
      <c r="G940">
        <v>110.212</v>
      </c>
      <c r="H940">
        <v>18</v>
      </c>
      <c r="I940">
        <v>3</v>
      </c>
      <c r="J940">
        <v>0.42</v>
      </c>
      <c r="K940" t="s">
        <v>2838</v>
      </c>
      <c r="L940">
        <v>0</v>
      </c>
      <c r="N940" t="s">
        <v>2839</v>
      </c>
      <c r="O940" t="s">
        <v>2840</v>
      </c>
      <c r="P940" t="s">
        <v>20</v>
      </c>
      <c r="Q940">
        <f>(VALUE(LEFT(SUBSTITUTE(O940,"T"," "),23)) - VALUE(LEFT(SUBSTITUTE(N940,"T"," "),23))) * 86400</f>
        <v>592.88599973078817</v>
      </c>
      <c r="R940">
        <f>I940/G940</f>
        <v>2.7220266395673792E-2</v>
      </c>
      <c r="S940">
        <f>H940/G940</f>
        <v>0.16332159837404275</v>
      </c>
    </row>
    <row r="941" spans="1:19" hidden="1" x14ac:dyDescent="0.2">
      <c r="A941">
        <v>20</v>
      </c>
      <c r="B941" t="s">
        <v>2476</v>
      </c>
      <c r="C941">
        <v>0</v>
      </c>
      <c r="D941">
        <v>3</v>
      </c>
      <c r="E941">
        <v>1022</v>
      </c>
      <c r="F941" t="b">
        <v>1</v>
      </c>
      <c r="G941">
        <v>52.363999999999997</v>
      </c>
      <c r="H941">
        <v>19</v>
      </c>
      <c r="I941">
        <v>2</v>
      </c>
      <c r="J941">
        <v>1.02</v>
      </c>
      <c r="K941" t="s">
        <v>2829</v>
      </c>
      <c r="L941">
        <v>0</v>
      </c>
      <c r="N941" t="s">
        <v>2830</v>
      </c>
      <c r="O941" t="s">
        <v>2831</v>
      </c>
      <c r="P941" t="s">
        <v>20</v>
      </c>
      <c r="Q941">
        <f>(VALUE(LEFT(SUBSTITUTE(O941,"T"," "),23)) - VALUE(LEFT(SUBSTITUTE(N941,"T"," "),23))) * 86400</f>
        <v>286.92800011485815</v>
      </c>
      <c r="R941">
        <f>I941/G941</f>
        <v>3.8194179207088841E-2</v>
      </c>
      <c r="S941">
        <f>H941/G941</f>
        <v>0.36284470246734402</v>
      </c>
    </row>
    <row r="942" spans="1:19" hidden="1" x14ac:dyDescent="0.2">
      <c r="A942">
        <v>2</v>
      </c>
      <c r="B942" t="s">
        <v>21</v>
      </c>
      <c r="C942">
        <v>-1</v>
      </c>
      <c r="D942">
        <v>1</v>
      </c>
      <c r="E942">
        <v>1022</v>
      </c>
      <c r="F942" t="b">
        <v>1</v>
      </c>
      <c r="G942">
        <v>41.183999999999997</v>
      </c>
      <c r="H942">
        <v>20</v>
      </c>
      <c r="I942">
        <v>7</v>
      </c>
      <c r="J942">
        <v>5.76</v>
      </c>
      <c r="K942" t="s">
        <v>1400</v>
      </c>
      <c r="L942">
        <v>0</v>
      </c>
      <c r="N942" t="s">
        <v>1401</v>
      </c>
      <c r="O942" t="s">
        <v>1402</v>
      </c>
      <c r="P942" t="s">
        <v>20</v>
      </c>
      <c r="Q942">
        <f>(VALUE(LEFT(SUBSTITUTE(O942,"T"," "),23)) - VALUE(LEFT(SUBSTITUTE(N942,"T"," "),23))) * 86400</f>
        <v>192.24700026679784</v>
      </c>
      <c r="R942">
        <f>I942/G942</f>
        <v>0.16996891996891997</v>
      </c>
      <c r="S942">
        <f>H942/G942</f>
        <v>0.48562548562548563</v>
      </c>
    </row>
    <row r="943" spans="1:19" hidden="1" x14ac:dyDescent="0.2">
      <c r="A943">
        <v>24</v>
      </c>
      <c r="B943" t="s">
        <v>2476</v>
      </c>
      <c r="C943">
        <v>5</v>
      </c>
      <c r="D943">
        <v>3</v>
      </c>
      <c r="E943">
        <v>1022</v>
      </c>
      <c r="F943" t="b">
        <v>1</v>
      </c>
      <c r="G943">
        <v>51.131999999999998</v>
      </c>
      <c r="H943">
        <v>17</v>
      </c>
      <c r="I943">
        <v>3</v>
      </c>
      <c r="J943">
        <v>1.2</v>
      </c>
      <c r="K943" t="s">
        <v>2841</v>
      </c>
      <c r="L943">
        <v>0</v>
      </c>
      <c r="N943" t="s">
        <v>2842</v>
      </c>
      <c r="O943" t="s">
        <v>2843</v>
      </c>
      <c r="P943" t="s">
        <v>20</v>
      </c>
      <c r="Q943">
        <f>(VALUE(LEFT(SUBSTITUTE(O943,"T"," "),23)) - VALUE(LEFT(SUBSTITUTE(N943,"T"," "),23))) * 86400</f>
        <v>310.34799981862307</v>
      </c>
      <c r="R943">
        <f>I943/G943</f>
        <v>5.8671673316122976E-2</v>
      </c>
      <c r="S943">
        <f>H943/G943</f>
        <v>0.3324728154580302</v>
      </c>
    </row>
    <row r="944" spans="1:19" hidden="1" x14ac:dyDescent="0.2">
      <c r="A944">
        <v>27</v>
      </c>
      <c r="B944" t="s">
        <v>2531</v>
      </c>
      <c r="C944">
        <v>0</v>
      </c>
      <c r="D944">
        <v>4</v>
      </c>
      <c r="E944">
        <v>1023</v>
      </c>
      <c r="F944" t="b">
        <v>1</v>
      </c>
      <c r="G944">
        <v>68.48</v>
      </c>
      <c r="H944">
        <v>25</v>
      </c>
      <c r="I944">
        <v>5</v>
      </c>
      <c r="J944">
        <v>2.64</v>
      </c>
      <c r="K944" t="s">
        <v>2850</v>
      </c>
      <c r="L944">
        <v>0</v>
      </c>
      <c r="N944" t="s">
        <v>2851</v>
      </c>
      <c r="O944" t="s">
        <v>2852</v>
      </c>
      <c r="P944" t="s">
        <v>20</v>
      </c>
      <c r="Q944">
        <f>(VALUE(LEFT(SUBSTITUTE(O944,"T"," "),23)) - VALUE(LEFT(SUBSTITUTE(N944,"T"," "),23))) * 86400</f>
        <v>385.76899990439415</v>
      </c>
      <c r="R944">
        <f>I944/G944</f>
        <v>7.3014018691588786E-2</v>
      </c>
      <c r="S944">
        <f>H944/G944</f>
        <v>0.36507009345794389</v>
      </c>
    </row>
    <row r="945" spans="1:19" hidden="1" x14ac:dyDescent="0.2">
      <c r="A945">
        <v>18</v>
      </c>
      <c r="B945" t="s">
        <v>2476</v>
      </c>
      <c r="C945">
        <v>-1</v>
      </c>
      <c r="D945">
        <v>3</v>
      </c>
      <c r="E945">
        <v>1022</v>
      </c>
      <c r="F945" t="b">
        <v>1</v>
      </c>
      <c r="G945">
        <v>41.292000000000002</v>
      </c>
      <c r="H945">
        <v>20</v>
      </c>
      <c r="I945">
        <v>7</v>
      </c>
      <c r="J945">
        <v>6.36</v>
      </c>
      <c r="K945" t="s">
        <v>2823</v>
      </c>
      <c r="L945">
        <v>0</v>
      </c>
      <c r="N945" t="s">
        <v>2824</v>
      </c>
      <c r="O945" t="s">
        <v>2825</v>
      </c>
      <c r="P945" t="s">
        <v>20</v>
      </c>
      <c r="Q945">
        <f>(VALUE(LEFT(SUBSTITUTE(O945,"T"," "),23)) - VALUE(LEFT(SUBSTITUTE(N945,"T"," "),23))) * 86400</f>
        <v>271.92799975164235</v>
      </c>
      <c r="R945">
        <f>I945/G945</f>
        <v>0.16952436307275015</v>
      </c>
      <c r="S945">
        <f>H945/G945</f>
        <v>0.48435532306500045</v>
      </c>
    </row>
    <row r="946" spans="1:19" x14ac:dyDescent="0.2">
      <c r="A946">
        <v>9</v>
      </c>
      <c r="B946" t="s">
        <v>25</v>
      </c>
      <c r="C946">
        <v>2</v>
      </c>
      <c r="D946">
        <v>1</v>
      </c>
      <c r="E946">
        <v>1010</v>
      </c>
      <c r="F946" t="b">
        <v>1</v>
      </c>
      <c r="G946">
        <v>52.584000000000003</v>
      </c>
      <c r="H946">
        <v>29</v>
      </c>
      <c r="I946">
        <v>2</v>
      </c>
      <c r="J946">
        <v>0.12</v>
      </c>
      <c r="K946" t="s">
        <v>134</v>
      </c>
      <c r="L946">
        <v>0</v>
      </c>
      <c r="N946" t="s">
        <v>135</v>
      </c>
      <c r="O946" t="s">
        <v>136</v>
      </c>
      <c r="P946" t="s">
        <v>20</v>
      </c>
      <c r="Q946">
        <f>(VALUE(LEFT(SUBSTITUTE(O946,"T"," "),23)) - VALUE(LEFT(SUBSTITUTE(N946,"T"," "),23))) * 86400</f>
        <v>183.36799994576722</v>
      </c>
      <c r="R946">
        <f>I946/G946</f>
        <v>3.8034383082306403E-2</v>
      </c>
      <c r="S946">
        <f>H946/G946</f>
        <v>0.55149855469344289</v>
      </c>
    </row>
    <row r="947" spans="1:19" hidden="1" x14ac:dyDescent="0.2">
      <c r="A947">
        <v>2</v>
      </c>
      <c r="B947" t="s">
        <v>2476</v>
      </c>
      <c r="C947">
        <v>-1</v>
      </c>
      <c r="D947">
        <v>1</v>
      </c>
      <c r="E947">
        <v>1020</v>
      </c>
      <c r="F947" t="b">
        <v>1</v>
      </c>
      <c r="G947">
        <v>55.9</v>
      </c>
      <c r="H947">
        <v>27</v>
      </c>
      <c r="I947">
        <v>3</v>
      </c>
      <c r="J947">
        <v>1.98</v>
      </c>
      <c r="K947" t="s">
        <v>2775</v>
      </c>
      <c r="L947">
        <v>0</v>
      </c>
      <c r="N947" t="s">
        <v>2776</v>
      </c>
      <c r="O947" t="s">
        <v>2777</v>
      </c>
      <c r="P947" t="s">
        <v>20</v>
      </c>
      <c r="Q947">
        <f>(VALUE(LEFT(SUBSTITUTE(O947,"T"," "),23)) - VALUE(LEFT(SUBSTITUTE(N947,"T"," "),23))) * 86400</f>
        <v>321.90900002606213</v>
      </c>
      <c r="R947">
        <f>I947/G947</f>
        <v>5.3667262969588556E-2</v>
      </c>
      <c r="S947">
        <f>H947/G947</f>
        <v>0.48300536672629696</v>
      </c>
    </row>
    <row r="948" spans="1:19" hidden="1" x14ac:dyDescent="0.2">
      <c r="A948">
        <v>31</v>
      </c>
      <c r="B948" t="s">
        <v>2531</v>
      </c>
      <c r="C948">
        <v>5</v>
      </c>
      <c r="D948">
        <v>4</v>
      </c>
      <c r="E948">
        <v>1023</v>
      </c>
      <c r="F948" t="b">
        <v>1</v>
      </c>
      <c r="G948">
        <v>68.14</v>
      </c>
      <c r="H948">
        <v>26</v>
      </c>
      <c r="I948">
        <v>0</v>
      </c>
      <c r="J948">
        <v>0</v>
      </c>
      <c r="K948" t="s">
        <v>2862</v>
      </c>
      <c r="L948">
        <v>0</v>
      </c>
      <c r="N948" t="s">
        <v>2863</v>
      </c>
      <c r="O948" t="s">
        <v>2864</v>
      </c>
      <c r="P948" t="s">
        <v>20</v>
      </c>
      <c r="Q948">
        <f>(VALUE(LEFT(SUBSTITUTE(O948,"T"," "),23)) - VALUE(LEFT(SUBSTITUTE(N948,"T"," "),23))) * 86400</f>
        <v>361.47900014184415</v>
      </c>
      <c r="R948">
        <f>I948/G948</f>
        <v>0</v>
      </c>
      <c r="S948">
        <f>H948/G948</f>
        <v>0.38156736131493985</v>
      </c>
    </row>
    <row r="949" spans="1:19" hidden="1" x14ac:dyDescent="0.2">
      <c r="A949">
        <v>28</v>
      </c>
      <c r="B949" t="s">
        <v>2476</v>
      </c>
      <c r="C949">
        <v>0</v>
      </c>
      <c r="D949">
        <v>4</v>
      </c>
      <c r="E949">
        <v>1023</v>
      </c>
      <c r="F949" t="b">
        <v>1</v>
      </c>
      <c r="G949">
        <v>51.823999999999998</v>
      </c>
      <c r="H949">
        <v>24</v>
      </c>
      <c r="I949">
        <v>0</v>
      </c>
      <c r="J949">
        <v>0</v>
      </c>
      <c r="K949" t="s">
        <v>2853</v>
      </c>
      <c r="L949">
        <v>0</v>
      </c>
      <c r="N949" t="s">
        <v>2854</v>
      </c>
      <c r="O949" t="s">
        <v>2855</v>
      </c>
      <c r="P949" t="s">
        <v>20</v>
      </c>
      <c r="Q949">
        <f>(VALUE(LEFT(SUBSTITUTE(O949,"T"," "),23)) - VALUE(LEFT(SUBSTITUTE(N949,"T"," "),23))) * 86400</f>
        <v>291.41000029630959</v>
      </c>
      <c r="R949">
        <f>I949/G949</f>
        <v>0</v>
      </c>
      <c r="S949">
        <f>H949/G949</f>
        <v>0.46310589688175363</v>
      </c>
    </row>
    <row r="950" spans="1:19" hidden="1" x14ac:dyDescent="0.2">
      <c r="A950">
        <v>25</v>
      </c>
      <c r="B950" t="s">
        <v>2531</v>
      </c>
      <c r="C950">
        <v>-1</v>
      </c>
      <c r="D950">
        <v>4</v>
      </c>
      <c r="E950">
        <v>1003</v>
      </c>
      <c r="F950" t="b">
        <v>1</v>
      </c>
      <c r="G950">
        <v>60.183999999999997</v>
      </c>
      <c r="H950">
        <v>29</v>
      </c>
      <c r="I950">
        <v>6</v>
      </c>
      <c r="J950">
        <v>6.66</v>
      </c>
      <c r="K950" t="s">
        <v>2604</v>
      </c>
      <c r="L950">
        <v>0</v>
      </c>
      <c r="N950" t="s">
        <v>2605</v>
      </c>
      <c r="O950" t="s">
        <v>2606</v>
      </c>
      <c r="P950" t="s">
        <v>20</v>
      </c>
      <c r="Q950">
        <f>(VALUE(LEFT(SUBSTITUTE(O950,"T"," "),23)) - VALUE(LEFT(SUBSTITUTE(N950,"T"," "),23))) * 86400</f>
        <v>319.36499979346991</v>
      </c>
      <c r="R950">
        <f>I950/G950</f>
        <v>9.9694270902565468E-2</v>
      </c>
      <c r="S950">
        <f>H950/G950</f>
        <v>0.48185564269573311</v>
      </c>
    </row>
    <row r="951" spans="1:19" hidden="1" x14ac:dyDescent="0.2">
      <c r="A951">
        <v>32</v>
      </c>
      <c r="B951" t="s">
        <v>2476</v>
      </c>
      <c r="C951">
        <v>5</v>
      </c>
      <c r="D951">
        <v>4</v>
      </c>
      <c r="E951">
        <v>1023</v>
      </c>
      <c r="F951" t="b">
        <v>1</v>
      </c>
      <c r="G951">
        <v>62.415999999999997</v>
      </c>
      <c r="H951">
        <v>26</v>
      </c>
      <c r="I951">
        <v>2</v>
      </c>
      <c r="J951">
        <v>0.66</v>
      </c>
      <c r="K951" t="s">
        <v>2865</v>
      </c>
      <c r="L951">
        <v>0</v>
      </c>
      <c r="N951" t="s">
        <v>2866</v>
      </c>
      <c r="O951" t="s">
        <v>2867</v>
      </c>
      <c r="P951" t="s">
        <v>20</v>
      </c>
      <c r="Q951">
        <f>(VALUE(LEFT(SUBSTITUTE(O951,"T"," "),23)) - VALUE(LEFT(SUBSTITUTE(N951,"T"," "),23))) * 86400</f>
        <v>292.22400023136288</v>
      </c>
      <c r="R951">
        <f>I951/G951</f>
        <v>3.2043065880543453E-2</v>
      </c>
      <c r="S951">
        <f>H951/G951</f>
        <v>0.41655985644706489</v>
      </c>
    </row>
    <row r="952" spans="1:19" hidden="1" x14ac:dyDescent="0.2">
      <c r="A952">
        <v>35</v>
      </c>
      <c r="B952" t="s">
        <v>2531</v>
      </c>
      <c r="C952">
        <v>0</v>
      </c>
      <c r="D952">
        <v>5</v>
      </c>
      <c r="E952">
        <v>1024</v>
      </c>
      <c r="F952" t="b">
        <v>1</v>
      </c>
      <c r="G952">
        <v>46.14</v>
      </c>
      <c r="H952">
        <v>30</v>
      </c>
      <c r="I952">
        <v>1</v>
      </c>
      <c r="J952">
        <v>0.9</v>
      </c>
      <c r="K952" t="s">
        <v>2874</v>
      </c>
      <c r="L952">
        <v>0</v>
      </c>
      <c r="N952" t="s">
        <v>2875</v>
      </c>
      <c r="O952" t="s">
        <v>2876</v>
      </c>
      <c r="P952" t="s">
        <v>20</v>
      </c>
      <c r="Q952">
        <f>(VALUE(LEFT(SUBSTITUTE(O952,"T"," "),23)) - VALUE(LEFT(SUBSTITUTE(N952,"T"," "),23))) * 86400</f>
        <v>201.34200034663081</v>
      </c>
      <c r="R952">
        <f>I952/G952</f>
        <v>2.1673168617251843E-2</v>
      </c>
      <c r="S952">
        <f>H952/G952</f>
        <v>0.65019505851755521</v>
      </c>
    </row>
    <row r="953" spans="1:19" x14ac:dyDescent="0.2">
      <c r="A953">
        <v>30</v>
      </c>
      <c r="B953" t="s">
        <v>2476</v>
      </c>
      <c r="C953">
        <v>2</v>
      </c>
      <c r="D953">
        <v>4</v>
      </c>
      <c r="E953">
        <v>1023</v>
      </c>
      <c r="F953" t="b">
        <v>1</v>
      </c>
      <c r="G953">
        <v>42.124000000000002</v>
      </c>
      <c r="H953">
        <v>26</v>
      </c>
      <c r="I953">
        <v>4</v>
      </c>
      <c r="J953">
        <v>2.04</v>
      </c>
      <c r="K953" t="s">
        <v>2859</v>
      </c>
      <c r="L953">
        <v>0</v>
      </c>
      <c r="N953" t="s">
        <v>2860</v>
      </c>
      <c r="O953" t="s">
        <v>2861</v>
      </c>
      <c r="P953" t="s">
        <v>20</v>
      </c>
      <c r="Q953">
        <f>(VALUE(LEFT(SUBSTITUTE(O953,"T"," "),23)) - VALUE(LEFT(SUBSTITUTE(N953,"T"," "),23))) * 86400</f>
        <v>230.27100004255772</v>
      </c>
      <c r="R953">
        <f>I953/G953</f>
        <v>9.4957743804007205E-2</v>
      </c>
      <c r="S953">
        <f>H953/G953</f>
        <v>0.6172253347260469</v>
      </c>
    </row>
    <row r="954" spans="1:19" hidden="1" x14ac:dyDescent="0.2">
      <c r="A954">
        <v>10</v>
      </c>
      <c r="B954" t="s">
        <v>2476</v>
      </c>
      <c r="C954">
        <v>-1</v>
      </c>
      <c r="D954">
        <v>2</v>
      </c>
      <c r="E954">
        <v>1021</v>
      </c>
      <c r="F954" t="b">
        <v>1</v>
      </c>
      <c r="G954">
        <v>60.503999999999998</v>
      </c>
      <c r="H954">
        <v>29</v>
      </c>
      <c r="I954">
        <v>12</v>
      </c>
      <c r="J954">
        <v>13.56</v>
      </c>
      <c r="K954" t="s">
        <v>2799</v>
      </c>
      <c r="L954">
        <v>0</v>
      </c>
      <c r="N954" t="s">
        <v>2800</v>
      </c>
      <c r="O954" t="s">
        <v>2801</v>
      </c>
      <c r="P954" t="s">
        <v>20</v>
      </c>
      <c r="Q954">
        <f>(VALUE(LEFT(SUBSTITUTE(O954,"T"," "),23)) - VALUE(LEFT(SUBSTITUTE(N954,"T"," "),23))) * 86400</f>
        <v>320.37000025156885</v>
      </c>
      <c r="R954">
        <f>I954/G954</f>
        <v>0.19833399444664818</v>
      </c>
      <c r="S954">
        <f>H954/G954</f>
        <v>0.47930715324606638</v>
      </c>
    </row>
    <row r="955" spans="1:19" hidden="1" x14ac:dyDescent="0.2">
      <c r="A955" s="1">
        <v>1</v>
      </c>
      <c r="B955" s="1" t="s">
        <v>16</v>
      </c>
      <c r="C955" s="1">
        <v>-1</v>
      </c>
      <c r="D955" s="1">
        <v>1</v>
      </c>
      <c r="E955" s="1">
        <v>1021</v>
      </c>
      <c r="F955" s="1" t="b">
        <v>1</v>
      </c>
      <c r="G955" s="1">
        <v>56.527999999999999</v>
      </c>
      <c r="H955" s="1">
        <v>27</v>
      </c>
      <c r="I955" s="1">
        <v>9</v>
      </c>
      <c r="J955" s="1">
        <v>7.26</v>
      </c>
      <c r="K955" s="1" t="s">
        <v>452</v>
      </c>
      <c r="L955" s="1">
        <v>0</v>
      </c>
      <c r="M955" s="1"/>
      <c r="N955" s="1" t="s">
        <v>453</v>
      </c>
      <c r="O955" s="1" t="s">
        <v>454</v>
      </c>
      <c r="P955" s="1" t="s">
        <v>20</v>
      </c>
      <c r="Q955">
        <f>(VALUE(LEFT(SUBSTITUTE(O955,"T"," "),23)) - VALUE(LEFT(SUBSTITUTE(N955,"T"," "),23))) * 86400</f>
        <v>271.65199981536716</v>
      </c>
      <c r="R955">
        <f>I955/G955</f>
        <v>0.15921313331446363</v>
      </c>
      <c r="S955">
        <f>H955/G955</f>
        <v>0.47763939994339089</v>
      </c>
    </row>
    <row r="956" spans="1:19" hidden="1" x14ac:dyDescent="0.2">
      <c r="A956">
        <v>39</v>
      </c>
      <c r="B956" t="s">
        <v>2531</v>
      </c>
      <c r="C956">
        <v>5</v>
      </c>
      <c r="D956">
        <v>5</v>
      </c>
      <c r="E956">
        <v>1024</v>
      </c>
      <c r="F956" t="b">
        <v>1</v>
      </c>
      <c r="G956">
        <v>69.64</v>
      </c>
      <c r="H956">
        <v>29</v>
      </c>
      <c r="I956">
        <v>2</v>
      </c>
      <c r="J956">
        <v>3.24</v>
      </c>
      <c r="K956" t="s">
        <v>2886</v>
      </c>
      <c r="L956">
        <v>0</v>
      </c>
      <c r="N956" t="s">
        <v>2887</v>
      </c>
      <c r="O956" t="s">
        <v>2888</v>
      </c>
      <c r="P956" t="s">
        <v>20</v>
      </c>
      <c r="Q956">
        <f>(VALUE(LEFT(SUBSTITUTE(O956,"T"," "),23)) - VALUE(LEFT(SUBSTITUTE(N956,"T"," "),23))) * 86400</f>
        <v>419.37899978365749</v>
      </c>
      <c r="R956">
        <f>I956/G956</f>
        <v>2.8719126938541069E-2</v>
      </c>
      <c r="S956">
        <f>H956/G956</f>
        <v>0.41642734060884551</v>
      </c>
    </row>
    <row r="957" spans="1:19" x14ac:dyDescent="0.2">
      <c r="A957">
        <v>38</v>
      </c>
      <c r="B957" t="s">
        <v>2476</v>
      </c>
      <c r="C957">
        <v>2</v>
      </c>
      <c r="D957">
        <v>5</v>
      </c>
      <c r="E957">
        <v>1024</v>
      </c>
      <c r="F957" t="b">
        <v>1</v>
      </c>
      <c r="G957">
        <v>73.828000000000003</v>
      </c>
      <c r="H957">
        <v>24</v>
      </c>
      <c r="I957">
        <v>3</v>
      </c>
      <c r="J957">
        <v>0.54</v>
      </c>
      <c r="K957" t="s">
        <v>2883</v>
      </c>
      <c r="L957">
        <v>0</v>
      </c>
      <c r="N957" t="s">
        <v>2884</v>
      </c>
      <c r="O957" t="s">
        <v>2885</v>
      </c>
      <c r="P957" t="s">
        <v>20</v>
      </c>
      <c r="Q957">
        <f>(VALUE(LEFT(SUBSTITUTE(O957,"T"," "),23)) - VALUE(LEFT(SUBSTITUTE(N957,"T"," "),23))) * 86400</f>
        <v>396.89700042363256</v>
      </c>
      <c r="R957">
        <f>I957/G957</f>
        <v>4.0634989434902742E-2</v>
      </c>
      <c r="S957">
        <f>H957/G957</f>
        <v>0.32507991547922194</v>
      </c>
    </row>
    <row r="958" spans="1:19" hidden="1" x14ac:dyDescent="0.2">
      <c r="A958">
        <v>26</v>
      </c>
      <c r="B958" t="s">
        <v>2476</v>
      </c>
      <c r="C958">
        <v>-1</v>
      </c>
      <c r="D958">
        <v>4</v>
      </c>
      <c r="E958">
        <v>1013</v>
      </c>
      <c r="F958" t="b">
        <v>1</v>
      </c>
      <c r="G958">
        <v>56.543999999999997</v>
      </c>
      <c r="H958">
        <v>27</v>
      </c>
      <c r="I958">
        <v>10</v>
      </c>
      <c r="J958">
        <v>9.42</v>
      </c>
      <c r="K958" t="s">
        <v>2727</v>
      </c>
      <c r="L958">
        <v>0</v>
      </c>
      <c r="N958" t="s">
        <v>2728</v>
      </c>
      <c r="O958" t="s">
        <v>2729</v>
      </c>
      <c r="P958" t="s">
        <v>20</v>
      </c>
      <c r="Q958">
        <f>(VALUE(LEFT(SUBSTITUTE(O958,"T"," "),23)) - VALUE(LEFT(SUBSTITUTE(N958,"T"," "),23))) * 86400</f>
        <v>311.45399990491569</v>
      </c>
      <c r="R958">
        <f>I958/G958</f>
        <v>0.17685342388228636</v>
      </c>
      <c r="S958">
        <f>H958/G958</f>
        <v>0.47750424448217321</v>
      </c>
    </row>
    <row r="959" spans="1:19" hidden="1" x14ac:dyDescent="0.2">
      <c r="A959">
        <v>2</v>
      </c>
      <c r="B959" t="s">
        <v>21</v>
      </c>
      <c r="C959">
        <v>-1</v>
      </c>
      <c r="D959">
        <v>1</v>
      </c>
      <c r="E959">
        <v>1012</v>
      </c>
      <c r="F959" t="b">
        <v>1</v>
      </c>
      <c r="G959">
        <v>62.904000000000003</v>
      </c>
      <c r="H959">
        <v>30</v>
      </c>
      <c r="I959">
        <v>8</v>
      </c>
      <c r="J959">
        <v>10.44</v>
      </c>
      <c r="K959" t="s">
        <v>979</v>
      </c>
      <c r="L959">
        <v>0</v>
      </c>
      <c r="N959" t="s">
        <v>980</v>
      </c>
      <c r="O959" t="s">
        <v>981</v>
      </c>
      <c r="P959" t="s">
        <v>20</v>
      </c>
      <c r="Q959">
        <f>(VALUE(LEFT(SUBSTITUTE(O959,"T"," "),23)) - VALUE(LEFT(SUBSTITUTE(N959,"T"," "),23))) * 86400</f>
        <v>244.76400003768504</v>
      </c>
      <c r="R959">
        <f>I959/G959</f>
        <v>0.12717792191275593</v>
      </c>
      <c r="S959">
        <f>H959/G959</f>
        <v>0.47691720717283476</v>
      </c>
    </row>
    <row r="960" spans="1:19" x14ac:dyDescent="0.2">
      <c r="A960">
        <v>36</v>
      </c>
      <c r="B960" t="s">
        <v>25</v>
      </c>
      <c r="C960">
        <v>2</v>
      </c>
      <c r="D960">
        <v>2</v>
      </c>
      <c r="E960">
        <v>1018</v>
      </c>
      <c r="F960" t="b">
        <v>1</v>
      </c>
      <c r="G960">
        <v>50.231999999999999</v>
      </c>
      <c r="H960">
        <v>28</v>
      </c>
      <c r="I960">
        <v>1</v>
      </c>
      <c r="J960">
        <v>0.06</v>
      </c>
      <c r="K960" t="s">
        <v>2096</v>
      </c>
      <c r="L960">
        <v>0</v>
      </c>
      <c r="N960" t="s">
        <v>2097</v>
      </c>
      <c r="O960" t="s">
        <v>2098</v>
      </c>
      <c r="P960" t="s">
        <v>20</v>
      </c>
      <c r="Q960">
        <f>(VALUE(LEFT(SUBSTITUTE(O960,"T"," "),23)) - VALUE(LEFT(SUBSTITUTE(N960,"T"," "),23))) * 86400</f>
        <v>126.56600028276443</v>
      </c>
      <c r="R960">
        <f>I960/G960</f>
        <v>1.9907628603280776E-2</v>
      </c>
      <c r="S960">
        <f>H960/G960</f>
        <v>0.55741360089186176</v>
      </c>
    </row>
    <row r="961" spans="1:19" x14ac:dyDescent="0.2">
      <c r="A961" s="1">
        <v>8</v>
      </c>
      <c r="B961" s="1" t="s">
        <v>21</v>
      </c>
      <c r="C961" s="1">
        <v>2</v>
      </c>
      <c r="D961" s="1">
        <v>1</v>
      </c>
      <c r="E961" s="1">
        <v>1011</v>
      </c>
      <c r="F961" s="1" t="b">
        <v>1</v>
      </c>
      <c r="G961" s="1">
        <v>47.747999999999998</v>
      </c>
      <c r="H961" s="1">
        <v>27</v>
      </c>
      <c r="I961" s="1">
        <v>2</v>
      </c>
      <c r="J961" s="1">
        <v>1.02</v>
      </c>
      <c r="K961" s="1" t="s">
        <v>392</v>
      </c>
      <c r="L961" s="1">
        <v>0</v>
      </c>
      <c r="M961" s="1"/>
      <c r="N961" s="1" t="s">
        <v>393</v>
      </c>
      <c r="O961" s="1" t="s">
        <v>394</v>
      </c>
      <c r="P961" s="1" t="s">
        <v>20</v>
      </c>
      <c r="Q961">
        <f>(VALUE(LEFT(SUBSTITUTE(O961,"T"," "),23)) - VALUE(LEFT(SUBSTITUTE(N961,"T"," "),23))) * 86400</f>
        <v>210.20300011150539</v>
      </c>
      <c r="R961">
        <f>I961/G961</f>
        <v>4.1886571165284409E-2</v>
      </c>
      <c r="S961">
        <f>H961/G961</f>
        <v>0.56546871073133953</v>
      </c>
    </row>
    <row r="962" spans="1:19" hidden="1" x14ac:dyDescent="0.2">
      <c r="A962">
        <v>33</v>
      </c>
      <c r="B962" t="s">
        <v>2531</v>
      </c>
      <c r="C962">
        <v>-1</v>
      </c>
      <c r="D962">
        <v>5</v>
      </c>
      <c r="E962">
        <v>1004</v>
      </c>
      <c r="F962" t="b">
        <v>1</v>
      </c>
      <c r="G962">
        <v>50.584000000000003</v>
      </c>
      <c r="H962">
        <v>24</v>
      </c>
      <c r="I962">
        <v>5</v>
      </c>
      <c r="J962">
        <v>7.74</v>
      </c>
      <c r="K962" t="s">
        <v>2628</v>
      </c>
      <c r="L962">
        <v>0</v>
      </c>
      <c r="N962" t="s">
        <v>2629</v>
      </c>
      <c r="O962" t="s">
        <v>2630</v>
      </c>
      <c r="P962" t="s">
        <v>20</v>
      </c>
      <c r="Q962">
        <f>(VALUE(LEFT(SUBSTITUTE(O962,"T"," "),23)) - VALUE(LEFT(SUBSTITUTE(N962,"T"," "),23))) * 86400</f>
        <v>272.54399985540658</v>
      </c>
      <c r="R962">
        <f>I962/G962</f>
        <v>9.8845484738257147E-2</v>
      </c>
      <c r="S962">
        <f>H962/G962</f>
        <v>0.47445832674363431</v>
      </c>
    </row>
    <row r="963" spans="1:19" hidden="1" x14ac:dyDescent="0.2">
      <c r="A963">
        <v>36</v>
      </c>
      <c r="B963" t="s">
        <v>2476</v>
      </c>
      <c r="C963">
        <v>0</v>
      </c>
      <c r="D963">
        <v>5</v>
      </c>
      <c r="E963">
        <v>1024</v>
      </c>
      <c r="F963" t="b">
        <v>1</v>
      </c>
      <c r="G963">
        <v>40.176000000000002</v>
      </c>
      <c r="H963">
        <v>26</v>
      </c>
      <c r="I963">
        <v>1</v>
      </c>
      <c r="J963">
        <v>0.12</v>
      </c>
      <c r="K963" t="s">
        <v>2877</v>
      </c>
      <c r="L963">
        <v>0</v>
      </c>
      <c r="N963" t="s">
        <v>2878</v>
      </c>
      <c r="O963" t="s">
        <v>2879</v>
      </c>
      <c r="P963" t="s">
        <v>20</v>
      </c>
      <c r="Q963">
        <f>(VALUE(LEFT(SUBSTITUTE(O963,"T"," "),23)) - VALUE(LEFT(SUBSTITUTE(N963,"T"," "),23))) * 86400</f>
        <v>286.85599977616221</v>
      </c>
      <c r="R963">
        <f>I963/G963</f>
        <v>2.4890481879729191E-2</v>
      </c>
      <c r="S963">
        <f>H963/G963</f>
        <v>0.64715252887295893</v>
      </c>
    </row>
    <row r="964" spans="1:19" hidden="1" x14ac:dyDescent="0.2">
      <c r="A964">
        <v>40</v>
      </c>
      <c r="B964" t="s">
        <v>2476</v>
      </c>
      <c r="C964">
        <v>5</v>
      </c>
      <c r="D964">
        <v>5</v>
      </c>
      <c r="E964">
        <v>1024</v>
      </c>
      <c r="F964" t="b">
        <v>1</v>
      </c>
      <c r="G964">
        <v>52.988</v>
      </c>
      <c r="H964">
        <v>26</v>
      </c>
      <c r="I964">
        <v>2</v>
      </c>
      <c r="J964">
        <v>0.18</v>
      </c>
      <c r="K964" t="s">
        <v>1481</v>
      </c>
      <c r="L964">
        <v>0</v>
      </c>
      <c r="N964" t="s">
        <v>2889</v>
      </c>
      <c r="O964" t="s">
        <v>2890</v>
      </c>
      <c r="P964" t="s">
        <v>20</v>
      </c>
      <c r="Q964">
        <f>(VALUE(LEFT(SUBSTITUTE(O964,"T"," "),23)) - VALUE(LEFT(SUBSTITUTE(N964,"T"," "),23))) * 86400</f>
        <v>290.99800041876733</v>
      </c>
      <c r="R964">
        <f>I964/G964</f>
        <v>3.7744394957348833E-2</v>
      </c>
      <c r="S964">
        <f>H964/G964</f>
        <v>0.49067713444553485</v>
      </c>
    </row>
    <row r="965" spans="1:19" x14ac:dyDescent="0.2">
      <c r="A965">
        <v>63</v>
      </c>
      <c r="B965" t="s">
        <v>25</v>
      </c>
      <c r="C965">
        <v>2</v>
      </c>
      <c r="D965">
        <v>3</v>
      </c>
      <c r="E965">
        <v>1024</v>
      </c>
      <c r="F965" t="b">
        <v>1</v>
      </c>
      <c r="G965">
        <v>57.963999999999999</v>
      </c>
      <c r="H965">
        <v>33</v>
      </c>
      <c r="I965">
        <v>0</v>
      </c>
      <c r="J965">
        <v>0</v>
      </c>
      <c r="K965" t="s">
        <v>1583</v>
      </c>
      <c r="L965">
        <v>0</v>
      </c>
      <c r="N965" t="s">
        <v>1584</v>
      </c>
      <c r="O965" t="s">
        <v>1585</v>
      </c>
      <c r="P965" t="s">
        <v>20</v>
      </c>
      <c r="Q965">
        <f>(VALUE(LEFT(SUBSTITUTE(O965,"T"," "),23)) - VALUE(LEFT(SUBSTITUTE(N965,"T"," "),23))) * 86400</f>
        <v>254.6589995501563</v>
      </c>
      <c r="R965">
        <f>I965/G965</f>
        <v>0</v>
      </c>
      <c r="S965">
        <f>H965/G965</f>
        <v>0.56931888758539784</v>
      </c>
    </row>
    <row r="966" spans="1:19" hidden="1" x14ac:dyDescent="0.2">
      <c r="A966">
        <v>56</v>
      </c>
      <c r="B966" t="s">
        <v>21</v>
      </c>
      <c r="C966">
        <v>-1</v>
      </c>
      <c r="D966">
        <v>3</v>
      </c>
      <c r="E966">
        <v>1004</v>
      </c>
      <c r="F966" t="b">
        <v>1</v>
      </c>
      <c r="G966">
        <v>54.872</v>
      </c>
      <c r="H966">
        <v>26</v>
      </c>
      <c r="I966">
        <v>9</v>
      </c>
      <c r="J966">
        <v>5.7</v>
      </c>
      <c r="K966" t="s">
        <v>698</v>
      </c>
      <c r="L966">
        <v>0</v>
      </c>
      <c r="N966" t="s">
        <v>699</v>
      </c>
      <c r="O966" t="s">
        <v>700</v>
      </c>
      <c r="P966" t="s">
        <v>20</v>
      </c>
      <c r="Q966">
        <f>(VALUE(LEFT(SUBSTITUTE(O966,"T"," "),23)) - VALUE(LEFT(SUBSTITUTE(N966,"T"," "),23))) * 86400</f>
        <v>262.52300022169948</v>
      </c>
      <c r="R966">
        <f>I966/G966</f>
        <v>0.16401807843708996</v>
      </c>
      <c r="S966">
        <f>H966/G966</f>
        <v>0.47383000437381545</v>
      </c>
    </row>
    <row r="967" spans="1:19" x14ac:dyDescent="0.2">
      <c r="A967">
        <v>4</v>
      </c>
      <c r="B967" t="s">
        <v>2476</v>
      </c>
      <c r="C967">
        <v>2</v>
      </c>
      <c r="D967">
        <v>1</v>
      </c>
      <c r="E967">
        <v>1025</v>
      </c>
      <c r="F967" t="b">
        <v>1</v>
      </c>
      <c r="G967">
        <v>76.108000000000004</v>
      </c>
      <c r="H967">
        <v>21</v>
      </c>
      <c r="I967">
        <v>1</v>
      </c>
      <c r="J967">
        <v>0.18</v>
      </c>
      <c r="K967" t="s">
        <v>2949</v>
      </c>
      <c r="L967">
        <v>0</v>
      </c>
      <c r="N967" t="s">
        <v>2950</v>
      </c>
      <c r="O967" t="s">
        <v>2951</v>
      </c>
      <c r="Q967">
        <f>(VALUE(LEFT(SUBSTITUTE(O967,"T"," "),23)) - VALUE(LEFT(SUBSTITUTE(N967,"T"," "),23))) * 86400</f>
        <v>314.94499950204045</v>
      </c>
      <c r="R967">
        <f>I967/G967</f>
        <v>1.3139223209123876E-2</v>
      </c>
      <c r="S967">
        <f>H967/G967</f>
        <v>0.27592368739160139</v>
      </c>
    </row>
    <row r="968" spans="1:19" x14ac:dyDescent="0.2">
      <c r="A968">
        <v>89</v>
      </c>
      <c r="B968" t="s">
        <v>21</v>
      </c>
      <c r="C968">
        <v>2</v>
      </c>
      <c r="D968">
        <v>4</v>
      </c>
      <c r="E968">
        <v>1025</v>
      </c>
      <c r="F968" t="b">
        <v>1</v>
      </c>
      <c r="G968">
        <v>42.128</v>
      </c>
      <c r="H968">
        <v>24</v>
      </c>
      <c r="I968">
        <v>1</v>
      </c>
      <c r="J968">
        <v>0.12</v>
      </c>
      <c r="K968" t="s">
        <v>1661</v>
      </c>
      <c r="L968">
        <v>0</v>
      </c>
      <c r="N968" t="s">
        <v>1662</v>
      </c>
      <c r="O968" t="s">
        <v>1663</v>
      </c>
      <c r="P968" t="s">
        <v>20</v>
      </c>
      <c r="Q968">
        <f>(VALUE(LEFT(SUBSTITUTE(O968,"T"," "),23)) - VALUE(LEFT(SUBSTITUTE(N968,"T"," "),23))) * 86400</f>
        <v>205.57099948637187</v>
      </c>
      <c r="R968">
        <f>I968/G968</f>
        <v>2.3737181921762249E-2</v>
      </c>
      <c r="S968">
        <f>H968/G968</f>
        <v>0.56969236612229401</v>
      </c>
    </row>
    <row r="969" spans="1:19" x14ac:dyDescent="0.2">
      <c r="A969">
        <v>36</v>
      </c>
      <c r="B969" t="s">
        <v>25</v>
      </c>
      <c r="C969">
        <v>2</v>
      </c>
      <c r="D969">
        <v>2</v>
      </c>
      <c r="E969">
        <v>1028</v>
      </c>
      <c r="F969" t="b">
        <v>1</v>
      </c>
      <c r="G969">
        <v>52.332000000000001</v>
      </c>
      <c r="H969">
        <v>30</v>
      </c>
      <c r="I969">
        <v>0</v>
      </c>
      <c r="J969">
        <v>0</v>
      </c>
      <c r="K969" t="s">
        <v>2339</v>
      </c>
      <c r="L969">
        <v>0</v>
      </c>
      <c r="N969" t="s">
        <v>2340</v>
      </c>
      <c r="O969" t="s">
        <v>2341</v>
      </c>
      <c r="P969" t="s">
        <v>20</v>
      </c>
      <c r="Q969">
        <f>(VALUE(LEFT(SUBSTITUTE(O969,"T"," "),23)) - VALUE(LEFT(SUBSTITUTE(N969,"T"," "),23))) * 86400</f>
        <v>105.81699984613806</v>
      </c>
      <c r="R969">
        <f>I969/G969</f>
        <v>0</v>
      </c>
      <c r="S969">
        <f>H969/G969</f>
        <v>0.57326301307039673</v>
      </c>
    </row>
    <row r="970" spans="1:19" hidden="1" x14ac:dyDescent="0.2">
      <c r="A970">
        <v>2</v>
      </c>
      <c r="B970" t="s">
        <v>2476</v>
      </c>
      <c r="C970">
        <v>-1</v>
      </c>
      <c r="D970">
        <v>1</v>
      </c>
      <c r="E970">
        <v>1015</v>
      </c>
      <c r="F970" t="b">
        <v>1</v>
      </c>
      <c r="G970">
        <v>59.14</v>
      </c>
      <c r="H970">
        <v>28</v>
      </c>
      <c r="I970">
        <v>13</v>
      </c>
      <c r="J970">
        <v>7.02</v>
      </c>
      <c r="K970" t="s">
        <v>2919</v>
      </c>
      <c r="L970">
        <v>0</v>
      </c>
      <c r="N970" t="s">
        <v>2920</v>
      </c>
      <c r="O970" t="s">
        <v>2921</v>
      </c>
      <c r="Q970">
        <f>(VALUE(LEFT(SUBSTITUTE(O970,"T"," "),23)) - VALUE(LEFT(SUBSTITUTE(N970,"T"," "),23))) * 86400</f>
        <v>276.76900019869208</v>
      </c>
      <c r="R970">
        <f>I970/G970</f>
        <v>0.21981738248224553</v>
      </c>
      <c r="S970">
        <f>H970/G970</f>
        <v>0.47345282380791343</v>
      </c>
    </row>
    <row r="971" spans="1:19" hidden="1" x14ac:dyDescent="0.2">
      <c r="A971">
        <v>5</v>
      </c>
      <c r="B971" t="s">
        <v>3413</v>
      </c>
      <c r="C971">
        <v>-1</v>
      </c>
      <c r="D971">
        <v>3</v>
      </c>
      <c r="E971">
        <v>1012</v>
      </c>
      <c r="F971" t="b">
        <v>1</v>
      </c>
      <c r="G971">
        <v>46.555999999999997</v>
      </c>
      <c r="H971">
        <v>22</v>
      </c>
      <c r="I971">
        <v>5</v>
      </c>
      <c r="J971">
        <v>7.38</v>
      </c>
      <c r="K971" t="s">
        <v>3036</v>
      </c>
      <c r="L971">
        <v>0</v>
      </c>
      <c r="N971" t="s">
        <v>3037</v>
      </c>
      <c r="O971" t="s">
        <v>3038</v>
      </c>
      <c r="P971" t="s">
        <v>20</v>
      </c>
      <c r="Q971">
        <f>(VALUE(LEFT(SUBSTITUTE(O971,"T"," "),23)) - VALUE(LEFT(SUBSTITUTE(N971,"T"," "),23))) * 86400</f>
        <v>198.17799995653331</v>
      </c>
      <c r="R971">
        <f>I971/G971</f>
        <v>0.10739754274422202</v>
      </c>
      <c r="S971">
        <f>H971/G971</f>
        <v>0.47254918807457685</v>
      </c>
    </row>
    <row r="972" spans="1:19" hidden="1" x14ac:dyDescent="0.2">
      <c r="A972">
        <v>110</v>
      </c>
      <c r="B972" t="s">
        <v>21</v>
      </c>
      <c r="C972">
        <v>-1</v>
      </c>
      <c r="D972">
        <v>5</v>
      </c>
      <c r="E972">
        <v>1006</v>
      </c>
      <c r="F972" t="b">
        <v>1</v>
      </c>
      <c r="G972">
        <v>59.311999999999998</v>
      </c>
      <c r="H972">
        <v>28</v>
      </c>
      <c r="I972">
        <v>5</v>
      </c>
      <c r="J972">
        <v>4.62</v>
      </c>
      <c r="K972" t="s">
        <v>860</v>
      </c>
      <c r="L972">
        <v>0</v>
      </c>
      <c r="N972" t="s">
        <v>861</v>
      </c>
      <c r="O972" t="s">
        <v>862</v>
      </c>
      <c r="P972" t="s">
        <v>20</v>
      </c>
      <c r="Q972">
        <f>(VALUE(LEFT(SUBSTITUTE(O972,"T"," "),23)) - VALUE(LEFT(SUBSTITUTE(N972,"T"," "),23))) * 86400</f>
        <v>314.86900036688894</v>
      </c>
      <c r="R972">
        <f>I972/G972</f>
        <v>8.4299973024008643E-2</v>
      </c>
      <c r="S972">
        <f>H972/G972</f>
        <v>0.47207984893444838</v>
      </c>
    </row>
    <row r="973" spans="1:19" x14ac:dyDescent="0.2">
      <c r="A973">
        <v>5</v>
      </c>
      <c r="B973" t="s">
        <v>2531</v>
      </c>
      <c r="C973">
        <v>2</v>
      </c>
      <c r="D973">
        <v>1</v>
      </c>
      <c r="E973">
        <v>1000</v>
      </c>
      <c r="F973" t="b">
        <v>1</v>
      </c>
      <c r="G973">
        <v>46.904000000000003</v>
      </c>
      <c r="H973">
        <v>27</v>
      </c>
      <c r="I973">
        <v>0</v>
      </c>
      <c r="J973">
        <v>0</v>
      </c>
      <c r="K973" t="s">
        <v>2544</v>
      </c>
      <c r="L973">
        <v>0</v>
      </c>
      <c r="N973" t="s">
        <v>2545</v>
      </c>
      <c r="O973" t="s">
        <v>2546</v>
      </c>
      <c r="P973" t="s">
        <v>20</v>
      </c>
      <c r="Q973">
        <f>(VALUE(LEFT(SUBSTITUTE(O973,"T"," "),23)) - VALUE(LEFT(SUBSTITUTE(N973,"T"," "),23))) * 86400</f>
        <v>260.07300030905753</v>
      </c>
      <c r="R973">
        <f>I973/G973</f>
        <v>0</v>
      </c>
      <c r="S973">
        <f>H973/G973</f>
        <v>0.57564386832679515</v>
      </c>
    </row>
    <row r="974" spans="1:19" hidden="1" x14ac:dyDescent="0.2">
      <c r="A974">
        <v>109</v>
      </c>
      <c r="B974" t="s">
        <v>16</v>
      </c>
      <c r="C974">
        <v>-1</v>
      </c>
      <c r="D974">
        <v>5</v>
      </c>
      <c r="E974">
        <v>1026</v>
      </c>
      <c r="F974" t="b">
        <v>1</v>
      </c>
      <c r="G974">
        <v>61.56</v>
      </c>
      <c r="H974">
        <v>29</v>
      </c>
      <c r="I974">
        <v>3</v>
      </c>
      <c r="J974">
        <v>2.34</v>
      </c>
      <c r="K974" t="s">
        <v>1721</v>
      </c>
      <c r="L974">
        <v>0</v>
      </c>
      <c r="N974" t="s">
        <v>1722</v>
      </c>
      <c r="O974" t="s">
        <v>1723</v>
      </c>
      <c r="P974" t="s">
        <v>20</v>
      </c>
      <c r="Q974">
        <f>(VALUE(LEFT(SUBSTITUTE(O974,"T"," "),23)) - VALUE(LEFT(SUBSTITUTE(N974,"T"," "),23))) * 86400</f>
        <v>224.17199998162687</v>
      </c>
      <c r="R974">
        <f>I974/G974</f>
        <v>4.8732943469785572E-2</v>
      </c>
      <c r="S974">
        <f>H974/G974</f>
        <v>0.4710851202079272</v>
      </c>
    </row>
    <row r="975" spans="1:19" x14ac:dyDescent="0.2">
      <c r="A975">
        <v>8</v>
      </c>
      <c r="B975" t="s">
        <v>2476</v>
      </c>
      <c r="C975">
        <v>2</v>
      </c>
      <c r="D975">
        <v>2</v>
      </c>
      <c r="E975">
        <v>1026</v>
      </c>
      <c r="F975" t="b">
        <v>1</v>
      </c>
      <c r="G975">
        <v>59.271999999999998</v>
      </c>
      <c r="H975">
        <v>27</v>
      </c>
      <c r="I975">
        <v>0</v>
      </c>
      <c r="J975">
        <v>0</v>
      </c>
      <c r="K975" t="s">
        <v>2961</v>
      </c>
      <c r="L975">
        <v>0</v>
      </c>
      <c r="N975" t="s">
        <v>2962</v>
      </c>
      <c r="O975" t="s">
        <v>2963</v>
      </c>
      <c r="Q975">
        <f>(VALUE(LEFT(SUBSTITUTE(O975,"T"," "),23)) - VALUE(LEFT(SUBSTITUTE(N975,"T"," "),23))) * 86400</f>
        <v>235.84599997848272</v>
      </c>
      <c r="R975">
        <f>I975/G975</f>
        <v>0</v>
      </c>
      <c r="S975">
        <f>H975/G975</f>
        <v>0.45552706168173845</v>
      </c>
    </row>
    <row r="976" spans="1:19" hidden="1" x14ac:dyDescent="0.2">
      <c r="A976">
        <v>1</v>
      </c>
      <c r="B976" t="s">
        <v>2531</v>
      </c>
      <c r="C976">
        <v>-1</v>
      </c>
      <c r="D976">
        <v>1</v>
      </c>
      <c r="E976">
        <v>1020</v>
      </c>
      <c r="F976" t="b">
        <v>1</v>
      </c>
      <c r="G976">
        <v>64.087999999999994</v>
      </c>
      <c r="H976">
        <v>30</v>
      </c>
      <c r="I976">
        <v>5</v>
      </c>
      <c r="J976">
        <v>5.7</v>
      </c>
      <c r="K976" t="s">
        <v>2772</v>
      </c>
      <c r="L976">
        <v>0</v>
      </c>
      <c r="N976" t="s">
        <v>2773</v>
      </c>
      <c r="O976" t="s">
        <v>2774</v>
      </c>
      <c r="P976" t="s">
        <v>20</v>
      </c>
      <c r="Q976">
        <f>(VALUE(LEFT(SUBSTITUTE(O976,"T"," "),23)) - VALUE(LEFT(SUBSTITUTE(N976,"T"," "),23))) * 86400</f>
        <v>335.98799980245531</v>
      </c>
      <c r="R976">
        <f>I976/G976</f>
        <v>7.8017725627262516E-2</v>
      </c>
      <c r="S976">
        <f>H976/G976</f>
        <v>0.46810635376357512</v>
      </c>
    </row>
    <row r="977" spans="1:19" x14ac:dyDescent="0.2">
      <c r="A977">
        <v>7</v>
      </c>
      <c r="B977" t="s">
        <v>16</v>
      </c>
      <c r="C977">
        <v>2</v>
      </c>
      <c r="D977">
        <v>1</v>
      </c>
      <c r="E977">
        <v>1000</v>
      </c>
      <c r="F977" t="b">
        <v>1</v>
      </c>
      <c r="G977">
        <v>45.972000000000001</v>
      </c>
      <c r="H977">
        <v>27</v>
      </c>
      <c r="I977">
        <v>0</v>
      </c>
      <c r="J977">
        <v>0</v>
      </c>
      <c r="K977" t="s">
        <v>38</v>
      </c>
      <c r="L977">
        <v>0</v>
      </c>
      <c r="N977" t="s">
        <v>39</v>
      </c>
      <c r="O977" t="s">
        <v>40</v>
      </c>
      <c r="P977" t="s">
        <v>20</v>
      </c>
      <c r="Q977">
        <f>(VALUE(LEFT(SUBSTITUTE(O977,"T"," "),23)) - VALUE(LEFT(SUBSTITUTE(N977,"T"," "),23))) * 86400</f>
        <v>249.70499994233251</v>
      </c>
      <c r="R977">
        <f>I977/G977</f>
        <v>0</v>
      </c>
      <c r="S977">
        <f>H977/G977</f>
        <v>0.58731401722787779</v>
      </c>
    </row>
    <row r="978" spans="1:19" hidden="1" x14ac:dyDescent="0.2">
      <c r="A978">
        <v>5</v>
      </c>
      <c r="B978" t="s">
        <v>2531</v>
      </c>
      <c r="C978">
        <v>-1</v>
      </c>
      <c r="D978">
        <v>2</v>
      </c>
      <c r="E978">
        <v>1006</v>
      </c>
      <c r="F978" t="b">
        <v>1</v>
      </c>
      <c r="G978">
        <v>64.195999999999998</v>
      </c>
      <c r="H978">
        <v>30</v>
      </c>
      <c r="I978">
        <v>10</v>
      </c>
      <c r="J978">
        <v>10.02</v>
      </c>
      <c r="K978" t="s">
        <v>2904</v>
      </c>
      <c r="L978">
        <v>0</v>
      </c>
      <c r="N978" t="s">
        <v>2905</v>
      </c>
      <c r="O978" t="s">
        <v>2906</v>
      </c>
      <c r="Q978">
        <f>(VALUE(LEFT(SUBSTITUTE(O978,"T"," "),23)) - VALUE(LEFT(SUBSTITUTE(N978,"T"," "),23))) * 86400</f>
        <v>277.98699990380555</v>
      </c>
      <c r="R978">
        <f>I978/G978</f>
        <v>0.15577294535485078</v>
      </c>
      <c r="S978">
        <f>H978/G978</f>
        <v>0.46731883606455232</v>
      </c>
    </row>
    <row r="979" spans="1:19" hidden="1" x14ac:dyDescent="0.2">
      <c r="A979">
        <v>5</v>
      </c>
      <c r="B979" t="s">
        <v>2476</v>
      </c>
      <c r="C979">
        <v>-1</v>
      </c>
      <c r="D979">
        <v>3</v>
      </c>
      <c r="E979">
        <v>1019</v>
      </c>
      <c r="F979" t="b">
        <v>1</v>
      </c>
      <c r="G979">
        <v>56.055999999999997</v>
      </c>
      <c r="H979">
        <v>26</v>
      </c>
      <c r="I979">
        <v>5</v>
      </c>
      <c r="J979">
        <v>3.78</v>
      </c>
      <c r="K979" t="s">
        <v>2507</v>
      </c>
      <c r="L979">
        <v>0</v>
      </c>
      <c r="N979" t="s">
        <v>2508</v>
      </c>
      <c r="O979" t="s">
        <v>2509</v>
      </c>
      <c r="P979" t="s">
        <v>20</v>
      </c>
      <c r="Q979">
        <f>(VALUE(LEFT(SUBSTITUTE(O979,"T"," "),23)) - VALUE(LEFT(SUBSTITUTE(N979,"T"," "),23))) * 86400</f>
        <v>180.87800012435764</v>
      </c>
      <c r="R979">
        <f>I979/G979</f>
        <v>8.9196517767946348E-2</v>
      </c>
      <c r="S979">
        <f>H979/G979</f>
        <v>0.463821892393321</v>
      </c>
    </row>
    <row r="980" spans="1:19" x14ac:dyDescent="0.2">
      <c r="A980">
        <v>62</v>
      </c>
      <c r="B980" t="s">
        <v>21</v>
      </c>
      <c r="C980">
        <v>2</v>
      </c>
      <c r="D980">
        <v>3</v>
      </c>
      <c r="E980">
        <v>1014</v>
      </c>
      <c r="F980" t="b">
        <v>1</v>
      </c>
      <c r="G980">
        <v>50.904000000000003</v>
      </c>
      <c r="H980">
        <v>30</v>
      </c>
      <c r="I980">
        <v>3</v>
      </c>
      <c r="J980">
        <v>1.26</v>
      </c>
      <c r="K980" t="s">
        <v>1159</v>
      </c>
      <c r="L980">
        <v>0</v>
      </c>
      <c r="N980" t="s">
        <v>1160</v>
      </c>
      <c r="O980" t="s">
        <v>1161</v>
      </c>
      <c r="P980" t="s">
        <v>20</v>
      </c>
      <c r="Q980">
        <f>(VALUE(LEFT(SUBSTITUTE(O980,"T"," "),23)) - VALUE(LEFT(SUBSTITUTE(N980,"T"," "),23))) * 86400</f>
        <v>177.94999976176769</v>
      </c>
      <c r="R980">
        <f>I980/G980</f>
        <v>5.8934464875058927E-2</v>
      </c>
      <c r="S980">
        <f>H980/G980</f>
        <v>0.58934464875058934</v>
      </c>
    </row>
    <row r="981" spans="1:19" x14ac:dyDescent="0.2">
      <c r="A981">
        <v>63</v>
      </c>
      <c r="B981" t="s">
        <v>25</v>
      </c>
      <c r="C981">
        <v>2</v>
      </c>
      <c r="D981">
        <v>3</v>
      </c>
      <c r="E981">
        <v>1004</v>
      </c>
      <c r="F981" t="b">
        <v>1</v>
      </c>
      <c r="G981">
        <v>52.064</v>
      </c>
      <c r="H981">
        <v>31</v>
      </c>
      <c r="I981">
        <v>2</v>
      </c>
      <c r="J981">
        <v>1.02</v>
      </c>
      <c r="K981" t="s">
        <v>719</v>
      </c>
      <c r="L981">
        <v>0</v>
      </c>
      <c r="N981" t="s">
        <v>720</v>
      </c>
      <c r="O981" t="s">
        <v>721</v>
      </c>
      <c r="P981" t="s">
        <v>20</v>
      </c>
      <c r="Q981">
        <f>(VALUE(LEFT(SUBSTITUTE(O981,"T"," "),23)) - VALUE(LEFT(SUBSTITUTE(N981,"T"," "),23))) * 86400</f>
        <v>244.49999963399023</v>
      </c>
      <c r="R981">
        <f>I981/G981</f>
        <v>3.8414259373079289E-2</v>
      </c>
      <c r="S981">
        <f>H981/G981</f>
        <v>0.59542102028272892</v>
      </c>
    </row>
    <row r="982" spans="1:19" hidden="1" x14ac:dyDescent="0.2">
      <c r="A982">
        <v>1</v>
      </c>
      <c r="B982" t="s">
        <v>16</v>
      </c>
      <c r="C982">
        <v>-1</v>
      </c>
      <c r="D982">
        <v>1</v>
      </c>
      <c r="E982">
        <v>1012</v>
      </c>
      <c r="F982" t="b">
        <v>1</v>
      </c>
      <c r="G982">
        <v>62.783999999999999</v>
      </c>
      <c r="H982">
        <v>29</v>
      </c>
      <c r="I982">
        <v>11</v>
      </c>
      <c r="J982">
        <v>13.86</v>
      </c>
      <c r="K982" t="s">
        <v>976</v>
      </c>
      <c r="L982">
        <v>0</v>
      </c>
      <c r="N982" t="s">
        <v>977</v>
      </c>
      <c r="O982" t="s">
        <v>978</v>
      </c>
      <c r="P982" t="s">
        <v>20</v>
      </c>
      <c r="Q982">
        <f>(VALUE(LEFT(SUBSTITUTE(O982,"T"," "),23)) - VALUE(LEFT(SUBSTITUTE(N982,"T"," "),23))) * 86400</f>
        <v>233.2090002251789</v>
      </c>
      <c r="R982">
        <f>I982/G982</f>
        <v>0.175203873598369</v>
      </c>
      <c r="S982">
        <f>H982/G982</f>
        <v>0.46190112130479105</v>
      </c>
    </row>
    <row r="983" spans="1:19" hidden="1" x14ac:dyDescent="0.2">
      <c r="A983">
        <v>83</v>
      </c>
      <c r="B983" t="s">
        <v>21</v>
      </c>
      <c r="C983">
        <v>-1</v>
      </c>
      <c r="D983">
        <v>4</v>
      </c>
      <c r="E983">
        <v>1015</v>
      </c>
      <c r="F983" t="b">
        <v>1</v>
      </c>
      <c r="G983">
        <v>60.808</v>
      </c>
      <c r="H983">
        <v>28</v>
      </c>
      <c r="I983">
        <v>9</v>
      </c>
      <c r="J983">
        <v>8.8800000000000008</v>
      </c>
      <c r="K983" t="s">
        <v>1222</v>
      </c>
      <c r="L983">
        <v>0</v>
      </c>
      <c r="N983" t="s">
        <v>1223</v>
      </c>
      <c r="O983" t="s">
        <v>1224</v>
      </c>
      <c r="P983" t="s">
        <v>20</v>
      </c>
      <c r="Q983">
        <f>(VALUE(LEFT(SUBSTITUTE(O983,"T"," "),23)) - VALUE(LEFT(SUBSTITUTE(N983,"T"," "),23))) * 86400</f>
        <v>321.94600005168468</v>
      </c>
      <c r="R983">
        <f>I983/G983</f>
        <v>0.1480068412051046</v>
      </c>
      <c r="S983">
        <f>H983/G983</f>
        <v>0.46046572819365872</v>
      </c>
    </row>
    <row r="984" spans="1:19" hidden="1" x14ac:dyDescent="0.2">
      <c r="A984">
        <v>83</v>
      </c>
      <c r="B984" t="s">
        <v>21</v>
      </c>
      <c r="C984">
        <v>-1</v>
      </c>
      <c r="D984">
        <v>4</v>
      </c>
      <c r="E984">
        <v>1005</v>
      </c>
      <c r="F984" t="b">
        <v>1</v>
      </c>
      <c r="G984">
        <v>54.432000000000002</v>
      </c>
      <c r="H984">
        <v>25</v>
      </c>
      <c r="I984">
        <v>5</v>
      </c>
      <c r="J984">
        <v>5.94</v>
      </c>
      <c r="K984" t="s">
        <v>779</v>
      </c>
      <c r="L984">
        <v>0</v>
      </c>
      <c r="N984" t="s">
        <v>780</v>
      </c>
      <c r="O984" t="s">
        <v>781</v>
      </c>
      <c r="P984" t="s">
        <v>20</v>
      </c>
      <c r="Q984">
        <f>(VALUE(LEFT(SUBSTITUTE(O984,"T"," "),23)) - VALUE(LEFT(SUBSTITUTE(N984,"T"," "),23))) * 86400</f>
        <v>249.55900018103421</v>
      </c>
      <c r="R984">
        <f>I984/G984</f>
        <v>9.1857730746619626E-2</v>
      </c>
      <c r="S984">
        <f>H984/G984</f>
        <v>0.45928865373309818</v>
      </c>
    </row>
    <row r="985" spans="1:19" hidden="1" x14ac:dyDescent="0.2">
      <c r="A985">
        <v>1</v>
      </c>
      <c r="B985" t="s">
        <v>3414</v>
      </c>
      <c r="C985">
        <v>-1</v>
      </c>
      <c r="D985">
        <v>1</v>
      </c>
      <c r="E985">
        <v>1010</v>
      </c>
      <c r="F985" t="b">
        <v>1</v>
      </c>
      <c r="G985">
        <v>65.644000000000005</v>
      </c>
      <c r="H985">
        <v>30</v>
      </c>
      <c r="I985">
        <v>10</v>
      </c>
      <c r="J985">
        <v>13.98</v>
      </c>
      <c r="K985" t="s">
        <v>3550</v>
      </c>
      <c r="L985">
        <v>0</v>
      </c>
      <c r="N985" t="s">
        <v>3551</v>
      </c>
      <c r="O985" t="s">
        <v>3552</v>
      </c>
      <c r="P985" t="s">
        <v>20</v>
      </c>
      <c r="Q985">
        <f>(VALUE(LEFT(SUBSTITUTE(O985,"T"," "),23)) - VALUE(LEFT(SUBSTITUTE(N985,"T"," "),23))) * 86400</f>
        <v>316.90699977334589</v>
      </c>
      <c r="R985">
        <f>I985/G985</f>
        <v>0.15233684723660959</v>
      </c>
      <c r="S985">
        <f>H985/G985</f>
        <v>0.45701054170982874</v>
      </c>
    </row>
    <row r="986" spans="1:19" hidden="1" x14ac:dyDescent="0.2">
      <c r="A986">
        <v>1</v>
      </c>
      <c r="B986" t="s">
        <v>16</v>
      </c>
      <c r="C986">
        <v>-1</v>
      </c>
      <c r="D986">
        <v>1</v>
      </c>
      <c r="E986">
        <v>1020</v>
      </c>
      <c r="F986" t="b">
        <v>1</v>
      </c>
      <c r="G986">
        <v>65.731999999999999</v>
      </c>
      <c r="H986">
        <v>30</v>
      </c>
      <c r="I986">
        <v>7</v>
      </c>
      <c r="J986">
        <v>5.64</v>
      </c>
      <c r="K986" t="s">
        <v>200</v>
      </c>
      <c r="L986">
        <v>0</v>
      </c>
      <c r="N986" t="s">
        <v>201</v>
      </c>
      <c r="O986" t="s">
        <v>202</v>
      </c>
      <c r="P986" t="s">
        <v>20</v>
      </c>
      <c r="Q986">
        <f>(VALUE(LEFT(SUBSTITUTE(O986,"T"," "),23)) - VALUE(LEFT(SUBSTITUTE(N986,"T"," "),23))) * 86400</f>
        <v>246.89599976409227</v>
      </c>
      <c r="R986">
        <f>I986/G986</f>
        <v>0.10649303231302866</v>
      </c>
      <c r="S986">
        <f>H986/G986</f>
        <v>0.45639870991297998</v>
      </c>
    </row>
    <row r="987" spans="1:19" x14ac:dyDescent="0.2">
      <c r="A987" s="1">
        <v>9</v>
      </c>
      <c r="B987" s="1" t="s">
        <v>25</v>
      </c>
      <c r="C987" s="1">
        <v>2</v>
      </c>
      <c r="D987" s="1">
        <v>1</v>
      </c>
      <c r="E987" s="1">
        <v>1011</v>
      </c>
      <c r="F987" s="1" t="b">
        <v>1</v>
      </c>
      <c r="G987" s="1">
        <v>46.207999999999998</v>
      </c>
      <c r="H987" s="1">
        <v>28</v>
      </c>
      <c r="I987" s="1">
        <v>2</v>
      </c>
      <c r="J987" s="1">
        <v>1.32</v>
      </c>
      <c r="K987" s="1" t="s">
        <v>395</v>
      </c>
      <c r="L987" s="1">
        <v>0</v>
      </c>
      <c r="M987" s="1"/>
      <c r="N987" s="1" t="s">
        <v>396</v>
      </c>
      <c r="O987" s="1" t="s">
        <v>397</v>
      </c>
      <c r="P987" s="1" t="s">
        <v>20</v>
      </c>
      <c r="Q987">
        <f>(VALUE(LEFT(SUBSTITUTE(O987,"T"," "),23)) - VALUE(LEFT(SUBSTITUTE(N987,"T"," "),23))) * 86400</f>
        <v>169.79599990881979</v>
      </c>
      <c r="R987">
        <f>I987/G987</f>
        <v>4.3282548476454297E-2</v>
      </c>
      <c r="S987">
        <f>H987/G987</f>
        <v>0.60595567867036015</v>
      </c>
    </row>
    <row r="988" spans="1:19" hidden="1" x14ac:dyDescent="0.2">
      <c r="A988">
        <v>1</v>
      </c>
      <c r="B988" t="s">
        <v>16</v>
      </c>
      <c r="C988">
        <v>-1</v>
      </c>
      <c r="D988">
        <v>1</v>
      </c>
      <c r="E988">
        <v>1010</v>
      </c>
      <c r="F988" t="b">
        <v>1</v>
      </c>
      <c r="G988">
        <v>60.04</v>
      </c>
      <c r="H988">
        <v>27</v>
      </c>
      <c r="I988">
        <v>7</v>
      </c>
      <c r="J988">
        <v>5.34</v>
      </c>
      <c r="K988" t="s">
        <v>110</v>
      </c>
      <c r="L988">
        <v>0</v>
      </c>
      <c r="N988" t="s">
        <v>111</v>
      </c>
      <c r="O988" t="s">
        <v>112</v>
      </c>
      <c r="P988" t="s">
        <v>20</v>
      </c>
      <c r="Q988">
        <f>(VALUE(LEFT(SUBSTITUTE(O988,"T"," "),23)) - VALUE(LEFT(SUBSTITUTE(N988,"T"," "),23))) * 86400</f>
        <v>284.5019998960197</v>
      </c>
      <c r="R988">
        <f>I988/G988</f>
        <v>0.11658894070619587</v>
      </c>
      <c r="S988">
        <f>H988/G988</f>
        <v>0.44970019986675552</v>
      </c>
    </row>
    <row r="989" spans="1:19" x14ac:dyDescent="0.2">
      <c r="A989">
        <v>2</v>
      </c>
      <c r="B989" t="s">
        <v>2476</v>
      </c>
      <c r="C989">
        <v>2</v>
      </c>
      <c r="D989">
        <v>1</v>
      </c>
      <c r="E989">
        <v>1027</v>
      </c>
      <c r="F989" t="b">
        <v>1</v>
      </c>
      <c r="G989">
        <v>42.451999999999998</v>
      </c>
      <c r="H989">
        <v>27</v>
      </c>
      <c r="I989">
        <v>1</v>
      </c>
      <c r="J989">
        <v>0.12</v>
      </c>
      <c r="K989" t="s">
        <v>2516</v>
      </c>
      <c r="L989">
        <v>0</v>
      </c>
      <c r="N989" t="s">
        <v>2517</v>
      </c>
      <c r="O989" t="s">
        <v>2518</v>
      </c>
      <c r="P989" t="s">
        <v>20</v>
      </c>
      <c r="Q989">
        <f>(VALUE(LEFT(SUBSTITUTE(O989,"T"," "),23)) - VALUE(LEFT(SUBSTITUTE(N989,"T"," "),23))) * 86400</f>
        <v>155.79299989622086</v>
      </c>
      <c r="R989">
        <f>I989/G989</f>
        <v>2.3556016206539149E-2</v>
      </c>
      <c r="S989">
        <f>H989/G989</f>
        <v>0.63601243757655712</v>
      </c>
    </row>
    <row r="990" spans="1:19" hidden="1" x14ac:dyDescent="0.2">
      <c r="A990">
        <v>1</v>
      </c>
      <c r="B990" t="s">
        <v>16</v>
      </c>
      <c r="C990">
        <v>-1</v>
      </c>
      <c r="D990">
        <v>1</v>
      </c>
      <c r="E990">
        <v>1027</v>
      </c>
      <c r="F990" t="b">
        <v>1</v>
      </c>
      <c r="G990">
        <v>63.652000000000001</v>
      </c>
      <c r="H990">
        <v>28</v>
      </c>
      <c r="I990">
        <v>9</v>
      </c>
      <c r="J990">
        <v>10.56</v>
      </c>
      <c r="K990" t="s">
        <v>2234</v>
      </c>
      <c r="L990">
        <v>0</v>
      </c>
      <c r="N990" t="s">
        <v>2235</v>
      </c>
      <c r="O990" t="s">
        <v>2236</v>
      </c>
      <c r="P990" t="s">
        <v>20</v>
      </c>
      <c r="Q990">
        <f>(VALUE(LEFT(SUBSTITUTE(O990,"T"," "),23)) - VALUE(LEFT(SUBSTITUTE(N990,"T"," "),23))) * 86400</f>
        <v>320.85099995601922</v>
      </c>
      <c r="R990">
        <f>I990/G990</f>
        <v>0.14139382894488783</v>
      </c>
      <c r="S990">
        <f>H990/G990</f>
        <v>0.43989191227298435</v>
      </c>
    </row>
    <row r="991" spans="1:19" x14ac:dyDescent="0.2">
      <c r="A991">
        <v>117</v>
      </c>
      <c r="B991" t="s">
        <v>25</v>
      </c>
      <c r="C991">
        <v>2</v>
      </c>
      <c r="D991">
        <v>5</v>
      </c>
      <c r="E991">
        <v>1026</v>
      </c>
      <c r="F991" t="b">
        <v>1</v>
      </c>
      <c r="G991">
        <v>53.472000000000001</v>
      </c>
      <c r="H991">
        <v>33</v>
      </c>
      <c r="I991">
        <v>7</v>
      </c>
      <c r="J991">
        <v>1.92</v>
      </c>
      <c r="K991" t="s">
        <v>1745</v>
      </c>
      <c r="L991">
        <v>0</v>
      </c>
      <c r="N991" t="s">
        <v>1746</v>
      </c>
      <c r="O991" t="s">
        <v>1747</v>
      </c>
      <c r="P991" t="s">
        <v>20</v>
      </c>
      <c r="Q991">
        <f>(VALUE(LEFT(SUBSTITUTE(O991,"T"," "),23)) - VALUE(LEFT(SUBSTITUTE(N991,"T"," "),23))) * 86400</f>
        <v>233.79699995275587</v>
      </c>
      <c r="R991">
        <f>I991/G991</f>
        <v>0.13090963494913224</v>
      </c>
      <c r="S991">
        <f>H991/G991</f>
        <v>0.6171454219030521</v>
      </c>
    </row>
    <row r="992" spans="1:19" hidden="1" x14ac:dyDescent="0.2">
      <c r="A992">
        <v>3</v>
      </c>
      <c r="B992" t="s">
        <v>2476</v>
      </c>
      <c r="C992">
        <v>-1</v>
      </c>
      <c r="D992">
        <v>2</v>
      </c>
      <c r="E992">
        <v>1008</v>
      </c>
      <c r="F992" t="b">
        <v>1</v>
      </c>
      <c r="G992">
        <v>56.872</v>
      </c>
      <c r="H992">
        <v>25</v>
      </c>
      <c r="I992">
        <v>9</v>
      </c>
      <c r="J992">
        <v>11.04</v>
      </c>
      <c r="K992" t="s">
        <v>2483</v>
      </c>
      <c r="L992">
        <v>0</v>
      </c>
      <c r="N992" t="s">
        <v>2484</v>
      </c>
      <c r="O992" t="s">
        <v>2485</v>
      </c>
      <c r="P992" t="s">
        <v>20</v>
      </c>
      <c r="Q992">
        <f>(VALUE(LEFT(SUBSTITUTE(O992,"T"," "),23)) - VALUE(LEFT(SUBSTITUTE(N992,"T"," "),23))) * 86400</f>
        <v>199.93199994787574</v>
      </c>
      <c r="R992">
        <f>I992/G992</f>
        <v>0.15825010550007032</v>
      </c>
      <c r="S992">
        <f>H992/G992</f>
        <v>0.43958362638908427</v>
      </c>
    </row>
    <row r="993" spans="1:19" x14ac:dyDescent="0.2">
      <c r="A993">
        <v>4</v>
      </c>
      <c r="B993" t="s">
        <v>2476</v>
      </c>
      <c r="C993">
        <v>2</v>
      </c>
      <c r="D993">
        <v>2</v>
      </c>
      <c r="E993">
        <v>1028</v>
      </c>
      <c r="F993" t="b">
        <v>1</v>
      </c>
      <c r="G993">
        <v>99.207999999999998</v>
      </c>
      <c r="H993">
        <v>29</v>
      </c>
      <c r="I993">
        <v>0</v>
      </c>
      <c r="J993">
        <v>0</v>
      </c>
      <c r="K993" t="s">
        <v>2522</v>
      </c>
      <c r="L993">
        <v>0</v>
      </c>
      <c r="N993" t="s">
        <v>2523</v>
      </c>
      <c r="O993" t="s">
        <v>2524</v>
      </c>
      <c r="P993" t="s">
        <v>20</v>
      </c>
      <c r="Q993">
        <f>(VALUE(LEFT(SUBSTITUTE(O993,"T"," "),23)) - VALUE(LEFT(SUBSTITUTE(N993,"T"," "),23))) * 86400</f>
        <v>335.25499985553324</v>
      </c>
      <c r="R993">
        <f>I993/G993</f>
        <v>0</v>
      </c>
      <c r="S993">
        <f>H993/G993</f>
        <v>0.292315135876139</v>
      </c>
    </row>
    <row r="994" spans="1:19" hidden="1" x14ac:dyDescent="0.2">
      <c r="A994">
        <v>9</v>
      </c>
      <c r="B994" t="s">
        <v>2531</v>
      </c>
      <c r="C994">
        <v>-1</v>
      </c>
      <c r="D994">
        <v>2</v>
      </c>
      <c r="E994">
        <v>1001</v>
      </c>
      <c r="F994" t="b">
        <v>1</v>
      </c>
      <c r="G994">
        <v>67.12</v>
      </c>
      <c r="H994">
        <v>29</v>
      </c>
      <c r="I994">
        <v>10</v>
      </c>
      <c r="J994">
        <v>9.3000000000000007</v>
      </c>
      <c r="K994" t="s">
        <v>2556</v>
      </c>
      <c r="L994">
        <v>0</v>
      </c>
      <c r="N994" t="s">
        <v>2557</v>
      </c>
      <c r="O994" t="s">
        <v>2558</v>
      </c>
      <c r="P994" t="s">
        <v>20</v>
      </c>
      <c r="Q994">
        <f>(VALUE(LEFT(SUBSTITUTE(O994,"T"," "),23)) - VALUE(LEFT(SUBSTITUTE(N994,"T"," "),23))) * 86400</f>
        <v>353.76499991398305</v>
      </c>
      <c r="R994">
        <f>I994/G994</f>
        <v>0.14898688915375446</v>
      </c>
      <c r="S994">
        <f>H994/G994</f>
        <v>0.43206197854588796</v>
      </c>
    </row>
    <row r="995" spans="1:19" hidden="1" x14ac:dyDescent="0.2">
      <c r="A995">
        <v>109</v>
      </c>
      <c r="B995" t="s">
        <v>16</v>
      </c>
      <c r="C995">
        <v>-1</v>
      </c>
      <c r="D995">
        <v>5</v>
      </c>
      <c r="E995">
        <v>1006</v>
      </c>
      <c r="F995" t="b">
        <v>1</v>
      </c>
      <c r="G995">
        <v>67.164000000000001</v>
      </c>
      <c r="H995">
        <v>29</v>
      </c>
      <c r="I995">
        <v>7</v>
      </c>
      <c r="J995">
        <v>9.66</v>
      </c>
      <c r="K995" t="s">
        <v>857</v>
      </c>
      <c r="L995">
        <v>0</v>
      </c>
      <c r="N995" t="s">
        <v>858</v>
      </c>
      <c r="O995" t="s">
        <v>859</v>
      </c>
      <c r="P995" t="s">
        <v>20</v>
      </c>
      <c r="Q995">
        <f>(VALUE(LEFT(SUBSTITUTE(O995,"T"," "),23)) - VALUE(LEFT(SUBSTITUTE(N995,"T"," "),23))) * 86400</f>
        <v>338.44400011003017</v>
      </c>
      <c r="R995">
        <f>I995/G995</f>
        <v>0.10422250014888929</v>
      </c>
      <c r="S995">
        <f>H995/G995</f>
        <v>0.43177892918825561</v>
      </c>
    </row>
    <row r="996" spans="1:19" hidden="1" x14ac:dyDescent="0.2">
      <c r="A996">
        <v>28</v>
      </c>
      <c r="B996" t="s">
        <v>16</v>
      </c>
      <c r="C996">
        <v>-1</v>
      </c>
      <c r="D996">
        <v>2</v>
      </c>
      <c r="E996">
        <v>1003</v>
      </c>
      <c r="F996" t="b">
        <v>1</v>
      </c>
      <c r="G996">
        <v>67.168000000000006</v>
      </c>
      <c r="H996">
        <v>29</v>
      </c>
      <c r="I996">
        <v>6</v>
      </c>
      <c r="J996">
        <v>5.22</v>
      </c>
      <c r="K996" t="s">
        <v>614</v>
      </c>
      <c r="L996">
        <v>0</v>
      </c>
      <c r="N996" t="s">
        <v>615</v>
      </c>
      <c r="O996" t="s">
        <v>616</v>
      </c>
      <c r="P996" t="s">
        <v>20</v>
      </c>
      <c r="Q996">
        <f>(VALUE(LEFT(SUBSTITUTE(O996,"T"," "),23)) - VALUE(LEFT(SUBSTITUTE(N996,"T"," "),23))) * 86400</f>
        <v>205.37000040058047</v>
      </c>
      <c r="R996">
        <f>I996/G996</f>
        <v>8.9328251548356358E-2</v>
      </c>
      <c r="S996">
        <f>H996/G996</f>
        <v>0.43175321581705572</v>
      </c>
    </row>
    <row r="997" spans="1:19" hidden="1" x14ac:dyDescent="0.2">
      <c r="A997">
        <v>29</v>
      </c>
      <c r="B997" t="s">
        <v>21</v>
      </c>
      <c r="C997">
        <v>-1</v>
      </c>
      <c r="D997">
        <v>2</v>
      </c>
      <c r="E997">
        <v>1013</v>
      </c>
      <c r="F997" t="b">
        <v>1</v>
      </c>
      <c r="G997">
        <v>48.823999999999998</v>
      </c>
      <c r="H997">
        <v>21</v>
      </c>
      <c r="I997">
        <v>4</v>
      </c>
      <c r="J997">
        <v>4.38</v>
      </c>
      <c r="K997" t="s">
        <v>1060</v>
      </c>
      <c r="L997">
        <v>0</v>
      </c>
      <c r="N997" t="s">
        <v>1061</v>
      </c>
      <c r="O997" t="s">
        <v>1062</v>
      </c>
      <c r="P997" t="s">
        <v>20</v>
      </c>
      <c r="Q997">
        <f>(VALUE(LEFT(SUBSTITUTE(O997,"T"," "),23)) - VALUE(LEFT(SUBSTITUTE(N997,"T"," "),23))) * 86400</f>
        <v>283.00400020089</v>
      </c>
      <c r="R997">
        <f>I997/G997</f>
        <v>8.1926921186301821E-2</v>
      </c>
      <c r="S997">
        <f>H997/G997</f>
        <v>0.43011633622808454</v>
      </c>
    </row>
    <row r="998" spans="1:19" hidden="1" x14ac:dyDescent="0.2">
      <c r="A998" s="1">
        <v>1</v>
      </c>
      <c r="B998" s="1" t="s">
        <v>16</v>
      </c>
      <c r="C998" s="1">
        <v>-1</v>
      </c>
      <c r="D998" s="1">
        <v>1</v>
      </c>
      <c r="E998" s="1">
        <v>1001</v>
      </c>
      <c r="F998" s="1" t="b">
        <v>1</v>
      </c>
      <c r="G998" s="1">
        <v>56.036000000000001</v>
      </c>
      <c r="H998" s="1">
        <v>24</v>
      </c>
      <c r="I998" s="1">
        <v>8</v>
      </c>
      <c r="J998" s="1">
        <v>8.2799999999999994</v>
      </c>
      <c r="K998" s="1" t="s">
        <v>290</v>
      </c>
      <c r="L998" s="1">
        <v>0</v>
      </c>
      <c r="M998" s="1"/>
      <c r="N998" s="1" t="s">
        <v>291</v>
      </c>
      <c r="O998" s="1" t="s">
        <v>292</v>
      </c>
      <c r="P998" s="1" t="s">
        <v>20</v>
      </c>
      <c r="Q998">
        <f>(VALUE(LEFT(SUBSTITUTE(O998,"T"," "),23)) - VALUE(LEFT(SUBSTITUTE(N998,"T"," "),23))) * 86400</f>
        <v>232.16700037010014</v>
      </c>
      <c r="R998">
        <f>I998/G998</f>
        <v>0.1427653651224213</v>
      </c>
      <c r="S998">
        <f>H998/G998</f>
        <v>0.42829609536726387</v>
      </c>
    </row>
    <row r="999" spans="1:19" x14ac:dyDescent="0.2">
      <c r="A999">
        <v>36</v>
      </c>
      <c r="B999" t="s">
        <v>25</v>
      </c>
      <c r="C999">
        <v>2</v>
      </c>
      <c r="D999">
        <v>2</v>
      </c>
      <c r="E999">
        <v>1003</v>
      </c>
      <c r="F999" t="b">
        <v>1</v>
      </c>
      <c r="G999">
        <v>48.872</v>
      </c>
      <c r="H999">
        <v>31</v>
      </c>
      <c r="I999">
        <v>2</v>
      </c>
      <c r="J999">
        <v>2.7</v>
      </c>
      <c r="K999" t="s">
        <v>638</v>
      </c>
      <c r="L999">
        <v>0</v>
      </c>
      <c r="N999" t="s">
        <v>639</v>
      </c>
      <c r="O999" t="s">
        <v>640</v>
      </c>
      <c r="P999" t="s">
        <v>20</v>
      </c>
      <c r="Q999">
        <f>(VALUE(LEFT(SUBSTITUTE(O999,"T"," "),23)) - VALUE(LEFT(SUBSTITUTE(N999,"T"," "),23))) * 86400</f>
        <v>179.00000035297126</v>
      </c>
      <c r="R999">
        <f>I999/G999</f>
        <v>4.092322802422655E-2</v>
      </c>
      <c r="S999">
        <f>H999/G999</f>
        <v>0.63431003437551159</v>
      </c>
    </row>
    <row r="1000" spans="1:19" hidden="1" x14ac:dyDescent="0.2">
      <c r="A1000">
        <v>2</v>
      </c>
      <c r="B1000" t="s">
        <v>21</v>
      </c>
      <c r="C1000">
        <v>-1</v>
      </c>
      <c r="D1000">
        <v>1</v>
      </c>
      <c r="E1000">
        <v>1027</v>
      </c>
      <c r="F1000" t="b">
        <v>1</v>
      </c>
      <c r="G1000">
        <v>67.739999999999995</v>
      </c>
      <c r="H1000">
        <v>29</v>
      </c>
      <c r="I1000">
        <v>6</v>
      </c>
      <c r="J1000">
        <v>6.12</v>
      </c>
      <c r="K1000" t="s">
        <v>2237</v>
      </c>
      <c r="L1000">
        <v>0</v>
      </c>
      <c r="N1000" t="s">
        <v>2238</v>
      </c>
      <c r="O1000" t="s">
        <v>2239</v>
      </c>
      <c r="P1000" t="s">
        <v>20</v>
      </c>
      <c r="Q1000">
        <f>(VALUE(LEFT(SUBSTITUTE(O1000,"T"," "),23)) - VALUE(LEFT(SUBSTITUTE(N1000,"T"," "),23))) * 86400</f>
        <v>336.58500043675303</v>
      </c>
      <c r="R1000">
        <f>I1000/G1000</f>
        <v>8.8573959255978746E-2</v>
      </c>
      <c r="S1000">
        <f>H1000/G1000</f>
        <v>0.42810746973723063</v>
      </c>
    </row>
    <row r="1001" spans="1:19" hidden="1" x14ac:dyDescent="0.2">
      <c r="A1001">
        <v>55</v>
      </c>
      <c r="B1001" t="s">
        <v>16</v>
      </c>
      <c r="C1001">
        <v>-1</v>
      </c>
      <c r="D1001">
        <v>3</v>
      </c>
      <c r="E1001">
        <v>1004</v>
      </c>
      <c r="F1001" t="b">
        <v>1</v>
      </c>
      <c r="G1001">
        <v>54.584000000000003</v>
      </c>
      <c r="H1001">
        <v>23</v>
      </c>
      <c r="I1001">
        <v>7</v>
      </c>
      <c r="J1001">
        <v>8.82</v>
      </c>
      <c r="K1001" t="s">
        <v>695</v>
      </c>
      <c r="L1001">
        <v>0</v>
      </c>
      <c r="N1001" t="s">
        <v>696</v>
      </c>
      <c r="O1001" t="s">
        <v>697</v>
      </c>
      <c r="P1001" t="s">
        <v>20</v>
      </c>
      <c r="Q1001">
        <f>(VALUE(LEFT(SUBSTITUTE(O1001,"T"," "),23)) - VALUE(LEFT(SUBSTITUTE(N1001,"T"," "),23))) * 86400</f>
        <v>170.70599987637252</v>
      </c>
      <c r="R1001">
        <f>I1001/G1001</f>
        <v>0.12824270848600322</v>
      </c>
      <c r="S1001">
        <f>H1001/G1001</f>
        <v>0.4213688993111534</v>
      </c>
    </row>
    <row r="1002" spans="1:19" hidden="1" x14ac:dyDescent="0.2">
      <c r="A1002">
        <v>6</v>
      </c>
      <c r="B1002" t="s">
        <v>2476</v>
      </c>
      <c r="C1002">
        <v>-1</v>
      </c>
      <c r="D1002">
        <v>2</v>
      </c>
      <c r="E1002">
        <v>1016</v>
      </c>
      <c r="F1002" t="b">
        <v>1</v>
      </c>
      <c r="G1002">
        <v>69.843999999999994</v>
      </c>
      <c r="H1002">
        <v>29</v>
      </c>
      <c r="I1002">
        <v>11</v>
      </c>
      <c r="J1002">
        <v>14.52</v>
      </c>
      <c r="K1002" t="s">
        <v>2931</v>
      </c>
      <c r="L1002">
        <v>0</v>
      </c>
      <c r="N1002" t="s">
        <v>2932</v>
      </c>
      <c r="O1002" t="s">
        <v>2933</v>
      </c>
      <c r="Q1002">
        <f>(VALUE(LEFT(SUBSTITUTE(O1002,"T"," "),23)) - VALUE(LEFT(SUBSTITUTE(N1002,"T"," "),23))) * 86400</f>
        <v>266.79399961140007</v>
      </c>
      <c r="R1002">
        <f>I1002/G1002</f>
        <v>0.1574938434224844</v>
      </c>
      <c r="S1002">
        <f>H1002/G1002</f>
        <v>0.41521104175018614</v>
      </c>
    </row>
    <row r="1003" spans="1:19" hidden="1" x14ac:dyDescent="0.2">
      <c r="A1003">
        <v>1</v>
      </c>
      <c r="B1003" t="s">
        <v>16</v>
      </c>
      <c r="C1003">
        <v>-1</v>
      </c>
      <c r="D1003">
        <v>1</v>
      </c>
      <c r="E1003">
        <v>1000</v>
      </c>
      <c r="F1003" t="b">
        <v>1</v>
      </c>
      <c r="G1003">
        <v>68.12</v>
      </c>
      <c r="H1003">
        <v>28</v>
      </c>
      <c r="I1003">
        <v>13</v>
      </c>
      <c r="J1003">
        <v>12.54</v>
      </c>
      <c r="K1003" t="s">
        <v>17</v>
      </c>
      <c r="L1003">
        <v>0</v>
      </c>
      <c r="N1003" t="s">
        <v>18</v>
      </c>
      <c r="O1003" t="s">
        <v>19</v>
      </c>
      <c r="P1003" t="s">
        <v>20</v>
      </c>
      <c r="Q1003">
        <f>(VALUE(LEFT(SUBSTITUTE(O1003,"T"," "),23)) - VALUE(LEFT(SUBSTITUTE(N1003,"T"," "),23))) * 86400</f>
        <v>253.23099985253066</v>
      </c>
      <c r="R1003">
        <f>I1003/G1003</f>
        <v>0.19083969465648853</v>
      </c>
      <c r="S1003">
        <f>H1003/G1003</f>
        <v>0.41103934233705225</v>
      </c>
    </row>
    <row r="1004" spans="1:19" hidden="1" x14ac:dyDescent="0.2">
      <c r="A1004">
        <v>25</v>
      </c>
      <c r="B1004" t="s">
        <v>2531</v>
      </c>
      <c r="C1004">
        <v>-1</v>
      </c>
      <c r="D1004">
        <v>4</v>
      </c>
      <c r="E1004">
        <v>1023</v>
      </c>
      <c r="F1004" t="b">
        <v>1</v>
      </c>
      <c r="G1004">
        <v>66.275999999999996</v>
      </c>
      <c r="H1004">
        <v>27</v>
      </c>
      <c r="I1004">
        <v>5</v>
      </c>
      <c r="J1004">
        <v>8.0399999999999991</v>
      </c>
      <c r="K1004" t="s">
        <v>2844</v>
      </c>
      <c r="L1004">
        <v>0</v>
      </c>
      <c r="N1004" t="s">
        <v>2845</v>
      </c>
      <c r="O1004" t="s">
        <v>2846</v>
      </c>
      <c r="P1004" t="s">
        <v>20</v>
      </c>
      <c r="Q1004">
        <f>(VALUE(LEFT(SUBSTITUTE(O1004,"T"," "),23)) - VALUE(LEFT(SUBSTITUTE(N1004,"T"," "),23))) * 86400</f>
        <v>319.33700004592538</v>
      </c>
      <c r="R1004">
        <f>I1004/G1004</f>
        <v>7.5442090651216126E-2</v>
      </c>
      <c r="S1004">
        <f>H1004/G1004</f>
        <v>0.40738728951656711</v>
      </c>
    </row>
    <row r="1005" spans="1:19" x14ac:dyDescent="0.2">
      <c r="A1005">
        <v>63</v>
      </c>
      <c r="B1005" t="s">
        <v>25</v>
      </c>
      <c r="C1005">
        <v>2</v>
      </c>
      <c r="D1005">
        <v>3</v>
      </c>
      <c r="E1005">
        <v>1029</v>
      </c>
      <c r="F1005" t="b">
        <v>1</v>
      </c>
      <c r="G1005">
        <v>42.103999999999999</v>
      </c>
      <c r="H1005">
        <v>27</v>
      </c>
      <c r="I1005">
        <v>0</v>
      </c>
      <c r="J1005">
        <v>0</v>
      </c>
      <c r="K1005" t="s">
        <v>2419</v>
      </c>
      <c r="L1005">
        <v>0</v>
      </c>
      <c r="N1005" t="s">
        <v>2420</v>
      </c>
      <c r="O1005" t="s">
        <v>2421</v>
      </c>
      <c r="P1005" t="s">
        <v>20</v>
      </c>
      <c r="Q1005">
        <f>(VALUE(LEFT(SUBSTITUTE(O1005,"T"," "),23)) - VALUE(LEFT(SUBSTITUTE(N1005,"T"," "),23))) * 86400</f>
        <v>164.94900032412261</v>
      </c>
      <c r="R1005">
        <f>I1005/G1005</f>
        <v>0</v>
      </c>
      <c r="S1005">
        <f>H1005/G1005</f>
        <v>0.64126923807714231</v>
      </c>
    </row>
    <row r="1006" spans="1:19" hidden="1" x14ac:dyDescent="0.2">
      <c r="A1006">
        <v>1</v>
      </c>
      <c r="B1006" t="s">
        <v>3413</v>
      </c>
      <c r="C1006">
        <v>0</v>
      </c>
      <c r="D1006">
        <v>1</v>
      </c>
      <c r="E1006">
        <v>1000</v>
      </c>
      <c r="F1006" t="b">
        <v>1</v>
      </c>
      <c r="G1006">
        <v>51.152000000000001</v>
      </c>
      <c r="H1006">
        <v>26</v>
      </c>
      <c r="I1006">
        <v>1</v>
      </c>
      <c r="J1006">
        <v>0.36</v>
      </c>
      <c r="K1006" t="s">
        <v>3144</v>
      </c>
      <c r="L1006">
        <v>0</v>
      </c>
      <c r="N1006" t="s">
        <v>3145</v>
      </c>
      <c r="O1006" t="s">
        <v>3146</v>
      </c>
      <c r="P1006" t="s">
        <v>20</v>
      </c>
      <c r="Q1006">
        <f>(VALUE(LEFT(SUBSTITUTE(O1006,"T"," "),23)) - VALUE(LEFT(SUBSTITUTE(N1006,"T"," "),23))) * 86400</f>
        <v>188.31999984104186</v>
      </c>
      <c r="R1006">
        <f>I1006/G1006</f>
        <v>1.954957772912105E-2</v>
      </c>
      <c r="S1006">
        <f>H1006/G1006</f>
        <v>0.50828902095714734</v>
      </c>
    </row>
    <row r="1007" spans="1:19" hidden="1" x14ac:dyDescent="0.2">
      <c r="A1007">
        <v>4</v>
      </c>
      <c r="B1007" t="s">
        <v>3413</v>
      </c>
      <c r="C1007">
        <v>0</v>
      </c>
      <c r="D1007">
        <v>2</v>
      </c>
      <c r="E1007">
        <v>1001</v>
      </c>
      <c r="F1007" t="b">
        <v>1</v>
      </c>
      <c r="G1007">
        <v>31.544</v>
      </c>
      <c r="H1007">
        <v>28</v>
      </c>
      <c r="I1007">
        <v>0</v>
      </c>
      <c r="J1007">
        <v>0</v>
      </c>
      <c r="K1007" t="s">
        <v>3153</v>
      </c>
      <c r="L1007">
        <v>0</v>
      </c>
      <c r="N1007" t="s">
        <v>3154</v>
      </c>
      <c r="O1007" t="s">
        <v>3155</v>
      </c>
      <c r="P1007" t="s">
        <v>20</v>
      </c>
      <c r="Q1007">
        <f>(VALUE(LEFT(SUBSTITUTE(O1007,"T"," "),23)) - VALUE(LEFT(SUBSTITUTE(N1007,"T"," "),23))) * 86400</f>
        <v>185.55800013709813</v>
      </c>
      <c r="R1007">
        <f>I1007/G1007</f>
        <v>0</v>
      </c>
      <c r="S1007">
        <f>H1007/G1007</f>
        <v>0.887648998224702</v>
      </c>
    </row>
    <row r="1008" spans="1:19" hidden="1" x14ac:dyDescent="0.2">
      <c r="A1008">
        <v>7</v>
      </c>
      <c r="B1008" t="s">
        <v>3413</v>
      </c>
      <c r="C1008">
        <v>0</v>
      </c>
      <c r="D1008">
        <v>3</v>
      </c>
      <c r="E1008">
        <v>1002</v>
      </c>
      <c r="F1008" t="b">
        <v>1</v>
      </c>
      <c r="G1008">
        <v>40.956000000000003</v>
      </c>
      <c r="H1008">
        <v>29</v>
      </c>
      <c r="I1008">
        <v>0</v>
      </c>
      <c r="J1008">
        <v>0</v>
      </c>
      <c r="K1008" t="s">
        <v>3162</v>
      </c>
      <c r="L1008">
        <v>0</v>
      </c>
      <c r="N1008" t="s">
        <v>3163</v>
      </c>
      <c r="O1008" t="s">
        <v>3164</v>
      </c>
      <c r="P1008" t="s">
        <v>20</v>
      </c>
      <c r="Q1008">
        <f>(VALUE(LEFT(SUBSTITUTE(O1008,"T"," "),23)) - VALUE(LEFT(SUBSTITUTE(N1008,"T"," "),23))) * 86400</f>
        <v>154.75799997802824</v>
      </c>
      <c r="R1008">
        <f>I1008/G1008</f>
        <v>0</v>
      </c>
      <c r="S1008">
        <f>H1008/G1008</f>
        <v>0.70807696064068748</v>
      </c>
    </row>
    <row r="1009" spans="1:19" x14ac:dyDescent="0.2">
      <c r="A1009">
        <v>6</v>
      </c>
      <c r="B1009" t="s">
        <v>2476</v>
      </c>
      <c r="C1009">
        <v>2</v>
      </c>
      <c r="D1009">
        <v>3</v>
      </c>
      <c r="E1009">
        <v>1029</v>
      </c>
      <c r="F1009" t="b">
        <v>1</v>
      </c>
      <c r="G1009">
        <v>38.94</v>
      </c>
      <c r="H1009">
        <v>24</v>
      </c>
      <c r="I1009">
        <v>2</v>
      </c>
      <c r="J1009">
        <v>0.3</v>
      </c>
      <c r="K1009" t="s">
        <v>2528</v>
      </c>
      <c r="L1009">
        <v>0</v>
      </c>
      <c r="N1009" t="s">
        <v>2529</v>
      </c>
      <c r="O1009" t="s">
        <v>2530</v>
      </c>
      <c r="P1009" t="s">
        <v>20</v>
      </c>
      <c r="Q1009">
        <f>(VALUE(LEFT(SUBSTITUTE(O1009,"T"," "),23)) - VALUE(LEFT(SUBSTITUTE(N1009,"T"," "),23))) * 86400</f>
        <v>154.08299986738712</v>
      </c>
      <c r="R1009">
        <f>I1009/G1009</f>
        <v>5.1361068310220859E-2</v>
      </c>
      <c r="S1009">
        <f>H1009/G1009</f>
        <v>0.6163328197226503</v>
      </c>
    </row>
    <row r="1010" spans="1:19" hidden="1" x14ac:dyDescent="0.2">
      <c r="A1010">
        <v>10</v>
      </c>
      <c r="B1010" t="s">
        <v>3413</v>
      </c>
      <c r="C1010">
        <v>0</v>
      </c>
      <c r="D1010">
        <v>4</v>
      </c>
      <c r="E1010">
        <v>1003</v>
      </c>
      <c r="F1010" t="b">
        <v>1</v>
      </c>
      <c r="G1010">
        <v>39.707999999999998</v>
      </c>
      <c r="H1010">
        <v>31</v>
      </c>
      <c r="I1010">
        <v>1</v>
      </c>
      <c r="J1010">
        <v>0.06</v>
      </c>
      <c r="K1010" t="s">
        <v>3171</v>
      </c>
      <c r="L1010">
        <v>0</v>
      </c>
      <c r="N1010" t="s">
        <v>3172</v>
      </c>
      <c r="O1010" t="s">
        <v>3173</v>
      </c>
      <c r="P1010" t="s">
        <v>20</v>
      </c>
      <c r="Q1010">
        <f>(VALUE(LEFT(SUBSTITUTE(O1010,"T"," "),23)) - VALUE(LEFT(SUBSTITUTE(N1010,"T"," "),23))) * 86400</f>
        <v>142.61999940499663</v>
      </c>
      <c r="R1010">
        <f>I1010/G1010</f>
        <v>2.5183842046942684E-2</v>
      </c>
      <c r="S1010">
        <f>H1010/G1010</f>
        <v>0.7806991034552232</v>
      </c>
    </row>
    <row r="1011" spans="1:19" hidden="1" x14ac:dyDescent="0.2">
      <c r="A1011">
        <v>13</v>
      </c>
      <c r="B1011" t="s">
        <v>3413</v>
      </c>
      <c r="C1011">
        <v>0</v>
      </c>
      <c r="D1011">
        <v>5</v>
      </c>
      <c r="E1011">
        <v>1004</v>
      </c>
      <c r="F1011" t="b">
        <v>1</v>
      </c>
      <c r="G1011">
        <v>41.292000000000002</v>
      </c>
      <c r="H1011">
        <v>29</v>
      </c>
      <c r="I1011">
        <v>2</v>
      </c>
      <c r="J1011">
        <v>0.36</v>
      </c>
      <c r="K1011" t="s">
        <v>3180</v>
      </c>
      <c r="L1011">
        <v>0</v>
      </c>
      <c r="N1011" t="s">
        <v>3181</v>
      </c>
      <c r="O1011" t="s">
        <v>3182</v>
      </c>
      <c r="P1011" t="s">
        <v>20</v>
      </c>
      <c r="Q1011">
        <f>(VALUE(LEFT(SUBSTITUTE(O1011,"T"," "),23)) - VALUE(LEFT(SUBSTITUTE(N1011,"T"," "),23))) * 86400</f>
        <v>182.5640004593879</v>
      </c>
      <c r="R1011">
        <f>I1011/G1011</f>
        <v>4.8435532306500044E-2</v>
      </c>
      <c r="S1011">
        <f>H1011/G1011</f>
        <v>0.70231521844425071</v>
      </c>
    </row>
    <row r="1012" spans="1:19" hidden="1" x14ac:dyDescent="0.2">
      <c r="A1012">
        <v>16</v>
      </c>
      <c r="B1012" t="s">
        <v>3413</v>
      </c>
      <c r="C1012">
        <v>0</v>
      </c>
      <c r="D1012">
        <v>6</v>
      </c>
      <c r="E1012">
        <v>1005</v>
      </c>
      <c r="F1012" t="b">
        <v>1</v>
      </c>
      <c r="G1012">
        <v>59.508000000000003</v>
      </c>
      <c r="H1012">
        <v>31</v>
      </c>
      <c r="I1012">
        <v>2</v>
      </c>
      <c r="J1012">
        <v>0.12</v>
      </c>
      <c r="K1012" t="s">
        <v>3189</v>
      </c>
      <c r="L1012">
        <v>0</v>
      </c>
      <c r="N1012" t="s">
        <v>3190</v>
      </c>
      <c r="O1012" t="s">
        <v>3191</v>
      </c>
      <c r="P1012" t="s">
        <v>20</v>
      </c>
      <c r="Q1012">
        <f>(VALUE(LEFT(SUBSTITUTE(O1012,"T"," "),23)) - VALUE(LEFT(SUBSTITUTE(N1012,"T"," "),23))) * 86400</f>
        <v>217.5409996882081</v>
      </c>
      <c r="R1012">
        <f>I1012/G1012</f>
        <v>3.3608926530886603E-2</v>
      </c>
      <c r="S1012">
        <f>H1012/G1012</f>
        <v>0.52093836122874237</v>
      </c>
    </row>
    <row r="1013" spans="1:19" hidden="1" x14ac:dyDescent="0.2">
      <c r="A1013">
        <v>19</v>
      </c>
      <c r="B1013" t="s">
        <v>3413</v>
      </c>
      <c r="C1013">
        <v>0</v>
      </c>
      <c r="D1013">
        <v>7</v>
      </c>
      <c r="E1013">
        <v>1006</v>
      </c>
      <c r="F1013" t="b">
        <v>1</v>
      </c>
      <c r="G1013">
        <v>52.78</v>
      </c>
      <c r="H1013">
        <v>30</v>
      </c>
      <c r="I1013">
        <v>0</v>
      </c>
      <c r="J1013">
        <v>0</v>
      </c>
      <c r="K1013" t="s">
        <v>3198</v>
      </c>
      <c r="L1013">
        <v>0</v>
      </c>
      <c r="N1013" t="s">
        <v>3199</v>
      </c>
      <c r="O1013" t="s">
        <v>3200</v>
      </c>
      <c r="P1013" t="s">
        <v>20</v>
      </c>
      <c r="Q1013">
        <f>(VALUE(LEFT(SUBSTITUTE(O1013,"T"," "),23)) - VALUE(LEFT(SUBSTITUTE(N1013,"T"," "),23))) * 86400</f>
        <v>184.05500021763146</v>
      </c>
      <c r="R1013">
        <f>I1013/G1013</f>
        <v>0</v>
      </c>
      <c r="S1013">
        <f>H1013/G1013</f>
        <v>0.56839712012125809</v>
      </c>
    </row>
    <row r="1014" spans="1:19" hidden="1" x14ac:dyDescent="0.2">
      <c r="A1014">
        <v>22</v>
      </c>
      <c r="B1014" t="s">
        <v>3413</v>
      </c>
      <c r="C1014">
        <v>0</v>
      </c>
      <c r="D1014">
        <v>8</v>
      </c>
      <c r="E1014">
        <v>1007</v>
      </c>
      <c r="F1014" t="b">
        <v>1</v>
      </c>
      <c r="G1014">
        <v>48.427999999999997</v>
      </c>
      <c r="H1014">
        <v>27</v>
      </c>
      <c r="I1014">
        <v>3</v>
      </c>
      <c r="J1014">
        <v>0.6</v>
      </c>
      <c r="K1014" t="s">
        <v>3207</v>
      </c>
      <c r="L1014">
        <v>0</v>
      </c>
      <c r="N1014" t="s">
        <v>3208</v>
      </c>
      <c r="O1014" t="s">
        <v>3209</v>
      </c>
      <c r="P1014" t="s">
        <v>20</v>
      </c>
      <c r="Q1014">
        <f>(VALUE(LEFT(SUBSTITUTE(O1014,"T"," "),23)) - VALUE(LEFT(SUBSTITUTE(N1014,"T"," "),23))) * 86400</f>
        <v>215.53799996618181</v>
      </c>
      <c r="R1014">
        <f>I1014/G1014</f>
        <v>6.1947633600396471E-2</v>
      </c>
      <c r="S1014">
        <f>H1014/G1014</f>
        <v>0.55752870240356822</v>
      </c>
    </row>
    <row r="1015" spans="1:19" x14ac:dyDescent="0.2">
      <c r="A1015">
        <v>36</v>
      </c>
      <c r="B1015" t="s">
        <v>25</v>
      </c>
      <c r="C1015">
        <v>2</v>
      </c>
      <c r="D1015">
        <v>2</v>
      </c>
      <c r="E1015">
        <v>1008</v>
      </c>
      <c r="F1015" t="b">
        <v>1</v>
      </c>
      <c r="G1015">
        <v>43.851999999999997</v>
      </c>
      <c r="H1015">
        <v>30</v>
      </c>
      <c r="I1015">
        <v>3</v>
      </c>
      <c r="J1015">
        <v>1.02</v>
      </c>
      <c r="K1015" t="s">
        <v>1869</v>
      </c>
      <c r="L1015">
        <v>0</v>
      </c>
      <c r="N1015" t="s">
        <v>1870</v>
      </c>
      <c r="O1015" t="s">
        <v>1871</v>
      </c>
      <c r="P1015" t="s">
        <v>20</v>
      </c>
      <c r="Q1015">
        <f>(VALUE(LEFT(SUBSTITUTE(O1015,"T"," "),23)) - VALUE(LEFT(SUBSTITUTE(N1015,"T"," "),23))) * 86400</f>
        <v>85.538999922573566</v>
      </c>
      <c r="R1015">
        <f>I1015/G1015</f>
        <v>6.8411931040773519E-2</v>
      </c>
      <c r="S1015">
        <f>H1015/G1015</f>
        <v>0.68411931040773521</v>
      </c>
    </row>
    <row r="1016" spans="1:19" hidden="1" x14ac:dyDescent="0.2">
      <c r="A1016">
        <v>25</v>
      </c>
      <c r="B1016" t="s">
        <v>3413</v>
      </c>
      <c r="C1016">
        <v>0</v>
      </c>
      <c r="D1016">
        <v>9</v>
      </c>
      <c r="E1016">
        <v>1008</v>
      </c>
      <c r="F1016" t="b">
        <v>1</v>
      </c>
      <c r="G1016">
        <v>51.82</v>
      </c>
      <c r="H1016">
        <v>29</v>
      </c>
      <c r="I1016">
        <v>2</v>
      </c>
      <c r="J1016">
        <v>0.72</v>
      </c>
      <c r="K1016" t="s">
        <v>3216</v>
      </c>
      <c r="L1016">
        <v>0</v>
      </c>
      <c r="N1016" t="s">
        <v>3217</v>
      </c>
      <c r="O1016" t="s">
        <v>3218</v>
      </c>
      <c r="P1016" t="s">
        <v>20</v>
      </c>
      <c r="Q1016">
        <f>(VALUE(LEFT(SUBSTITUTE(O1016,"T"," "),23)) - VALUE(LEFT(SUBSTITUTE(N1016,"T"," "),23))) * 86400</f>
        <v>261.43000046722591</v>
      </c>
      <c r="R1016">
        <f>I1016/G1016</f>
        <v>3.8595137012736397E-2</v>
      </c>
      <c r="S1016">
        <f>H1016/G1016</f>
        <v>0.55962948668467771</v>
      </c>
    </row>
    <row r="1017" spans="1:19" x14ac:dyDescent="0.2">
      <c r="A1017">
        <v>63</v>
      </c>
      <c r="B1017" t="s">
        <v>25</v>
      </c>
      <c r="C1017">
        <v>2</v>
      </c>
      <c r="D1017">
        <v>3</v>
      </c>
      <c r="E1017">
        <v>1014</v>
      </c>
      <c r="F1017" t="b">
        <v>1</v>
      </c>
      <c r="G1017">
        <v>45.064</v>
      </c>
      <c r="H1017">
        <v>31</v>
      </c>
      <c r="I1017">
        <v>0</v>
      </c>
      <c r="J1017">
        <v>0</v>
      </c>
      <c r="K1017" t="s">
        <v>1162</v>
      </c>
      <c r="L1017">
        <v>0</v>
      </c>
      <c r="N1017" t="s">
        <v>1163</v>
      </c>
      <c r="O1017" t="s">
        <v>1164</v>
      </c>
      <c r="P1017" t="s">
        <v>20</v>
      </c>
      <c r="Q1017">
        <f>(VALUE(LEFT(SUBSTITUTE(O1017,"T"," "),23)) - VALUE(LEFT(SUBSTITUTE(N1017,"T"," "),23))) * 86400</f>
        <v>252.62199968565255</v>
      </c>
      <c r="R1017">
        <f>I1017/G1017</f>
        <v>0</v>
      </c>
      <c r="S1017">
        <f>H1017/G1017</f>
        <v>0.68791052725013313</v>
      </c>
    </row>
    <row r="1018" spans="1:19" hidden="1" x14ac:dyDescent="0.2">
      <c r="A1018">
        <v>28</v>
      </c>
      <c r="B1018" t="s">
        <v>3413</v>
      </c>
      <c r="C1018">
        <v>0</v>
      </c>
      <c r="D1018">
        <v>10</v>
      </c>
      <c r="E1018">
        <v>1009</v>
      </c>
      <c r="F1018" t="b">
        <v>1</v>
      </c>
      <c r="G1018">
        <v>52.968000000000004</v>
      </c>
      <c r="H1018">
        <v>32</v>
      </c>
      <c r="I1018">
        <v>1</v>
      </c>
      <c r="J1018">
        <v>0.3</v>
      </c>
      <c r="K1018" t="s">
        <v>3225</v>
      </c>
      <c r="L1018">
        <v>0</v>
      </c>
      <c r="N1018" t="s">
        <v>3226</v>
      </c>
      <c r="O1018" t="s">
        <v>3227</v>
      </c>
      <c r="P1018" t="s">
        <v>20</v>
      </c>
      <c r="Q1018">
        <f>(VALUE(LEFT(SUBSTITUTE(O1018,"T"," "),23)) - VALUE(LEFT(SUBSTITUTE(N1018,"T"," "),23))) * 86400</f>
        <v>177.48799952678382</v>
      </c>
      <c r="R1018">
        <f>I1018/G1018</f>
        <v>1.8879323365050594E-2</v>
      </c>
      <c r="S1018">
        <f>H1018/G1018</f>
        <v>0.604138347681619</v>
      </c>
    </row>
    <row r="1019" spans="1:19" x14ac:dyDescent="0.2">
      <c r="A1019">
        <v>117</v>
      </c>
      <c r="B1019" t="s">
        <v>25</v>
      </c>
      <c r="C1019">
        <v>2</v>
      </c>
      <c r="D1019">
        <v>5</v>
      </c>
      <c r="E1019">
        <v>1016</v>
      </c>
      <c r="F1019" t="b">
        <v>1</v>
      </c>
      <c r="G1019">
        <v>40.667999999999999</v>
      </c>
      <c r="H1019">
        <v>28</v>
      </c>
      <c r="I1019">
        <v>2</v>
      </c>
      <c r="J1019">
        <v>0.24</v>
      </c>
      <c r="K1019" t="s">
        <v>1324</v>
      </c>
      <c r="L1019">
        <v>0</v>
      </c>
      <c r="N1019" t="s">
        <v>1325</v>
      </c>
      <c r="O1019" t="s">
        <v>1326</v>
      </c>
      <c r="P1019" t="s">
        <v>20</v>
      </c>
      <c r="Q1019">
        <f>(VALUE(LEFT(SUBSTITUTE(O1019,"T"," "),23)) - VALUE(LEFT(SUBSTITUTE(N1019,"T"," "),23))) * 86400</f>
        <v>238.84499988052994</v>
      </c>
      <c r="R1019">
        <f>I1019/G1019</f>
        <v>4.9178715451952397E-2</v>
      </c>
      <c r="S1019">
        <f>H1019/G1019</f>
        <v>0.68850201632733354</v>
      </c>
    </row>
    <row r="1020" spans="1:19" hidden="1" x14ac:dyDescent="0.2">
      <c r="A1020">
        <v>1</v>
      </c>
      <c r="B1020" t="s">
        <v>3413</v>
      </c>
      <c r="C1020">
        <v>0</v>
      </c>
      <c r="D1020">
        <v>1</v>
      </c>
      <c r="E1020">
        <v>1010</v>
      </c>
      <c r="F1020" t="b">
        <v>1</v>
      </c>
      <c r="G1020">
        <v>50.548000000000002</v>
      </c>
      <c r="H1020">
        <v>25</v>
      </c>
      <c r="I1020">
        <v>3</v>
      </c>
      <c r="J1020">
        <v>0.3</v>
      </c>
      <c r="K1020" t="s">
        <v>3234</v>
      </c>
      <c r="L1020">
        <v>0</v>
      </c>
      <c r="N1020" t="s">
        <v>3235</v>
      </c>
      <c r="O1020" t="s">
        <v>3236</v>
      </c>
      <c r="P1020" t="s">
        <v>20</v>
      </c>
      <c r="Q1020">
        <f>(VALUE(LEFT(SUBSTITUTE(O1020,"T"," "),23)) - VALUE(LEFT(SUBSTITUTE(N1020,"T"," "),23))) * 86400</f>
        <v>187.28799980599433</v>
      </c>
      <c r="R1020">
        <f>I1020/G1020</f>
        <v>5.9349529160401995E-2</v>
      </c>
      <c r="S1020">
        <f>H1020/G1020</f>
        <v>0.49457940967001662</v>
      </c>
    </row>
    <row r="1021" spans="1:19" hidden="1" x14ac:dyDescent="0.2">
      <c r="A1021">
        <v>4</v>
      </c>
      <c r="B1021" t="s">
        <v>3413</v>
      </c>
      <c r="C1021">
        <v>0</v>
      </c>
      <c r="D1021">
        <v>2</v>
      </c>
      <c r="E1021">
        <v>1011</v>
      </c>
      <c r="F1021" t="b">
        <v>1</v>
      </c>
      <c r="G1021">
        <v>51.676000000000002</v>
      </c>
      <c r="H1021">
        <v>27</v>
      </c>
      <c r="I1021">
        <v>1</v>
      </c>
      <c r="J1021">
        <v>0.18</v>
      </c>
      <c r="K1021" t="s">
        <v>3243</v>
      </c>
      <c r="L1021">
        <v>0</v>
      </c>
      <c r="N1021" t="s">
        <v>3244</v>
      </c>
      <c r="O1021" t="s">
        <v>3245</v>
      </c>
      <c r="P1021" t="s">
        <v>20</v>
      </c>
      <c r="Q1021">
        <f>(VALUE(LEFT(SUBSTITUTE(O1021,"T"," "),23)) - VALUE(LEFT(SUBSTITUTE(N1021,"T"," "),23))) * 86400</f>
        <v>202.28599982801825</v>
      </c>
      <c r="R1021">
        <f>I1021/G1021</f>
        <v>1.9351342983203033E-2</v>
      </c>
      <c r="S1021">
        <f>H1021/G1021</f>
        <v>0.52248626054648195</v>
      </c>
    </row>
    <row r="1022" spans="1:19" hidden="1" x14ac:dyDescent="0.2">
      <c r="A1022">
        <v>7</v>
      </c>
      <c r="B1022" t="s">
        <v>3413</v>
      </c>
      <c r="C1022">
        <v>0</v>
      </c>
      <c r="D1022">
        <v>3</v>
      </c>
      <c r="E1022">
        <v>1012</v>
      </c>
      <c r="F1022" t="b">
        <v>1</v>
      </c>
      <c r="G1022">
        <v>48.48</v>
      </c>
      <c r="H1022">
        <v>25</v>
      </c>
      <c r="I1022">
        <v>1</v>
      </c>
      <c r="J1022">
        <v>0.36</v>
      </c>
      <c r="K1022" t="s">
        <v>3252</v>
      </c>
      <c r="L1022">
        <v>0</v>
      </c>
      <c r="N1022" t="s">
        <v>3253</v>
      </c>
      <c r="O1022" t="s">
        <v>3254</v>
      </c>
      <c r="P1022" t="s">
        <v>20</v>
      </c>
      <c r="Q1022">
        <f>(VALUE(LEFT(SUBSTITUTE(O1022,"T"," "),23)) - VALUE(LEFT(SUBSTITUTE(N1022,"T"," "),23))) * 86400</f>
        <v>237.16300022788346</v>
      </c>
      <c r="R1022">
        <f>I1022/G1022</f>
        <v>2.0627062706270627E-2</v>
      </c>
      <c r="S1022">
        <f>H1022/G1022</f>
        <v>0.51567656765676573</v>
      </c>
    </row>
    <row r="1023" spans="1:19" hidden="1" x14ac:dyDescent="0.2">
      <c r="A1023">
        <v>10</v>
      </c>
      <c r="B1023" t="s">
        <v>3413</v>
      </c>
      <c r="C1023">
        <v>0</v>
      </c>
      <c r="D1023">
        <v>4</v>
      </c>
      <c r="E1023">
        <v>1013</v>
      </c>
      <c r="F1023" t="b">
        <v>1</v>
      </c>
      <c r="G1023">
        <v>38.14</v>
      </c>
      <c r="H1023">
        <v>22</v>
      </c>
      <c r="I1023">
        <v>1</v>
      </c>
      <c r="J1023">
        <v>0.12</v>
      </c>
      <c r="K1023" t="s">
        <v>3261</v>
      </c>
      <c r="L1023">
        <v>0</v>
      </c>
      <c r="N1023" t="s">
        <v>3262</v>
      </c>
      <c r="O1023" t="s">
        <v>3263</v>
      </c>
      <c r="P1023" t="s">
        <v>20</v>
      </c>
      <c r="Q1023">
        <f>(VALUE(LEFT(SUBSTITUTE(O1023,"T"," "),23)) - VALUE(LEFT(SUBSTITUTE(N1023,"T"," "),23))) * 86400</f>
        <v>151.87700008973479</v>
      </c>
      <c r="R1023">
        <f>I1023/G1023</f>
        <v>2.6219192448872573E-2</v>
      </c>
      <c r="S1023">
        <f>H1023/G1023</f>
        <v>0.5768222338751966</v>
      </c>
    </row>
    <row r="1024" spans="1:19" hidden="1" x14ac:dyDescent="0.2">
      <c r="A1024">
        <v>13</v>
      </c>
      <c r="B1024" t="s">
        <v>3413</v>
      </c>
      <c r="C1024">
        <v>0</v>
      </c>
      <c r="D1024">
        <v>5</v>
      </c>
      <c r="E1024">
        <v>1014</v>
      </c>
      <c r="F1024" t="b">
        <v>1</v>
      </c>
      <c r="G1024">
        <v>54.484000000000002</v>
      </c>
      <c r="H1024">
        <v>25</v>
      </c>
      <c r="I1024">
        <v>1</v>
      </c>
      <c r="J1024">
        <v>0.78</v>
      </c>
      <c r="K1024" t="s">
        <v>3270</v>
      </c>
      <c r="L1024">
        <v>0</v>
      </c>
      <c r="N1024" t="s">
        <v>3271</v>
      </c>
      <c r="O1024" t="s">
        <v>3272</v>
      </c>
      <c r="P1024" t="s">
        <v>20</v>
      </c>
      <c r="Q1024">
        <f>(VALUE(LEFT(SUBSTITUTE(O1024,"T"," "),23)) - VALUE(LEFT(SUBSTITUTE(N1024,"T"," "),23))) * 86400</f>
        <v>260.63799988478422</v>
      </c>
      <c r="R1024">
        <f>I1024/G1024</f>
        <v>1.8354012187064093E-2</v>
      </c>
      <c r="S1024">
        <f>H1024/G1024</f>
        <v>0.45885030467660232</v>
      </c>
    </row>
    <row r="1025" spans="1:19" hidden="1" x14ac:dyDescent="0.2">
      <c r="A1025">
        <v>16</v>
      </c>
      <c r="B1025" t="s">
        <v>3413</v>
      </c>
      <c r="C1025">
        <v>0</v>
      </c>
      <c r="D1025">
        <v>6</v>
      </c>
      <c r="E1025">
        <v>1015</v>
      </c>
      <c r="F1025" t="b">
        <v>1</v>
      </c>
      <c r="G1025">
        <v>45.648000000000003</v>
      </c>
      <c r="H1025">
        <v>25</v>
      </c>
      <c r="I1025">
        <v>1</v>
      </c>
      <c r="J1025">
        <v>0.06</v>
      </c>
      <c r="K1025" t="s">
        <v>3279</v>
      </c>
      <c r="L1025">
        <v>0</v>
      </c>
      <c r="N1025" t="s">
        <v>3280</v>
      </c>
      <c r="O1025" t="s">
        <v>3281</v>
      </c>
      <c r="P1025" t="s">
        <v>20</v>
      </c>
      <c r="Q1025">
        <f>(VALUE(LEFT(SUBSTITUTE(O1025,"T"," "),23)) - VALUE(LEFT(SUBSTITUTE(N1025,"T"," "),23))) * 86400</f>
        <v>185.78300017397851</v>
      </c>
      <c r="R1025">
        <f>I1025/G1025</f>
        <v>2.1906764808973009E-2</v>
      </c>
      <c r="S1025">
        <f>H1025/G1025</f>
        <v>0.54766912022432523</v>
      </c>
    </row>
    <row r="1026" spans="1:19" hidden="1" x14ac:dyDescent="0.2">
      <c r="A1026">
        <v>19</v>
      </c>
      <c r="B1026" t="s">
        <v>3413</v>
      </c>
      <c r="C1026">
        <v>0</v>
      </c>
      <c r="D1026">
        <v>7</v>
      </c>
      <c r="E1026">
        <v>1016</v>
      </c>
      <c r="F1026" t="b">
        <v>1</v>
      </c>
      <c r="G1026">
        <v>47.176000000000002</v>
      </c>
      <c r="H1026">
        <v>31</v>
      </c>
      <c r="I1026">
        <v>2</v>
      </c>
      <c r="J1026">
        <v>1.02</v>
      </c>
      <c r="K1026" t="s">
        <v>3288</v>
      </c>
      <c r="L1026">
        <v>0</v>
      </c>
      <c r="N1026" t="s">
        <v>3289</v>
      </c>
      <c r="O1026" t="s">
        <v>3290</v>
      </c>
      <c r="P1026" t="s">
        <v>20</v>
      </c>
      <c r="Q1026">
        <f>(VALUE(LEFT(SUBSTITUTE(O1026,"T"," "),23)) - VALUE(LEFT(SUBSTITUTE(N1026,"T"," "),23))) * 86400</f>
        <v>146.03900054935366</v>
      </c>
      <c r="R1026">
        <f>I1026/G1026</f>
        <v>4.2394437849754107E-2</v>
      </c>
      <c r="S1026">
        <f>H1026/G1026</f>
        <v>0.65711378667118869</v>
      </c>
    </row>
    <row r="1027" spans="1:19" hidden="1" x14ac:dyDescent="0.2">
      <c r="A1027">
        <v>22</v>
      </c>
      <c r="B1027" t="s">
        <v>3413</v>
      </c>
      <c r="C1027">
        <v>0</v>
      </c>
      <c r="D1027">
        <v>8</v>
      </c>
      <c r="E1027">
        <v>1017</v>
      </c>
      <c r="F1027" t="b">
        <v>1</v>
      </c>
      <c r="G1027">
        <v>47.816000000000003</v>
      </c>
      <c r="H1027">
        <v>30</v>
      </c>
      <c r="I1027">
        <v>3</v>
      </c>
      <c r="J1027">
        <v>0.36</v>
      </c>
      <c r="K1027" t="s">
        <v>3297</v>
      </c>
      <c r="L1027">
        <v>0</v>
      </c>
      <c r="N1027" t="s">
        <v>3298</v>
      </c>
      <c r="O1027" t="s">
        <v>3299</v>
      </c>
      <c r="P1027" t="s">
        <v>20</v>
      </c>
      <c r="Q1027">
        <f>(VALUE(LEFT(SUBSTITUTE(O1027,"T"," "),23)) - VALUE(LEFT(SUBSTITUTE(N1027,"T"," "),23))) * 86400</f>
        <v>146.45599939394742</v>
      </c>
      <c r="R1027">
        <f>I1027/G1027</f>
        <v>6.2740505270202446E-2</v>
      </c>
      <c r="S1027">
        <f>H1027/G1027</f>
        <v>0.6274050527020244</v>
      </c>
    </row>
    <row r="1028" spans="1:19" hidden="1" x14ac:dyDescent="0.2">
      <c r="A1028">
        <v>25</v>
      </c>
      <c r="B1028" t="s">
        <v>3413</v>
      </c>
      <c r="C1028">
        <v>0</v>
      </c>
      <c r="D1028">
        <v>9</v>
      </c>
      <c r="E1028">
        <v>1018</v>
      </c>
      <c r="F1028" t="b">
        <v>1</v>
      </c>
      <c r="G1028">
        <v>58.851999999999997</v>
      </c>
      <c r="H1028">
        <v>27</v>
      </c>
      <c r="I1028">
        <v>1</v>
      </c>
      <c r="J1028">
        <v>0.9</v>
      </c>
      <c r="K1028" t="s">
        <v>3306</v>
      </c>
      <c r="L1028">
        <v>0</v>
      </c>
      <c r="N1028" t="s">
        <v>3307</v>
      </c>
      <c r="O1028" t="s">
        <v>3308</v>
      </c>
      <c r="P1028" t="s">
        <v>20</v>
      </c>
      <c r="Q1028">
        <f>(VALUE(LEFT(SUBSTITUTE(O1028,"T"," "),23)) - VALUE(LEFT(SUBSTITUTE(N1028,"T"," "),23))) * 86400</f>
        <v>240.88900031056255</v>
      </c>
      <c r="R1028">
        <f>I1028/G1028</f>
        <v>1.6991775980425474E-2</v>
      </c>
      <c r="S1028">
        <f>H1028/G1028</f>
        <v>0.45877795147148781</v>
      </c>
    </row>
    <row r="1029" spans="1:19" hidden="1" x14ac:dyDescent="0.2">
      <c r="A1029">
        <v>28</v>
      </c>
      <c r="B1029" t="s">
        <v>3413</v>
      </c>
      <c r="C1029">
        <v>0</v>
      </c>
      <c r="D1029">
        <v>10</v>
      </c>
      <c r="E1029">
        <v>1019</v>
      </c>
      <c r="F1029" t="b">
        <v>1</v>
      </c>
      <c r="G1029">
        <v>39.68</v>
      </c>
      <c r="H1029">
        <v>28</v>
      </c>
      <c r="I1029">
        <v>0</v>
      </c>
      <c r="J1029">
        <v>0</v>
      </c>
      <c r="K1029" t="s">
        <v>3315</v>
      </c>
      <c r="L1029">
        <v>0</v>
      </c>
      <c r="N1029" t="s">
        <v>3316</v>
      </c>
      <c r="O1029" t="s">
        <v>3317</v>
      </c>
      <c r="P1029" t="s">
        <v>20</v>
      </c>
      <c r="Q1029">
        <f>(VALUE(LEFT(SUBSTITUTE(O1029,"T"," "),23)) - VALUE(LEFT(SUBSTITUTE(N1029,"T"," "),23))) * 86400</f>
        <v>157.44500008877367</v>
      </c>
      <c r="R1029">
        <f>I1029/G1029</f>
        <v>0</v>
      </c>
      <c r="S1029">
        <f>H1029/G1029</f>
        <v>0.70564516129032262</v>
      </c>
    </row>
    <row r="1030" spans="1:19" hidden="1" x14ac:dyDescent="0.2">
      <c r="A1030">
        <v>1</v>
      </c>
      <c r="B1030" t="s">
        <v>3413</v>
      </c>
      <c r="C1030">
        <v>0</v>
      </c>
      <c r="D1030">
        <v>1</v>
      </c>
      <c r="E1030">
        <v>1020</v>
      </c>
      <c r="F1030" t="b">
        <v>1</v>
      </c>
      <c r="G1030">
        <v>34.86</v>
      </c>
      <c r="H1030">
        <v>28</v>
      </c>
      <c r="I1030">
        <v>1</v>
      </c>
      <c r="J1030">
        <v>0.18</v>
      </c>
      <c r="K1030" t="s">
        <v>3324</v>
      </c>
      <c r="L1030">
        <v>0</v>
      </c>
      <c r="N1030" t="s">
        <v>3325</v>
      </c>
      <c r="O1030" t="s">
        <v>3326</v>
      </c>
      <c r="P1030" t="s">
        <v>20</v>
      </c>
      <c r="Q1030">
        <f>(VALUE(LEFT(SUBSTITUTE(O1030,"T"," "),23)) - VALUE(LEFT(SUBSTITUTE(N1030,"T"," "),23))) * 86400</f>
        <v>155.68299998994917</v>
      </c>
      <c r="R1030">
        <f>I1030/G1030</f>
        <v>2.8686173264486518E-2</v>
      </c>
      <c r="S1030">
        <f>H1030/G1030</f>
        <v>0.80321285140562249</v>
      </c>
    </row>
    <row r="1031" spans="1:19" hidden="1" x14ac:dyDescent="0.2">
      <c r="A1031">
        <v>4</v>
      </c>
      <c r="B1031" t="s">
        <v>3413</v>
      </c>
      <c r="C1031">
        <v>0</v>
      </c>
      <c r="D1031">
        <v>2</v>
      </c>
      <c r="E1031">
        <v>1021</v>
      </c>
      <c r="F1031" t="b">
        <v>1</v>
      </c>
      <c r="G1031">
        <v>41.1</v>
      </c>
      <c r="H1031">
        <v>29</v>
      </c>
      <c r="I1031">
        <v>1</v>
      </c>
      <c r="J1031">
        <v>0.06</v>
      </c>
      <c r="K1031" t="s">
        <v>3333</v>
      </c>
      <c r="L1031">
        <v>0</v>
      </c>
      <c r="N1031" t="s">
        <v>3334</v>
      </c>
      <c r="O1031" t="s">
        <v>3335</v>
      </c>
      <c r="P1031" t="s">
        <v>20</v>
      </c>
      <c r="Q1031">
        <f>(VALUE(LEFT(SUBSTITUTE(O1031,"T"," "),23)) - VALUE(LEFT(SUBSTITUTE(N1031,"T"," "),23))) * 86400</f>
        <v>160.31400044448674</v>
      </c>
      <c r="R1031">
        <f>I1031/G1031</f>
        <v>2.4330900243309E-2</v>
      </c>
      <c r="S1031">
        <f>H1031/G1031</f>
        <v>0.7055961070559611</v>
      </c>
    </row>
    <row r="1032" spans="1:19" hidden="1" x14ac:dyDescent="0.2">
      <c r="A1032">
        <v>7</v>
      </c>
      <c r="B1032" t="s">
        <v>3413</v>
      </c>
      <c r="C1032">
        <v>0</v>
      </c>
      <c r="D1032">
        <v>3</v>
      </c>
      <c r="E1032">
        <v>1022</v>
      </c>
      <c r="F1032" t="b">
        <v>1</v>
      </c>
      <c r="G1032">
        <v>39.380000000000003</v>
      </c>
      <c r="H1032">
        <v>25</v>
      </c>
      <c r="I1032">
        <v>0</v>
      </c>
      <c r="J1032">
        <v>0</v>
      </c>
      <c r="K1032" t="s">
        <v>3342</v>
      </c>
      <c r="L1032">
        <v>0</v>
      </c>
      <c r="N1032" t="s">
        <v>3343</v>
      </c>
      <c r="O1032" t="s">
        <v>3344</v>
      </c>
      <c r="P1032" t="s">
        <v>20</v>
      </c>
      <c r="Q1032">
        <f>(VALUE(LEFT(SUBSTITUTE(O1032,"T"," "),23)) - VALUE(LEFT(SUBSTITUTE(N1032,"T"," "),23))) * 86400</f>
        <v>213.12199956737459</v>
      </c>
      <c r="R1032">
        <f>I1032/G1032</f>
        <v>0</v>
      </c>
      <c r="S1032">
        <f>H1032/G1032</f>
        <v>0.63484002031488063</v>
      </c>
    </row>
    <row r="1033" spans="1:19" hidden="1" x14ac:dyDescent="0.2">
      <c r="A1033">
        <v>10</v>
      </c>
      <c r="B1033" t="s">
        <v>3413</v>
      </c>
      <c r="C1033">
        <v>0</v>
      </c>
      <c r="D1033">
        <v>4</v>
      </c>
      <c r="E1033">
        <v>1023</v>
      </c>
      <c r="F1033" t="b">
        <v>1</v>
      </c>
      <c r="G1033">
        <v>51.744</v>
      </c>
      <c r="H1033">
        <v>28</v>
      </c>
      <c r="I1033">
        <v>1</v>
      </c>
      <c r="J1033">
        <v>0.06</v>
      </c>
      <c r="K1033" t="s">
        <v>3351</v>
      </c>
      <c r="L1033">
        <v>0</v>
      </c>
      <c r="N1033" t="s">
        <v>3352</v>
      </c>
      <c r="O1033" t="s">
        <v>3353</v>
      </c>
      <c r="P1033" t="s">
        <v>20</v>
      </c>
      <c r="Q1033">
        <f>(VALUE(LEFT(SUBSTITUTE(O1033,"T"," "),23)) - VALUE(LEFT(SUBSTITUTE(N1033,"T"," "),23))) * 86400</f>
        <v>200.4479999653995</v>
      </c>
      <c r="R1033">
        <f>I1033/G1033</f>
        <v>1.9325912183055041E-2</v>
      </c>
      <c r="S1033">
        <f>H1033/G1033</f>
        <v>0.54112554112554112</v>
      </c>
    </row>
    <row r="1034" spans="1:19" hidden="1" x14ac:dyDescent="0.2">
      <c r="A1034">
        <v>13</v>
      </c>
      <c r="B1034" t="s">
        <v>3413</v>
      </c>
      <c r="C1034">
        <v>0</v>
      </c>
      <c r="D1034">
        <v>5</v>
      </c>
      <c r="E1034">
        <v>1024</v>
      </c>
      <c r="F1034" t="b">
        <v>1</v>
      </c>
      <c r="G1034">
        <v>40.880000000000003</v>
      </c>
      <c r="H1034">
        <v>27</v>
      </c>
      <c r="I1034">
        <v>1</v>
      </c>
      <c r="J1034">
        <v>0.06</v>
      </c>
      <c r="K1034" t="s">
        <v>3360</v>
      </c>
      <c r="L1034">
        <v>0</v>
      </c>
      <c r="N1034" t="s">
        <v>3361</v>
      </c>
      <c r="O1034" t="s">
        <v>3362</v>
      </c>
      <c r="P1034" t="s">
        <v>20</v>
      </c>
      <c r="Q1034">
        <f>(VALUE(LEFT(SUBSTITUTE(O1034,"T"," "),23)) - VALUE(LEFT(SUBSTITUTE(N1034,"T"," "),23))) * 86400</f>
        <v>174.09600047394633</v>
      </c>
      <c r="R1034">
        <f>I1034/G1034</f>
        <v>2.446183953033268E-2</v>
      </c>
      <c r="S1034">
        <f>H1034/G1034</f>
        <v>0.66046966731898238</v>
      </c>
    </row>
    <row r="1035" spans="1:19" x14ac:dyDescent="0.2">
      <c r="A1035">
        <v>9</v>
      </c>
      <c r="B1035" t="s">
        <v>25</v>
      </c>
      <c r="C1035">
        <v>2</v>
      </c>
      <c r="D1035">
        <v>1</v>
      </c>
      <c r="E1035">
        <v>1020</v>
      </c>
      <c r="F1035" t="b">
        <v>1</v>
      </c>
      <c r="G1035">
        <v>41.06</v>
      </c>
      <c r="H1035">
        <v>31</v>
      </c>
      <c r="I1035">
        <v>0</v>
      </c>
      <c r="J1035">
        <v>0</v>
      </c>
      <c r="K1035" t="s">
        <v>224</v>
      </c>
      <c r="L1035">
        <v>0</v>
      </c>
      <c r="N1035" t="s">
        <v>225</v>
      </c>
      <c r="O1035" t="s">
        <v>226</v>
      </c>
      <c r="P1035" t="s">
        <v>20</v>
      </c>
      <c r="Q1035">
        <f>(VALUE(LEFT(SUBSTITUTE(O1035,"T"," "),23)) - VALUE(LEFT(SUBSTITUTE(N1035,"T"," "),23))) * 86400</f>
        <v>203.1990003073588</v>
      </c>
      <c r="R1035">
        <f>I1035/G1035</f>
        <v>0</v>
      </c>
      <c r="S1035">
        <f>H1035/G1035</f>
        <v>0.75499269361909394</v>
      </c>
    </row>
    <row r="1036" spans="1:19" hidden="1" x14ac:dyDescent="0.2">
      <c r="A1036">
        <v>16</v>
      </c>
      <c r="B1036" t="s">
        <v>3413</v>
      </c>
      <c r="C1036">
        <v>0</v>
      </c>
      <c r="D1036">
        <v>6</v>
      </c>
      <c r="E1036">
        <v>1025</v>
      </c>
      <c r="F1036" t="b">
        <v>1</v>
      </c>
      <c r="G1036">
        <v>44.216000000000001</v>
      </c>
      <c r="H1036">
        <v>25</v>
      </c>
      <c r="I1036">
        <v>1</v>
      </c>
      <c r="J1036">
        <v>0.24</v>
      </c>
      <c r="K1036" t="s">
        <v>3368</v>
      </c>
      <c r="L1036">
        <v>0</v>
      </c>
      <c r="N1036" t="s">
        <v>3369</v>
      </c>
      <c r="O1036" t="s">
        <v>3370</v>
      </c>
      <c r="P1036" t="s">
        <v>20</v>
      </c>
      <c r="Q1036">
        <f>(VALUE(LEFT(SUBSTITUTE(O1036,"T"," "),23)) - VALUE(LEFT(SUBSTITUTE(N1036,"T"," "),23))) * 86400</f>
        <v>180.65000020433217</v>
      </c>
      <c r="R1036">
        <f>I1036/G1036</f>
        <v>2.2616247512212775E-2</v>
      </c>
      <c r="S1036">
        <f>H1036/G1036</f>
        <v>0.56540618780531937</v>
      </c>
    </row>
    <row r="1037" spans="1:19" hidden="1" x14ac:dyDescent="0.2">
      <c r="A1037">
        <v>19</v>
      </c>
      <c r="B1037" t="s">
        <v>3413</v>
      </c>
      <c r="C1037">
        <v>0</v>
      </c>
      <c r="D1037">
        <v>7</v>
      </c>
      <c r="E1037">
        <v>1026</v>
      </c>
      <c r="F1037" t="b">
        <v>1</v>
      </c>
      <c r="G1037">
        <v>47.572000000000003</v>
      </c>
      <c r="H1037">
        <v>29</v>
      </c>
      <c r="I1037">
        <v>1</v>
      </c>
      <c r="J1037">
        <v>0.06</v>
      </c>
      <c r="K1037" t="s">
        <v>3377</v>
      </c>
      <c r="L1037">
        <v>0</v>
      </c>
      <c r="N1037" t="s">
        <v>3378</v>
      </c>
      <c r="O1037" t="s">
        <v>3379</v>
      </c>
      <c r="P1037" t="s">
        <v>20</v>
      </c>
      <c r="Q1037">
        <f>(VALUE(LEFT(SUBSTITUTE(O1037,"T"," "),23)) - VALUE(LEFT(SUBSTITUTE(N1037,"T"," "),23))) * 86400</f>
        <v>208.9940000558272</v>
      </c>
      <c r="R1037">
        <f>I1037/G1037</f>
        <v>2.1020768519297066E-2</v>
      </c>
      <c r="S1037">
        <f>H1037/G1037</f>
        <v>0.60960228705961483</v>
      </c>
    </row>
    <row r="1038" spans="1:19" hidden="1" x14ac:dyDescent="0.2">
      <c r="A1038">
        <v>22</v>
      </c>
      <c r="B1038" t="s">
        <v>3413</v>
      </c>
      <c r="C1038">
        <v>0</v>
      </c>
      <c r="D1038">
        <v>8</v>
      </c>
      <c r="E1038">
        <v>1027</v>
      </c>
      <c r="F1038" t="b">
        <v>1</v>
      </c>
      <c r="G1038">
        <v>59.536000000000001</v>
      </c>
      <c r="H1038">
        <v>26</v>
      </c>
      <c r="I1038">
        <v>1</v>
      </c>
      <c r="J1038">
        <v>0.06</v>
      </c>
      <c r="K1038" t="s">
        <v>3386</v>
      </c>
      <c r="L1038">
        <v>0</v>
      </c>
      <c r="N1038" t="s">
        <v>3387</v>
      </c>
      <c r="O1038" t="s">
        <v>3388</v>
      </c>
      <c r="P1038" t="s">
        <v>20</v>
      </c>
      <c r="Q1038">
        <f>(VALUE(LEFT(SUBSTITUTE(O1038,"T"," "),23)) - VALUE(LEFT(SUBSTITUTE(N1038,"T"," "),23))) * 86400</f>
        <v>210.64000048208982</v>
      </c>
      <c r="R1038">
        <f>I1038/G1038</f>
        <v>1.679656006449879E-2</v>
      </c>
      <c r="S1038">
        <f>H1038/G1038</f>
        <v>0.43671056167696853</v>
      </c>
    </row>
    <row r="1039" spans="1:19" x14ac:dyDescent="0.2">
      <c r="A1039" s="1">
        <v>9</v>
      </c>
      <c r="B1039" s="1" t="s">
        <v>25</v>
      </c>
      <c r="C1039" s="1">
        <v>2</v>
      </c>
      <c r="D1039" s="1">
        <v>1</v>
      </c>
      <c r="E1039" s="1">
        <v>1001</v>
      </c>
      <c r="F1039" s="1" t="b">
        <v>1</v>
      </c>
      <c r="G1039" s="1">
        <v>34.304000000000002</v>
      </c>
      <c r="H1039" s="1">
        <v>27</v>
      </c>
      <c r="I1039" s="1">
        <v>1</v>
      </c>
      <c r="J1039" s="1">
        <v>0.06</v>
      </c>
      <c r="K1039" s="1" t="s">
        <v>314</v>
      </c>
      <c r="L1039" s="1">
        <v>0</v>
      </c>
      <c r="M1039" s="1"/>
      <c r="N1039" s="1" t="s">
        <v>315</v>
      </c>
      <c r="O1039" s="1" t="s">
        <v>316</v>
      </c>
      <c r="P1039" s="1" t="s">
        <v>20</v>
      </c>
      <c r="Q1039">
        <f>(VALUE(LEFT(SUBSTITUTE(O1039,"T"," "),23)) - VALUE(LEFT(SUBSTITUTE(N1039,"T"," "),23))) * 86400</f>
        <v>143.200000282377</v>
      </c>
      <c r="R1039">
        <f>I1039/G1039</f>
        <v>2.9151119402985072E-2</v>
      </c>
      <c r="S1039">
        <f>H1039/G1039</f>
        <v>0.78708022388059695</v>
      </c>
    </row>
    <row r="1040" spans="1:19" hidden="1" x14ac:dyDescent="0.2">
      <c r="A1040">
        <v>25</v>
      </c>
      <c r="B1040" t="s">
        <v>3413</v>
      </c>
      <c r="C1040">
        <v>0</v>
      </c>
      <c r="D1040">
        <v>9</v>
      </c>
      <c r="E1040">
        <v>1028</v>
      </c>
      <c r="F1040" t="b">
        <v>1</v>
      </c>
      <c r="G1040">
        <v>65.847999999999999</v>
      </c>
      <c r="H1040">
        <v>34</v>
      </c>
      <c r="I1040">
        <v>4</v>
      </c>
      <c r="J1040">
        <v>2.16</v>
      </c>
      <c r="K1040" t="s">
        <v>3395</v>
      </c>
      <c r="L1040">
        <v>0</v>
      </c>
      <c r="N1040" t="s">
        <v>3396</v>
      </c>
      <c r="O1040" t="s">
        <v>3397</v>
      </c>
      <c r="P1040" t="s">
        <v>20</v>
      </c>
      <c r="Q1040">
        <f>(VALUE(LEFT(SUBSTITUTE(O1040,"T"," "),23)) - VALUE(LEFT(SUBSTITUTE(N1040,"T"," "),23))) * 86400</f>
        <v>236.49399988353252</v>
      </c>
      <c r="R1040">
        <f>I1040/G1040</f>
        <v>6.0745960393633822E-2</v>
      </c>
      <c r="S1040">
        <f>H1040/G1040</f>
        <v>0.51634066334588746</v>
      </c>
    </row>
    <row r="1041" spans="1:19" hidden="1" x14ac:dyDescent="0.2">
      <c r="A1041">
        <v>28</v>
      </c>
      <c r="B1041" t="s">
        <v>3413</v>
      </c>
      <c r="C1041">
        <v>0</v>
      </c>
      <c r="D1041">
        <v>10</v>
      </c>
      <c r="E1041">
        <v>1029</v>
      </c>
      <c r="F1041" t="b">
        <v>1</v>
      </c>
      <c r="G1041">
        <v>54.688000000000002</v>
      </c>
      <c r="H1041">
        <v>27</v>
      </c>
      <c r="I1041">
        <v>3</v>
      </c>
      <c r="J1041">
        <v>2.1</v>
      </c>
      <c r="K1041" t="s">
        <v>3404</v>
      </c>
      <c r="L1041">
        <v>0</v>
      </c>
      <c r="N1041" t="s">
        <v>3405</v>
      </c>
      <c r="O1041" t="s">
        <v>3406</v>
      </c>
      <c r="P1041" t="s">
        <v>20</v>
      </c>
      <c r="Q1041">
        <f>(VALUE(LEFT(SUBSTITUTE(O1041,"T"," "),23)) - VALUE(LEFT(SUBSTITUTE(N1041,"T"," "),23))) * 86400</f>
        <v>204.71899998374283</v>
      </c>
      <c r="R1041">
        <f>I1041/G1041</f>
        <v>5.4856641310708013E-2</v>
      </c>
      <c r="S1041">
        <f>H1041/G1041</f>
        <v>0.4937097717963721</v>
      </c>
    </row>
    <row r="1042" spans="1:19" x14ac:dyDescent="0.2">
      <c r="A1042">
        <v>14</v>
      </c>
      <c r="B1042" t="s">
        <v>3413</v>
      </c>
      <c r="C1042">
        <v>2</v>
      </c>
      <c r="D1042">
        <v>7</v>
      </c>
      <c r="E1042">
        <v>1006</v>
      </c>
      <c r="F1042" t="b">
        <v>1</v>
      </c>
      <c r="G1042">
        <v>67.12</v>
      </c>
      <c r="H1042">
        <v>30</v>
      </c>
      <c r="I1042">
        <v>2</v>
      </c>
      <c r="J1042">
        <v>0.24</v>
      </c>
      <c r="K1042" t="s">
        <v>3004</v>
      </c>
      <c r="L1042">
        <v>0</v>
      </c>
      <c r="N1042" t="s">
        <v>3005</v>
      </c>
      <c r="O1042" t="s">
        <v>3006</v>
      </c>
      <c r="P1042" t="s">
        <v>20</v>
      </c>
      <c r="Q1042">
        <f>(VALUE(LEFT(SUBSTITUTE(O1042,"T"," "),23)) - VALUE(LEFT(SUBSTITUTE(N1042,"T"," "),23))) * 86400</f>
        <v>281.01499972399324</v>
      </c>
      <c r="R1042">
        <f>I1042/G1042</f>
        <v>2.9797377830750892E-2</v>
      </c>
      <c r="S1042">
        <f>H1042/G1042</f>
        <v>0.44696066746126339</v>
      </c>
    </row>
    <row r="1043" spans="1:19" x14ac:dyDescent="0.2">
      <c r="A1043">
        <v>20</v>
      </c>
      <c r="B1043" t="s">
        <v>3413</v>
      </c>
      <c r="C1043">
        <v>2</v>
      </c>
      <c r="D1043">
        <v>10</v>
      </c>
      <c r="E1043">
        <v>1019</v>
      </c>
      <c r="F1043" t="b">
        <v>1</v>
      </c>
      <c r="G1043">
        <v>53.643999999999998</v>
      </c>
      <c r="H1043">
        <v>24</v>
      </c>
      <c r="I1043">
        <v>1</v>
      </c>
      <c r="J1043">
        <v>0.42</v>
      </c>
      <c r="K1043" t="s">
        <v>3081</v>
      </c>
      <c r="L1043">
        <v>0</v>
      </c>
      <c r="N1043" t="s">
        <v>3082</v>
      </c>
      <c r="O1043" t="s">
        <v>3083</v>
      </c>
      <c r="P1043" t="s">
        <v>20</v>
      </c>
      <c r="Q1043">
        <f>(VALUE(LEFT(SUBSTITUTE(O1043,"T"," "),23)) - VALUE(LEFT(SUBSTITUTE(N1043,"T"," "),23))) * 86400</f>
        <v>226.25699986238033</v>
      </c>
      <c r="R1043">
        <f>I1043/G1043</f>
        <v>1.8641413764819925E-2</v>
      </c>
      <c r="S1043">
        <f>H1043/G1043</f>
        <v>0.4473939303556782</v>
      </c>
    </row>
    <row r="1044" spans="1:19" x14ac:dyDescent="0.2">
      <c r="A1044">
        <v>6</v>
      </c>
      <c r="B1044" t="s">
        <v>3413</v>
      </c>
      <c r="C1044">
        <v>2</v>
      </c>
      <c r="D1044">
        <v>3</v>
      </c>
      <c r="E1044">
        <v>1002</v>
      </c>
      <c r="F1044" t="b">
        <v>1</v>
      </c>
      <c r="G1044">
        <v>52.164000000000001</v>
      </c>
      <c r="H1044">
        <v>24</v>
      </c>
      <c r="I1044">
        <v>0</v>
      </c>
      <c r="J1044">
        <v>0</v>
      </c>
      <c r="K1044" t="s">
        <v>2980</v>
      </c>
      <c r="L1044">
        <v>0</v>
      </c>
      <c r="N1044" t="s">
        <v>2981</v>
      </c>
      <c r="O1044" t="s">
        <v>2982</v>
      </c>
      <c r="P1044" t="s">
        <v>20</v>
      </c>
      <c r="Q1044">
        <f>(VALUE(LEFT(SUBSTITUTE(O1044,"T"," "),23)) - VALUE(LEFT(SUBSTITUTE(N1044,"T"," "),23))) * 86400</f>
        <v>233.53799977339804</v>
      </c>
      <c r="R1044">
        <f>I1044/G1044</f>
        <v>0</v>
      </c>
      <c r="S1044">
        <f>H1044/G1044</f>
        <v>0.46008741660915575</v>
      </c>
    </row>
    <row r="1045" spans="1:19" x14ac:dyDescent="0.2">
      <c r="A1045">
        <v>8</v>
      </c>
      <c r="B1045" t="s">
        <v>3413</v>
      </c>
      <c r="C1045">
        <v>2</v>
      </c>
      <c r="D1045">
        <v>4</v>
      </c>
      <c r="E1045">
        <v>1013</v>
      </c>
      <c r="F1045" t="b">
        <v>1</v>
      </c>
      <c r="G1045">
        <v>48.664000000000001</v>
      </c>
      <c r="H1045">
        <v>23</v>
      </c>
      <c r="I1045">
        <v>3</v>
      </c>
      <c r="J1045">
        <v>0.36</v>
      </c>
      <c r="K1045" t="s">
        <v>3045</v>
      </c>
      <c r="L1045">
        <v>0</v>
      </c>
      <c r="N1045" t="s">
        <v>3046</v>
      </c>
      <c r="O1045" t="s">
        <v>3047</v>
      </c>
      <c r="P1045" t="s">
        <v>20</v>
      </c>
      <c r="Q1045">
        <f>(VALUE(LEFT(SUBSTITUTE(O1045,"T"," "),23)) - VALUE(LEFT(SUBSTITUTE(N1045,"T"," "),23))) * 86400</f>
        <v>189.48899998795241</v>
      </c>
      <c r="R1045">
        <f>I1045/G1045</f>
        <v>6.1647213545947724E-2</v>
      </c>
      <c r="S1045">
        <f>H1045/G1045</f>
        <v>0.47262863718559922</v>
      </c>
    </row>
    <row r="1046" spans="1:19" x14ac:dyDescent="0.2">
      <c r="A1046">
        <v>8</v>
      </c>
      <c r="B1046" t="s">
        <v>3413</v>
      </c>
      <c r="C1046">
        <v>2</v>
      </c>
      <c r="D1046">
        <v>4</v>
      </c>
      <c r="E1046">
        <v>1023</v>
      </c>
      <c r="F1046" t="b">
        <v>1</v>
      </c>
      <c r="G1046">
        <v>52.707999999999998</v>
      </c>
      <c r="H1046">
        <v>25</v>
      </c>
      <c r="I1046">
        <v>1</v>
      </c>
      <c r="J1046">
        <v>0.18</v>
      </c>
      <c r="K1046" t="s">
        <v>3105</v>
      </c>
      <c r="L1046">
        <v>0</v>
      </c>
      <c r="N1046" t="s">
        <v>3106</v>
      </c>
      <c r="O1046" t="s">
        <v>3107</v>
      </c>
      <c r="P1046" t="s">
        <v>20</v>
      </c>
      <c r="Q1046">
        <f>(VALUE(LEFT(SUBSTITUTE(O1046,"T"," "),23)) - VALUE(LEFT(SUBSTITUTE(N1046,"T"," "),23))) * 86400</f>
        <v>276.69099946506321</v>
      </c>
      <c r="R1046">
        <f>I1046/G1046</f>
        <v>1.8972451999696441E-2</v>
      </c>
      <c r="S1046">
        <f>H1046/G1046</f>
        <v>0.47431129999241101</v>
      </c>
    </row>
    <row r="1047" spans="1:19" x14ac:dyDescent="0.2">
      <c r="A1047">
        <v>2</v>
      </c>
      <c r="B1047" t="s">
        <v>3413</v>
      </c>
      <c r="C1047">
        <v>2</v>
      </c>
      <c r="D1047">
        <v>1</v>
      </c>
      <c r="E1047">
        <v>1020</v>
      </c>
      <c r="F1047" t="b">
        <v>1</v>
      </c>
      <c r="G1047">
        <v>53.816000000000003</v>
      </c>
      <c r="H1047">
        <v>26</v>
      </c>
      <c r="I1047">
        <v>2</v>
      </c>
      <c r="J1047">
        <v>0.12</v>
      </c>
      <c r="K1047" t="s">
        <v>3087</v>
      </c>
      <c r="L1047">
        <v>0</v>
      </c>
      <c r="N1047" t="s">
        <v>3088</v>
      </c>
      <c r="O1047" t="s">
        <v>3089</v>
      </c>
      <c r="P1047" t="s">
        <v>20</v>
      </c>
      <c r="Q1047">
        <f>(VALUE(LEFT(SUBSTITUTE(O1047,"T"," "),23)) - VALUE(LEFT(SUBSTITUTE(N1047,"T"," "),23))) * 86400</f>
        <v>230.39400028064847</v>
      </c>
      <c r="R1047">
        <f>I1047/G1047</f>
        <v>3.7163668797383677E-2</v>
      </c>
      <c r="S1047">
        <f>H1047/G1047</f>
        <v>0.48312769436598779</v>
      </c>
    </row>
    <row r="1048" spans="1:19" x14ac:dyDescent="0.2">
      <c r="A1048">
        <v>14</v>
      </c>
      <c r="B1048" t="s">
        <v>3413</v>
      </c>
      <c r="C1048">
        <v>2</v>
      </c>
      <c r="D1048">
        <v>7</v>
      </c>
      <c r="E1048">
        <v>1026</v>
      </c>
      <c r="F1048" t="b">
        <v>1</v>
      </c>
      <c r="G1048">
        <v>62.688000000000002</v>
      </c>
      <c r="H1048">
        <v>31</v>
      </c>
      <c r="I1048">
        <v>3</v>
      </c>
      <c r="J1048">
        <v>0.96</v>
      </c>
      <c r="K1048" t="s">
        <v>3123</v>
      </c>
      <c r="L1048">
        <v>0</v>
      </c>
      <c r="N1048" t="s">
        <v>3124</v>
      </c>
      <c r="O1048" t="s">
        <v>3125</v>
      </c>
      <c r="P1048" t="s">
        <v>20</v>
      </c>
      <c r="Q1048">
        <f>(VALUE(LEFT(SUBSTITUTE(O1048,"T"," "),23)) - VALUE(LEFT(SUBSTITUTE(N1048,"T"," "),23))) * 86400</f>
        <v>221.83300014585257</v>
      </c>
      <c r="R1048">
        <f>I1048/G1048</f>
        <v>4.7856049004594177E-2</v>
      </c>
      <c r="S1048">
        <f>H1048/G1048</f>
        <v>0.49451250638080652</v>
      </c>
    </row>
    <row r="1049" spans="1:19" x14ac:dyDescent="0.2">
      <c r="A1049">
        <v>2</v>
      </c>
      <c r="B1049" t="s">
        <v>3413</v>
      </c>
      <c r="C1049">
        <v>2</v>
      </c>
      <c r="D1049">
        <v>1</v>
      </c>
      <c r="E1049">
        <v>1000</v>
      </c>
      <c r="F1049" t="b">
        <v>1</v>
      </c>
      <c r="G1049">
        <v>50.212000000000003</v>
      </c>
      <c r="H1049">
        <v>25</v>
      </c>
      <c r="I1049">
        <v>2</v>
      </c>
      <c r="J1049">
        <v>1.1399999999999999</v>
      </c>
      <c r="K1049" t="s">
        <v>2968</v>
      </c>
      <c r="L1049">
        <v>0</v>
      </c>
      <c r="N1049" t="s">
        <v>2969</v>
      </c>
      <c r="O1049" t="s">
        <v>2970</v>
      </c>
      <c r="P1049" t="s">
        <v>20</v>
      </c>
      <c r="Q1049">
        <f>(VALUE(LEFT(SUBSTITUTE(O1049,"T"," "),23)) - VALUE(LEFT(SUBSTITUTE(N1049,"T"," "),23))) * 86400</f>
        <v>220.22200003266335</v>
      </c>
      <c r="R1049">
        <f>I1049/G1049</f>
        <v>3.9831116067872221E-2</v>
      </c>
      <c r="S1049">
        <f>H1049/G1049</f>
        <v>0.49788895084840273</v>
      </c>
    </row>
    <row r="1050" spans="1:19" x14ac:dyDescent="0.2">
      <c r="A1050">
        <v>2</v>
      </c>
      <c r="B1050" t="s">
        <v>3413</v>
      </c>
      <c r="C1050">
        <v>2</v>
      </c>
      <c r="D1050">
        <v>1</v>
      </c>
      <c r="E1050">
        <v>1010</v>
      </c>
      <c r="F1050" t="b">
        <v>1</v>
      </c>
      <c r="G1050">
        <v>50.688000000000002</v>
      </c>
      <c r="H1050">
        <v>26</v>
      </c>
      <c r="I1050">
        <v>0</v>
      </c>
      <c r="J1050">
        <v>0</v>
      </c>
      <c r="K1050" t="s">
        <v>3027</v>
      </c>
      <c r="L1050">
        <v>0</v>
      </c>
      <c r="N1050" t="s">
        <v>3028</v>
      </c>
      <c r="O1050" t="s">
        <v>3029</v>
      </c>
      <c r="P1050" t="s">
        <v>20</v>
      </c>
      <c r="Q1050">
        <f>(VALUE(LEFT(SUBSTITUTE(O1050,"T"," "),23)) - VALUE(LEFT(SUBSTITUTE(N1050,"T"," "),23))) * 86400</f>
        <v>216.9999998062849</v>
      </c>
      <c r="R1050">
        <f>I1050/G1050</f>
        <v>0</v>
      </c>
      <c r="S1050">
        <f>H1050/G1050</f>
        <v>0.51294191919191912</v>
      </c>
    </row>
    <row r="1051" spans="1:19" x14ac:dyDescent="0.2">
      <c r="A1051">
        <v>20</v>
      </c>
      <c r="B1051" t="s">
        <v>3413</v>
      </c>
      <c r="C1051">
        <v>2</v>
      </c>
      <c r="D1051">
        <v>10</v>
      </c>
      <c r="E1051">
        <v>1029</v>
      </c>
      <c r="F1051" t="b">
        <v>1</v>
      </c>
      <c r="G1051">
        <v>50.223999999999997</v>
      </c>
      <c r="H1051">
        <v>26</v>
      </c>
      <c r="I1051">
        <v>2</v>
      </c>
      <c r="J1051">
        <v>0.72</v>
      </c>
      <c r="K1051" t="s">
        <v>3141</v>
      </c>
      <c r="L1051">
        <v>0</v>
      </c>
      <c r="N1051" t="s">
        <v>3142</v>
      </c>
      <c r="O1051" t="s">
        <v>3143</v>
      </c>
      <c r="P1051" t="s">
        <v>20</v>
      </c>
      <c r="Q1051">
        <f>(VALUE(LEFT(SUBSTITUTE(O1051,"T"," "),23)) - VALUE(LEFT(SUBSTITUTE(N1051,"T"," "),23))) * 86400</f>
        <v>117.8379999473691</v>
      </c>
      <c r="R1051">
        <f>I1051/G1051</f>
        <v>3.9821599235425297E-2</v>
      </c>
      <c r="S1051">
        <f>H1051/G1051</f>
        <v>0.51768079006052892</v>
      </c>
    </row>
    <row r="1052" spans="1:19" x14ac:dyDescent="0.2">
      <c r="A1052">
        <v>6</v>
      </c>
      <c r="B1052" t="s">
        <v>3413</v>
      </c>
      <c r="C1052">
        <v>2</v>
      </c>
      <c r="D1052">
        <v>3</v>
      </c>
      <c r="E1052">
        <v>1012</v>
      </c>
      <c r="F1052" t="b">
        <v>1</v>
      </c>
      <c r="G1052">
        <v>43.508000000000003</v>
      </c>
      <c r="H1052">
        <v>24</v>
      </c>
      <c r="I1052">
        <v>4</v>
      </c>
      <c r="J1052">
        <v>2.4</v>
      </c>
      <c r="K1052" t="s">
        <v>3039</v>
      </c>
      <c r="L1052">
        <v>0</v>
      </c>
      <c r="N1052" t="s">
        <v>3040</v>
      </c>
      <c r="O1052" t="s">
        <v>3041</v>
      </c>
      <c r="P1052" t="s">
        <v>20</v>
      </c>
      <c r="Q1052">
        <f>(VALUE(LEFT(SUBSTITUTE(O1052,"T"," "),23)) - VALUE(LEFT(SUBSTITUTE(N1052,"T"," "),23))) * 86400</f>
        <v>195.52900004200637</v>
      </c>
      <c r="R1052">
        <f>I1052/G1052</f>
        <v>9.1937115013330878E-2</v>
      </c>
      <c r="S1052">
        <f>H1052/G1052</f>
        <v>0.55162269007998521</v>
      </c>
    </row>
    <row r="1053" spans="1:19" x14ac:dyDescent="0.2">
      <c r="A1053">
        <v>6</v>
      </c>
      <c r="B1053" t="s">
        <v>3413</v>
      </c>
      <c r="C1053">
        <v>2</v>
      </c>
      <c r="D1053">
        <v>3</v>
      </c>
      <c r="E1053">
        <v>1022</v>
      </c>
      <c r="F1053" t="b">
        <v>1</v>
      </c>
      <c r="G1053">
        <v>39.68</v>
      </c>
      <c r="H1053">
        <v>22</v>
      </c>
      <c r="I1053">
        <v>3</v>
      </c>
      <c r="J1053">
        <v>0.24</v>
      </c>
      <c r="K1053" t="s">
        <v>3099</v>
      </c>
      <c r="L1053">
        <v>0</v>
      </c>
      <c r="N1053" t="s">
        <v>3100</v>
      </c>
      <c r="O1053" t="s">
        <v>3101</v>
      </c>
      <c r="P1053" t="s">
        <v>20</v>
      </c>
      <c r="Q1053">
        <f>(VALUE(LEFT(SUBSTITUTE(O1053,"T"," "),23)) - VALUE(LEFT(SUBSTITUTE(N1053,"T"," "),23))) * 86400</f>
        <v>178.6270002136007</v>
      </c>
      <c r="R1053">
        <f>I1053/G1053</f>
        <v>7.5604838709677422E-2</v>
      </c>
      <c r="S1053">
        <f>H1053/G1053</f>
        <v>0.55443548387096775</v>
      </c>
    </row>
    <row r="1054" spans="1:19" x14ac:dyDescent="0.2">
      <c r="A1054">
        <v>16</v>
      </c>
      <c r="B1054" t="s">
        <v>3413</v>
      </c>
      <c r="C1054">
        <v>2</v>
      </c>
      <c r="D1054">
        <v>8</v>
      </c>
      <c r="E1054">
        <v>1007</v>
      </c>
      <c r="F1054" t="b">
        <v>1</v>
      </c>
      <c r="G1054">
        <v>48.531999999999996</v>
      </c>
      <c r="H1054">
        <v>27</v>
      </c>
      <c r="I1054">
        <v>2</v>
      </c>
      <c r="J1054">
        <v>0.18</v>
      </c>
      <c r="K1054" t="s">
        <v>2721</v>
      </c>
      <c r="L1054">
        <v>0</v>
      </c>
      <c r="N1054" t="s">
        <v>3010</v>
      </c>
      <c r="O1054" t="s">
        <v>3011</v>
      </c>
      <c r="P1054" t="s">
        <v>20</v>
      </c>
      <c r="Q1054">
        <f>(VALUE(LEFT(SUBSTITUTE(O1054,"T"," "),23)) - VALUE(LEFT(SUBSTITUTE(N1054,"T"," "),23))) * 86400</f>
        <v>193.80699985194951</v>
      </c>
      <c r="R1054">
        <f>I1054/G1054</f>
        <v>4.1209923349542571E-2</v>
      </c>
      <c r="S1054">
        <f>H1054/G1054</f>
        <v>0.55633396521882472</v>
      </c>
    </row>
    <row r="1055" spans="1:19" x14ac:dyDescent="0.2">
      <c r="A1055">
        <v>14</v>
      </c>
      <c r="B1055" t="s">
        <v>3413</v>
      </c>
      <c r="C1055">
        <v>2</v>
      </c>
      <c r="D1055">
        <v>7</v>
      </c>
      <c r="E1055">
        <v>1016</v>
      </c>
      <c r="F1055" t="b">
        <v>1</v>
      </c>
      <c r="G1055">
        <v>50.58</v>
      </c>
      <c r="H1055">
        <v>29</v>
      </c>
      <c r="I1055">
        <v>3</v>
      </c>
      <c r="J1055">
        <v>1.1399999999999999</v>
      </c>
      <c r="K1055" t="s">
        <v>3063</v>
      </c>
      <c r="L1055">
        <v>0</v>
      </c>
      <c r="N1055" t="s">
        <v>3064</v>
      </c>
      <c r="O1055" t="s">
        <v>3065</v>
      </c>
      <c r="P1055" t="s">
        <v>20</v>
      </c>
      <c r="Q1055">
        <f>(VALUE(LEFT(SUBSTITUTE(O1055,"T"," "),23)) - VALUE(LEFT(SUBSTITUTE(N1055,"T"," "),23))) * 86400</f>
        <v>263.92000028863549</v>
      </c>
      <c r="R1055">
        <f>I1055/G1055</f>
        <v>5.9311981020166077E-2</v>
      </c>
      <c r="S1055">
        <f>H1055/G1055</f>
        <v>0.57334914986160535</v>
      </c>
    </row>
    <row r="1056" spans="1:19" x14ac:dyDescent="0.2">
      <c r="A1056">
        <v>16</v>
      </c>
      <c r="B1056" t="s">
        <v>3413</v>
      </c>
      <c r="C1056">
        <v>2</v>
      </c>
      <c r="D1056">
        <v>8</v>
      </c>
      <c r="E1056">
        <v>1027</v>
      </c>
      <c r="F1056" t="b">
        <v>1</v>
      </c>
      <c r="G1056">
        <v>46.707999999999998</v>
      </c>
      <c r="H1056">
        <v>28</v>
      </c>
      <c r="I1056">
        <v>1</v>
      </c>
      <c r="J1056">
        <v>0.3</v>
      </c>
      <c r="K1056" t="s">
        <v>3129</v>
      </c>
      <c r="L1056">
        <v>0</v>
      </c>
      <c r="N1056" t="s">
        <v>3130</v>
      </c>
      <c r="O1056" t="s">
        <v>3131</v>
      </c>
      <c r="P1056" t="s">
        <v>20</v>
      </c>
      <c r="Q1056">
        <f>(VALUE(LEFT(SUBSTITUTE(O1056,"T"," "),23)) - VALUE(LEFT(SUBSTITUTE(N1056,"T"," "),23))) * 86400</f>
        <v>198.72199972160161</v>
      </c>
      <c r="R1056">
        <f>I1056/G1056</f>
        <v>2.14096086323542E-2</v>
      </c>
      <c r="S1056">
        <f>H1056/G1056</f>
        <v>0.59946904170591764</v>
      </c>
    </row>
    <row r="1057" spans="1:19" x14ac:dyDescent="0.2">
      <c r="A1057">
        <v>12</v>
      </c>
      <c r="B1057" t="s">
        <v>3413</v>
      </c>
      <c r="C1057">
        <v>2</v>
      </c>
      <c r="D1057">
        <v>6</v>
      </c>
      <c r="E1057">
        <v>1005</v>
      </c>
      <c r="F1057" t="b">
        <v>1</v>
      </c>
      <c r="G1057">
        <v>48.112000000000002</v>
      </c>
      <c r="H1057">
        <v>29</v>
      </c>
      <c r="I1057">
        <v>2</v>
      </c>
      <c r="J1057">
        <v>0.72</v>
      </c>
      <c r="K1057" t="s">
        <v>2998</v>
      </c>
      <c r="L1057">
        <v>0</v>
      </c>
      <c r="N1057" t="s">
        <v>2999</v>
      </c>
      <c r="O1057" t="s">
        <v>3000</v>
      </c>
      <c r="P1057" t="s">
        <v>20</v>
      </c>
      <c r="Q1057">
        <f>(VALUE(LEFT(SUBSTITUTE(O1057,"T"," "),23)) - VALUE(LEFT(SUBSTITUTE(N1057,"T"," "),23))) * 86400</f>
        <v>257.63499992899597</v>
      </c>
      <c r="R1057">
        <f>I1057/G1057</f>
        <v>4.1569670768207514E-2</v>
      </c>
      <c r="S1057">
        <f>H1057/G1057</f>
        <v>0.60276022613900893</v>
      </c>
    </row>
    <row r="1058" spans="1:19" x14ac:dyDescent="0.2">
      <c r="A1058">
        <v>18</v>
      </c>
      <c r="B1058" t="s">
        <v>3413</v>
      </c>
      <c r="C1058">
        <v>2</v>
      </c>
      <c r="D1058">
        <v>9</v>
      </c>
      <c r="E1058">
        <v>1008</v>
      </c>
      <c r="F1058" t="b">
        <v>1</v>
      </c>
      <c r="G1058">
        <v>44.276000000000003</v>
      </c>
      <c r="H1058">
        <v>28</v>
      </c>
      <c r="I1058">
        <v>3</v>
      </c>
      <c r="J1058">
        <v>1.68</v>
      </c>
      <c r="K1058" t="s">
        <v>3015</v>
      </c>
      <c r="L1058">
        <v>0</v>
      </c>
      <c r="N1058" t="s">
        <v>3016</v>
      </c>
      <c r="O1058" t="s">
        <v>3017</v>
      </c>
      <c r="P1058" t="s">
        <v>20</v>
      </c>
      <c r="Q1058">
        <f>(VALUE(LEFT(SUBSTITUTE(O1058,"T"," "),23)) - VALUE(LEFT(SUBSTITUTE(N1058,"T"," "),23))) * 86400</f>
        <v>236.93800019100308</v>
      </c>
      <c r="R1058">
        <f>I1058/G1058</f>
        <v>6.7756798265425966E-2</v>
      </c>
      <c r="S1058">
        <f>H1058/G1058</f>
        <v>0.63239678381064224</v>
      </c>
    </row>
    <row r="1059" spans="1:19" x14ac:dyDescent="0.2">
      <c r="A1059">
        <v>10</v>
      </c>
      <c r="B1059" t="s">
        <v>3413</v>
      </c>
      <c r="C1059">
        <v>2</v>
      </c>
      <c r="D1059">
        <v>5</v>
      </c>
      <c r="E1059">
        <v>1014</v>
      </c>
      <c r="F1059" t="b">
        <v>1</v>
      </c>
      <c r="G1059">
        <v>42.392000000000003</v>
      </c>
      <c r="H1059">
        <v>27</v>
      </c>
      <c r="I1059">
        <v>4</v>
      </c>
      <c r="J1059">
        <v>0.66</v>
      </c>
      <c r="K1059" t="s">
        <v>3051</v>
      </c>
      <c r="L1059">
        <v>0</v>
      </c>
      <c r="N1059" t="s">
        <v>3052</v>
      </c>
      <c r="O1059" t="s">
        <v>3053</v>
      </c>
      <c r="P1059" t="s">
        <v>20</v>
      </c>
      <c r="Q1059">
        <f>(VALUE(LEFT(SUBSTITUTE(O1059,"T"," "),23)) - VALUE(LEFT(SUBSTITUTE(N1059,"T"," "),23))) * 86400</f>
        <v>192.13799990247935</v>
      </c>
      <c r="R1059">
        <f>I1059/G1059</f>
        <v>9.4357425929420632E-2</v>
      </c>
      <c r="S1059">
        <f>H1059/G1059</f>
        <v>0.63691262502358936</v>
      </c>
    </row>
    <row r="1060" spans="1:19" x14ac:dyDescent="0.2">
      <c r="A1060">
        <v>12</v>
      </c>
      <c r="B1060" t="s">
        <v>3413</v>
      </c>
      <c r="C1060">
        <v>2</v>
      </c>
      <c r="D1060">
        <v>6</v>
      </c>
      <c r="E1060">
        <v>1015</v>
      </c>
      <c r="F1060" t="b">
        <v>1</v>
      </c>
      <c r="G1060">
        <v>43.252000000000002</v>
      </c>
      <c r="H1060">
        <v>28</v>
      </c>
      <c r="I1060">
        <v>2</v>
      </c>
      <c r="J1060">
        <v>0.12</v>
      </c>
      <c r="K1060" t="s">
        <v>3057</v>
      </c>
      <c r="L1060">
        <v>0</v>
      </c>
      <c r="N1060" t="s">
        <v>3058</v>
      </c>
      <c r="O1060" t="s">
        <v>3059</v>
      </c>
      <c r="P1060" t="s">
        <v>20</v>
      </c>
      <c r="Q1060">
        <f>(VALUE(LEFT(SUBSTITUTE(O1060,"T"," "),23)) - VALUE(LEFT(SUBSTITUTE(N1060,"T"," "),23))) * 86400</f>
        <v>169.32900007814169</v>
      </c>
      <c r="R1060">
        <f>I1060/G1060</f>
        <v>4.6240636271155086E-2</v>
      </c>
      <c r="S1060">
        <f>H1060/G1060</f>
        <v>0.64736890779617129</v>
      </c>
    </row>
    <row r="1061" spans="1:19" x14ac:dyDescent="0.2">
      <c r="A1061">
        <v>4</v>
      </c>
      <c r="B1061" t="s">
        <v>3413</v>
      </c>
      <c r="C1061">
        <v>2</v>
      </c>
      <c r="D1061">
        <v>2</v>
      </c>
      <c r="E1061">
        <v>1021</v>
      </c>
      <c r="F1061" t="b">
        <v>1</v>
      </c>
      <c r="G1061">
        <v>49.228000000000002</v>
      </c>
      <c r="H1061">
        <v>33</v>
      </c>
      <c r="I1061">
        <v>5</v>
      </c>
      <c r="J1061">
        <v>0.72</v>
      </c>
      <c r="K1061" t="s">
        <v>3093</v>
      </c>
      <c r="L1061">
        <v>0</v>
      </c>
      <c r="N1061" t="s">
        <v>3094</v>
      </c>
      <c r="O1061" t="s">
        <v>3095</v>
      </c>
      <c r="P1061" t="s">
        <v>20</v>
      </c>
      <c r="Q1061">
        <f>(VALUE(LEFT(SUBSTITUTE(O1061,"T"," "),23)) - VALUE(LEFT(SUBSTITUTE(N1061,"T"," "),23))) * 86400</f>
        <v>268.02200039383024</v>
      </c>
      <c r="R1061">
        <f>I1061/G1061</f>
        <v>0.10156821321199318</v>
      </c>
      <c r="S1061">
        <f>H1061/G1061</f>
        <v>0.67035020719915495</v>
      </c>
    </row>
    <row r="1062" spans="1:19" x14ac:dyDescent="0.2">
      <c r="A1062">
        <v>12</v>
      </c>
      <c r="B1062" t="s">
        <v>3413</v>
      </c>
      <c r="C1062">
        <v>2</v>
      </c>
      <c r="D1062">
        <v>6</v>
      </c>
      <c r="E1062">
        <v>1025</v>
      </c>
      <c r="F1062" t="b">
        <v>1</v>
      </c>
      <c r="G1062">
        <v>39.884</v>
      </c>
      <c r="H1062">
        <v>27</v>
      </c>
      <c r="I1062">
        <v>1</v>
      </c>
      <c r="J1062">
        <v>0.24</v>
      </c>
      <c r="K1062" t="s">
        <v>3117</v>
      </c>
      <c r="L1062">
        <v>0</v>
      </c>
      <c r="N1062" t="s">
        <v>3118</v>
      </c>
      <c r="O1062" t="s">
        <v>3119</v>
      </c>
      <c r="P1062" t="s">
        <v>20</v>
      </c>
      <c r="Q1062">
        <f>(VALUE(LEFT(SUBSTITUTE(O1062,"T"," "),23)) - VALUE(LEFT(SUBSTITUTE(N1062,"T"," "),23))) * 86400</f>
        <v>157.08800016436726</v>
      </c>
      <c r="R1062">
        <f>I1062/G1062</f>
        <v>2.5072710861498346E-2</v>
      </c>
      <c r="S1062">
        <f>H1062/G1062</f>
        <v>0.67696319326045529</v>
      </c>
    </row>
    <row r="1063" spans="1:19" x14ac:dyDescent="0.2">
      <c r="A1063">
        <v>18</v>
      </c>
      <c r="B1063" t="s">
        <v>3413</v>
      </c>
      <c r="C1063">
        <v>2</v>
      </c>
      <c r="D1063">
        <v>9</v>
      </c>
      <c r="E1063">
        <v>1028</v>
      </c>
      <c r="F1063" t="b">
        <v>1</v>
      </c>
      <c r="G1063">
        <v>50.176000000000002</v>
      </c>
      <c r="H1063">
        <v>35</v>
      </c>
      <c r="I1063">
        <v>5</v>
      </c>
      <c r="J1063">
        <v>0.66</v>
      </c>
      <c r="K1063" t="s">
        <v>3135</v>
      </c>
      <c r="L1063">
        <v>0</v>
      </c>
      <c r="N1063" t="s">
        <v>3136</v>
      </c>
      <c r="O1063" t="s">
        <v>3137</v>
      </c>
      <c r="P1063" t="s">
        <v>20</v>
      </c>
      <c r="Q1063">
        <f>(VALUE(LEFT(SUBSTITUTE(O1063,"T"," "),23)) - VALUE(LEFT(SUBSTITUTE(N1063,"T"," "),23))) * 86400</f>
        <v>221.2639998877421</v>
      </c>
      <c r="R1063">
        <f>I1063/G1063</f>
        <v>9.9649234693877542E-2</v>
      </c>
      <c r="S1063">
        <f>H1063/G1063</f>
        <v>0.69754464285714279</v>
      </c>
    </row>
    <row r="1064" spans="1:19" x14ac:dyDescent="0.2">
      <c r="A1064">
        <v>4</v>
      </c>
      <c r="B1064" t="s">
        <v>3413</v>
      </c>
      <c r="C1064">
        <v>2</v>
      </c>
      <c r="D1064">
        <v>2</v>
      </c>
      <c r="E1064">
        <v>1001</v>
      </c>
      <c r="F1064" t="b">
        <v>1</v>
      </c>
      <c r="G1064">
        <v>38.667999999999999</v>
      </c>
      <c r="H1064">
        <v>27</v>
      </c>
      <c r="I1064">
        <v>0</v>
      </c>
      <c r="J1064">
        <v>0</v>
      </c>
      <c r="K1064" t="s">
        <v>2974</v>
      </c>
      <c r="L1064">
        <v>0</v>
      </c>
      <c r="N1064" t="s">
        <v>2975</v>
      </c>
      <c r="O1064" t="s">
        <v>2976</v>
      </c>
      <c r="P1064" t="s">
        <v>20</v>
      </c>
      <c r="Q1064">
        <f>(VALUE(LEFT(SUBSTITUTE(O1064,"T"," "),23)) - VALUE(LEFT(SUBSTITUTE(N1064,"T"," "),23))) * 86400</f>
        <v>134.36799980700016</v>
      </c>
      <c r="R1064">
        <f>I1064/G1064</f>
        <v>0</v>
      </c>
      <c r="S1064">
        <f>H1064/G1064</f>
        <v>0.69825178442122682</v>
      </c>
    </row>
    <row r="1065" spans="1:19" x14ac:dyDescent="0.2">
      <c r="A1065">
        <v>10</v>
      </c>
      <c r="B1065" t="s">
        <v>3413</v>
      </c>
      <c r="C1065">
        <v>2</v>
      </c>
      <c r="D1065">
        <v>5</v>
      </c>
      <c r="E1065">
        <v>1004</v>
      </c>
      <c r="F1065" t="b">
        <v>1</v>
      </c>
      <c r="G1065">
        <v>38.552</v>
      </c>
      <c r="H1065">
        <v>27</v>
      </c>
      <c r="I1065">
        <v>1</v>
      </c>
      <c r="J1065">
        <v>0.24</v>
      </c>
      <c r="K1065" t="s">
        <v>2992</v>
      </c>
      <c r="L1065">
        <v>0</v>
      </c>
      <c r="N1065" t="s">
        <v>2993</v>
      </c>
      <c r="O1065" t="s">
        <v>2994</v>
      </c>
      <c r="P1065" t="s">
        <v>20</v>
      </c>
      <c r="Q1065">
        <f>(VALUE(LEFT(SUBSTITUTE(O1065,"T"," "),23)) - VALUE(LEFT(SUBSTITUTE(N1065,"T"," "),23))) * 86400</f>
        <v>170.46200037002563</v>
      </c>
      <c r="R1065">
        <f>I1065/G1065</f>
        <v>2.5938991492010791E-2</v>
      </c>
      <c r="S1065">
        <f>H1065/G1065</f>
        <v>0.70035277028429133</v>
      </c>
    </row>
    <row r="1066" spans="1:19" x14ac:dyDescent="0.2">
      <c r="A1066">
        <v>18</v>
      </c>
      <c r="B1066" t="s">
        <v>3413</v>
      </c>
      <c r="C1066">
        <v>2</v>
      </c>
      <c r="D1066">
        <v>9</v>
      </c>
      <c r="E1066">
        <v>1018</v>
      </c>
      <c r="F1066" t="b">
        <v>1</v>
      </c>
      <c r="G1066">
        <v>43.716000000000001</v>
      </c>
      <c r="H1066">
        <v>31</v>
      </c>
      <c r="I1066">
        <v>0</v>
      </c>
      <c r="J1066">
        <v>0</v>
      </c>
      <c r="K1066" t="s">
        <v>3075</v>
      </c>
      <c r="L1066">
        <v>0</v>
      </c>
      <c r="N1066" t="s">
        <v>3076</v>
      </c>
      <c r="O1066" t="s">
        <v>3077</v>
      </c>
      <c r="P1066" t="s">
        <v>20</v>
      </c>
      <c r="Q1066">
        <f>(VALUE(LEFT(SUBSTITUTE(O1066,"T"," "),23)) - VALUE(LEFT(SUBSTITUTE(N1066,"T"," "),23))) * 86400</f>
        <v>149.80000031646341</v>
      </c>
      <c r="R1066">
        <f>I1066/G1066</f>
        <v>0</v>
      </c>
      <c r="S1066">
        <f>H1066/G1066</f>
        <v>0.70912251807118676</v>
      </c>
    </row>
    <row r="1067" spans="1:19" x14ac:dyDescent="0.2">
      <c r="A1067">
        <v>20</v>
      </c>
      <c r="B1067" t="s">
        <v>3413</v>
      </c>
      <c r="C1067">
        <v>2</v>
      </c>
      <c r="D1067">
        <v>10</v>
      </c>
      <c r="E1067">
        <v>1009</v>
      </c>
      <c r="F1067" t="b">
        <v>1</v>
      </c>
      <c r="G1067">
        <v>45.851999999999997</v>
      </c>
      <c r="H1067">
        <v>33</v>
      </c>
      <c r="I1067">
        <v>1</v>
      </c>
      <c r="J1067">
        <v>0.42</v>
      </c>
      <c r="K1067" t="s">
        <v>3021</v>
      </c>
      <c r="L1067">
        <v>0</v>
      </c>
      <c r="N1067" t="s">
        <v>3022</v>
      </c>
      <c r="O1067" t="s">
        <v>3023</v>
      </c>
      <c r="P1067" t="s">
        <v>20</v>
      </c>
      <c r="Q1067">
        <f>(VALUE(LEFT(SUBSTITUTE(O1067,"T"," "),23)) - VALUE(LEFT(SUBSTITUTE(N1067,"T"," "),23))) * 86400</f>
        <v>134.78200002573431</v>
      </c>
      <c r="R1067">
        <f>I1067/G1067</f>
        <v>2.1809299485300533E-2</v>
      </c>
      <c r="S1067">
        <f>H1067/G1067</f>
        <v>0.71970688301491759</v>
      </c>
    </row>
    <row r="1068" spans="1:19" x14ac:dyDescent="0.2">
      <c r="A1068">
        <v>10</v>
      </c>
      <c r="B1068" t="s">
        <v>3413</v>
      </c>
      <c r="C1068">
        <v>2</v>
      </c>
      <c r="D1068">
        <v>5</v>
      </c>
      <c r="E1068">
        <v>1024</v>
      </c>
      <c r="F1068" t="b">
        <v>1</v>
      </c>
      <c r="G1068">
        <v>41.027999999999999</v>
      </c>
      <c r="H1068">
        <v>30</v>
      </c>
      <c r="I1068">
        <v>1</v>
      </c>
      <c r="J1068">
        <v>1.02</v>
      </c>
      <c r="K1068" t="s">
        <v>3111</v>
      </c>
      <c r="L1068">
        <v>0</v>
      </c>
      <c r="N1068" t="s">
        <v>3112</v>
      </c>
      <c r="O1068" t="s">
        <v>3113</v>
      </c>
      <c r="P1068" t="s">
        <v>20</v>
      </c>
      <c r="Q1068">
        <f>(VALUE(LEFT(SUBSTITUTE(O1068,"T"," "),23)) - VALUE(LEFT(SUBSTITUTE(N1068,"T"," "),23))) * 86400</f>
        <v>156.05900001246482</v>
      </c>
      <c r="R1068">
        <f>I1068/G1068</f>
        <v>2.437359851808521E-2</v>
      </c>
      <c r="S1068">
        <f>H1068/G1068</f>
        <v>0.73120795554255635</v>
      </c>
    </row>
    <row r="1069" spans="1:19" x14ac:dyDescent="0.2">
      <c r="A1069">
        <v>16</v>
      </c>
      <c r="B1069" t="s">
        <v>3413</v>
      </c>
      <c r="C1069">
        <v>2</v>
      </c>
      <c r="D1069">
        <v>8</v>
      </c>
      <c r="E1069">
        <v>1017</v>
      </c>
      <c r="F1069" t="b">
        <v>1</v>
      </c>
      <c r="G1069">
        <v>37.432000000000002</v>
      </c>
      <c r="H1069">
        <v>28</v>
      </c>
      <c r="I1069">
        <v>2</v>
      </c>
      <c r="J1069">
        <v>0.84</v>
      </c>
      <c r="K1069" t="s">
        <v>3069</v>
      </c>
      <c r="L1069">
        <v>0</v>
      </c>
      <c r="N1069" t="s">
        <v>3070</v>
      </c>
      <c r="O1069" t="s">
        <v>3071</v>
      </c>
      <c r="P1069" t="s">
        <v>20</v>
      </c>
      <c r="Q1069">
        <f>(VALUE(LEFT(SUBSTITUTE(O1069,"T"," "),23)) - VALUE(LEFT(SUBSTITUTE(N1069,"T"," "),23))) * 86400</f>
        <v>191.10900037921965</v>
      </c>
      <c r="R1069">
        <f>I1069/G1069</f>
        <v>5.3430220132506943E-2</v>
      </c>
      <c r="S1069">
        <f>H1069/G1069</f>
        <v>0.74802308185509725</v>
      </c>
    </row>
    <row r="1070" spans="1:19" x14ac:dyDescent="0.2">
      <c r="A1070">
        <v>8</v>
      </c>
      <c r="B1070" t="s">
        <v>3413</v>
      </c>
      <c r="C1070">
        <v>2</v>
      </c>
      <c r="D1070">
        <v>4</v>
      </c>
      <c r="E1070">
        <v>1003</v>
      </c>
      <c r="F1070" t="b">
        <v>1</v>
      </c>
      <c r="G1070">
        <v>40.444000000000003</v>
      </c>
      <c r="H1070">
        <v>31</v>
      </c>
      <c r="I1070">
        <v>1</v>
      </c>
      <c r="J1070">
        <v>0.3</v>
      </c>
      <c r="K1070" t="s">
        <v>2986</v>
      </c>
      <c r="L1070">
        <v>0</v>
      </c>
      <c r="N1070" t="s">
        <v>2987</v>
      </c>
      <c r="O1070" t="s">
        <v>2988</v>
      </c>
      <c r="P1070" t="s">
        <v>20</v>
      </c>
      <c r="Q1070">
        <f>(VALUE(LEFT(SUBSTITUTE(O1070,"T"," "),23)) - VALUE(LEFT(SUBSTITUTE(N1070,"T"," "),23))) * 86400</f>
        <v>142.38500017672777</v>
      </c>
      <c r="R1070">
        <f>I1070/G1070</f>
        <v>2.4725546434576202E-2</v>
      </c>
      <c r="S1070">
        <f>H1070/G1070</f>
        <v>0.76649193947186223</v>
      </c>
    </row>
    <row r="1071" spans="1:19" x14ac:dyDescent="0.2">
      <c r="A1071">
        <v>4</v>
      </c>
      <c r="B1071" t="s">
        <v>3413</v>
      </c>
      <c r="C1071">
        <v>2</v>
      </c>
      <c r="D1071">
        <v>2</v>
      </c>
      <c r="E1071">
        <v>1011</v>
      </c>
      <c r="F1071" t="b">
        <v>1</v>
      </c>
      <c r="G1071">
        <v>33.235999999999997</v>
      </c>
      <c r="H1071">
        <v>27</v>
      </c>
      <c r="I1071">
        <v>1</v>
      </c>
      <c r="J1071">
        <v>0.12</v>
      </c>
      <c r="K1071" t="s">
        <v>3033</v>
      </c>
      <c r="L1071">
        <v>0</v>
      </c>
      <c r="N1071" t="s">
        <v>3034</v>
      </c>
      <c r="O1071" t="s">
        <v>3035</v>
      </c>
      <c r="P1071" t="s">
        <v>20</v>
      </c>
      <c r="Q1071">
        <f>(VALUE(LEFT(SUBSTITUTE(O1071,"T"," "),23)) - VALUE(LEFT(SUBSTITUTE(N1071,"T"," "),23))) * 86400</f>
        <v>117.15599989984185</v>
      </c>
      <c r="R1071">
        <f>I1071/G1071</f>
        <v>3.0087856541100015E-2</v>
      </c>
      <c r="S1071">
        <f>H1071/G1071</f>
        <v>0.81237212660970037</v>
      </c>
    </row>
    <row r="1072" spans="1:19" hidden="1" x14ac:dyDescent="0.2">
      <c r="A1072">
        <v>2</v>
      </c>
      <c r="B1072" t="s">
        <v>2964</v>
      </c>
      <c r="C1072">
        <v>5</v>
      </c>
      <c r="D1072">
        <v>1</v>
      </c>
      <c r="E1072">
        <v>1000</v>
      </c>
      <c r="F1072" t="b">
        <v>1</v>
      </c>
      <c r="G1072">
        <v>48.908000000000001</v>
      </c>
      <c r="H1072">
        <v>25</v>
      </c>
      <c r="I1072">
        <v>1</v>
      </c>
      <c r="J1072">
        <v>0.06</v>
      </c>
      <c r="K1072" t="s">
        <v>3147</v>
      </c>
      <c r="L1072">
        <v>0</v>
      </c>
      <c r="N1072" t="s">
        <v>3148</v>
      </c>
      <c r="O1072" t="s">
        <v>3149</v>
      </c>
      <c r="P1072" t="s">
        <v>20</v>
      </c>
      <c r="Q1072">
        <f>(VALUE(LEFT(SUBSTITUTE(O1072,"T"," "),23)) - VALUE(LEFT(SUBSTITUTE(N1072,"T"," "),23))) * 86400</f>
        <v>179.40299995243549</v>
      </c>
      <c r="R1072">
        <f>I1072/G1072</f>
        <v>2.044655271121289E-2</v>
      </c>
      <c r="S1072">
        <f>H1072/G1072</f>
        <v>0.51116381778032227</v>
      </c>
    </row>
    <row r="1073" spans="1:19" hidden="1" x14ac:dyDescent="0.2">
      <c r="A1073">
        <v>5</v>
      </c>
      <c r="B1073" t="s">
        <v>2964</v>
      </c>
      <c r="C1073">
        <v>5</v>
      </c>
      <c r="D1073">
        <v>2</v>
      </c>
      <c r="E1073">
        <v>1001</v>
      </c>
      <c r="F1073" t="b">
        <v>1</v>
      </c>
      <c r="G1073">
        <v>33.027999999999999</v>
      </c>
      <c r="H1073">
        <v>28</v>
      </c>
      <c r="I1073">
        <v>0</v>
      </c>
      <c r="J1073">
        <v>0</v>
      </c>
      <c r="K1073" t="s">
        <v>3156</v>
      </c>
      <c r="L1073">
        <v>0</v>
      </c>
      <c r="N1073" t="s">
        <v>3157</v>
      </c>
      <c r="O1073" t="s">
        <v>3158</v>
      </c>
      <c r="P1073" t="s">
        <v>20</v>
      </c>
      <c r="Q1073">
        <f>(VALUE(LEFT(SUBSTITUTE(O1073,"T"," "),23)) - VALUE(LEFT(SUBSTITUTE(N1073,"T"," "),23))) * 86400</f>
        <v>145.50200009252876</v>
      </c>
      <c r="R1073">
        <f>I1073/G1073</f>
        <v>0</v>
      </c>
      <c r="S1073">
        <f>H1073/G1073</f>
        <v>0.847765532275645</v>
      </c>
    </row>
    <row r="1074" spans="1:19" hidden="1" x14ac:dyDescent="0.2">
      <c r="A1074">
        <v>8</v>
      </c>
      <c r="B1074" t="s">
        <v>2964</v>
      </c>
      <c r="C1074">
        <v>5</v>
      </c>
      <c r="D1074">
        <v>3</v>
      </c>
      <c r="E1074">
        <v>1002</v>
      </c>
      <c r="F1074" t="b">
        <v>1</v>
      </c>
      <c r="G1074">
        <v>40.411999999999999</v>
      </c>
      <c r="H1074">
        <v>24</v>
      </c>
      <c r="I1074">
        <v>0</v>
      </c>
      <c r="J1074">
        <v>0</v>
      </c>
      <c r="K1074" t="s">
        <v>3165</v>
      </c>
      <c r="L1074">
        <v>0</v>
      </c>
      <c r="N1074" t="s">
        <v>3166</v>
      </c>
      <c r="O1074" t="s">
        <v>3167</v>
      </c>
      <c r="P1074" t="s">
        <v>20</v>
      </c>
      <c r="Q1074">
        <f>(VALUE(LEFT(SUBSTITUTE(O1074,"T"," "),23)) - VALUE(LEFT(SUBSTITUTE(N1074,"T"," "),23))) * 86400</f>
        <v>117.91499988175929</v>
      </c>
      <c r="R1074">
        <f>I1074/G1074</f>
        <v>0</v>
      </c>
      <c r="S1074">
        <f>H1074/G1074</f>
        <v>0.59388300504800551</v>
      </c>
    </row>
    <row r="1075" spans="1:19" hidden="1" x14ac:dyDescent="0.2">
      <c r="A1075">
        <v>11</v>
      </c>
      <c r="B1075" t="s">
        <v>2964</v>
      </c>
      <c r="C1075">
        <v>5</v>
      </c>
      <c r="D1075">
        <v>4</v>
      </c>
      <c r="E1075">
        <v>1003</v>
      </c>
      <c r="F1075" t="b">
        <v>1</v>
      </c>
      <c r="G1075">
        <v>39.792000000000002</v>
      </c>
      <c r="H1075">
        <v>31</v>
      </c>
      <c r="I1075">
        <v>1</v>
      </c>
      <c r="J1075">
        <v>0.3</v>
      </c>
      <c r="K1075" t="s">
        <v>3174</v>
      </c>
      <c r="L1075">
        <v>0</v>
      </c>
      <c r="N1075" t="s">
        <v>3175</v>
      </c>
      <c r="O1075" t="s">
        <v>3176</v>
      </c>
      <c r="P1075" t="s">
        <v>20</v>
      </c>
      <c r="Q1075">
        <f>(VALUE(LEFT(SUBSTITUTE(O1075,"T"," "),23)) - VALUE(LEFT(SUBSTITUTE(N1075,"T"," "),23))) * 86400</f>
        <v>217.46599946636707</v>
      </c>
      <c r="R1075">
        <f>I1075/G1075</f>
        <v>2.5130679533574587E-2</v>
      </c>
      <c r="S1075">
        <f>H1075/G1075</f>
        <v>0.77905106554081216</v>
      </c>
    </row>
    <row r="1076" spans="1:19" hidden="1" x14ac:dyDescent="0.2">
      <c r="A1076">
        <v>14</v>
      </c>
      <c r="B1076" t="s">
        <v>2964</v>
      </c>
      <c r="C1076">
        <v>5</v>
      </c>
      <c r="D1076">
        <v>5</v>
      </c>
      <c r="E1076">
        <v>1004</v>
      </c>
      <c r="F1076" t="b">
        <v>1</v>
      </c>
      <c r="G1076">
        <v>29.308</v>
      </c>
      <c r="H1076">
        <v>27</v>
      </c>
      <c r="I1076">
        <v>0</v>
      </c>
      <c r="J1076">
        <v>0</v>
      </c>
      <c r="K1076" t="s">
        <v>3183</v>
      </c>
      <c r="L1076">
        <v>0</v>
      </c>
      <c r="N1076" t="s">
        <v>3184</v>
      </c>
      <c r="O1076" t="s">
        <v>3185</v>
      </c>
      <c r="P1076" t="s">
        <v>20</v>
      </c>
      <c r="Q1076">
        <f>(VALUE(LEFT(SUBSTITUTE(O1076,"T"," "),23)) - VALUE(LEFT(SUBSTITUTE(N1076,"T"," "),23))) * 86400</f>
        <v>140.02399973105639</v>
      </c>
      <c r="R1076">
        <f>I1076/G1076</f>
        <v>0</v>
      </c>
      <c r="S1076">
        <f>H1076/G1076</f>
        <v>0.92125017060188341</v>
      </c>
    </row>
    <row r="1077" spans="1:19" hidden="1" x14ac:dyDescent="0.2">
      <c r="A1077">
        <v>17</v>
      </c>
      <c r="B1077" t="s">
        <v>2964</v>
      </c>
      <c r="C1077">
        <v>5</v>
      </c>
      <c r="D1077">
        <v>6</v>
      </c>
      <c r="E1077">
        <v>1005</v>
      </c>
      <c r="F1077" t="b">
        <v>1</v>
      </c>
      <c r="G1077">
        <v>49.344000000000001</v>
      </c>
      <c r="H1077">
        <v>31</v>
      </c>
      <c r="I1077">
        <v>4</v>
      </c>
      <c r="J1077">
        <v>0.9</v>
      </c>
      <c r="K1077" t="s">
        <v>3192</v>
      </c>
      <c r="L1077">
        <v>0</v>
      </c>
      <c r="N1077" t="s">
        <v>3193</v>
      </c>
      <c r="O1077" t="s">
        <v>3194</v>
      </c>
      <c r="P1077" t="s">
        <v>20</v>
      </c>
      <c r="Q1077">
        <f>(VALUE(LEFT(SUBSTITUTE(O1077,"T"," "),23)) - VALUE(LEFT(SUBSTITUTE(N1077,"T"," "),23))) * 86400</f>
        <v>128.7020000629127</v>
      </c>
      <c r="R1077">
        <f>I1077/G1077</f>
        <v>8.1063553826199744E-2</v>
      </c>
      <c r="S1077">
        <f>H1077/G1077</f>
        <v>0.62824254215304798</v>
      </c>
    </row>
    <row r="1078" spans="1:19" hidden="1" x14ac:dyDescent="0.2">
      <c r="A1078">
        <v>20</v>
      </c>
      <c r="B1078" t="s">
        <v>2964</v>
      </c>
      <c r="C1078">
        <v>5</v>
      </c>
      <c r="D1078">
        <v>7</v>
      </c>
      <c r="E1078">
        <v>1006</v>
      </c>
      <c r="F1078" t="b">
        <v>1</v>
      </c>
      <c r="G1078">
        <v>50.143999999999998</v>
      </c>
      <c r="H1078">
        <v>28</v>
      </c>
      <c r="I1078">
        <v>2</v>
      </c>
      <c r="J1078">
        <v>1.74</v>
      </c>
      <c r="K1078" t="s">
        <v>3201</v>
      </c>
      <c r="L1078">
        <v>0</v>
      </c>
      <c r="N1078" t="s">
        <v>3202</v>
      </c>
      <c r="O1078" t="s">
        <v>3203</v>
      </c>
      <c r="P1078" t="s">
        <v>20</v>
      </c>
      <c r="Q1078">
        <f>(VALUE(LEFT(SUBSTITUTE(O1078,"T"," "),23)) - VALUE(LEFT(SUBSTITUTE(N1078,"T"," "),23))) * 86400</f>
        <v>227.87200002931058</v>
      </c>
      <c r="R1078">
        <f>I1078/G1078</f>
        <v>3.9885130823229101E-2</v>
      </c>
      <c r="S1078">
        <f>H1078/G1078</f>
        <v>0.55839183152520744</v>
      </c>
    </row>
    <row r="1079" spans="1:19" hidden="1" x14ac:dyDescent="0.2">
      <c r="A1079">
        <v>23</v>
      </c>
      <c r="B1079" t="s">
        <v>2964</v>
      </c>
      <c r="C1079">
        <v>5</v>
      </c>
      <c r="D1079">
        <v>8</v>
      </c>
      <c r="E1079">
        <v>1007</v>
      </c>
      <c r="F1079" t="b">
        <v>1</v>
      </c>
      <c r="G1079">
        <v>37.32</v>
      </c>
      <c r="H1079">
        <v>28</v>
      </c>
      <c r="I1079">
        <v>1</v>
      </c>
      <c r="J1079">
        <v>0.06</v>
      </c>
      <c r="K1079" t="s">
        <v>3210</v>
      </c>
      <c r="L1079">
        <v>0</v>
      </c>
      <c r="N1079" t="s">
        <v>3211</v>
      </c>
      <c r="O1079" t="s">
        <v>3212</v>
      </c>
      <c r="P1079" t="s">
        <v>20</v>
      </c>
      <c r="Q1079">
        <f>(VALUE(LEFT(SUBSTITUTE(O1079,"T"," "),23)) - VALUE(LEFT(SUBSTITUTE(N1079,"T"," "),23))) * 86400</f>
        <v>205.07700007874519</v>
      </c>
      <c r="R1079">
        <f>I1079/G1079</f>
        <v>2.6795284030010719E-2</v>
      </c>
      <c r="S1079">
        <f>H1079/G1079</f>
        <v>0.75026795284030012</v>
      </c>
    </row>
    <row r="1080" spans="1:19" hidden="1" x14ac:dyDescent="0.2">
      <c r="A1080">
        <v>26</v>
      </c>
      <c r="B1080" t="s">
        <v>2964</v>
      </c>
      <c r="C1080">
        <v>5</v>
      </c>
      <c r="D1080">
        <v>9</v>
      </c>
      <c r="E1080">
        <v>1008</v>
      </c>
      <c r="F1080" t="b">
        <v>1</v>
      </c>
      <c r="G1080">
        <v>41.28</v>
      </c>
      <c r="H1080">
        <v>29</v>
      </c>
      <c r="I1080">
        <v>1</v>
      </c>
      <c r="J1080">
        <v>0.36</v>
      </c>
      <c r="K1080" t="s">
        <v>3219</v>
      </c>
      <c r="L1080">
        <v>0</v>
      </c>
      <c r="N1080" t="s">
        <v>3220</v>
      </c>
      <c r="O1080" t="s">
        <v>3221</v>
      </c>
      <c r="P1080" t="s">
        <v>20</v>
      </c>
      <c r="Q1080">
        <f>(VALUE(LEFT(SUBSTITUTE(O1080,"T"," "),23)) - VALUE(LEFT(SUBSTITUTE(N1080,"T"," "),23))) * 86400</f>
        <v>159.81099950149655</v>
      </c>
      <c r="R1080">
        <f>I1080/G1080</f>
        <v>2.4224806201550386E-2</v>
      </c>
      <c r="S1080">
        <f>H1080/G1080</f>
        <v>0.70251937984496127</v>
      </c>
    </row>
    <row r="1081" spans="1:19" hidden="1" x14ac:dyDescent="0.2">
      <c r="A1081">
        <v>29</v>
      </c>
      <c r="B1081" t="s">
        <v>2964</v>
      </c>
      <c r="C1081">
        <v>5</v>
      </c>
      <c r="D1081">
        <v>10</v>
      </c>
      <c r="E1081">
        <v>1009</v>
      </c>
      <c r="F1081" t="b">
        <v>1</v>
      </c>
      <c r="G1081">
        <v>48.235999999999997</v>
      </c>
      <c r="H1081">
        <v>32</v>
      </c>
      <c r="I1081">
        <v>1</v>
      </c>
      <c r="J1081">
        <v>0.96</v>
      </c>
      <c r="K1081" t="s">
        <v>3228</v>
      </c>
      <c r="L1081">
        <v>0</v>
      </c>
      <c r="N1081" t="s">
        <v>3229</v>
      </c>
      <c r="O1081" t="s">
        <v>3230</v>
      </c>
      <c r="P1081" t="s">
        <v>20</v>
      </c>
      <c r="Q1081">
        <f>(VALUE(LEFT(SUBSTITUTE(O1081,"T"," "),23)) - VALUE(LEFT(SUBSTITUTE(N1081,"T"," "),23))) * 86400</f>
        <v>251.23299972619861</v>
      </c>
      <c r="R1081">
        <f>I1081/G1081</f>
        <v>2.0731403930674186E-2</v>
      </c>
      <c r="S1081">
        <f>H1081/G1081</f>
        <v>0.66340492578157395</v>
      </c>
    </row>
    <row r="1082" spans="1:19" hidden="1" x14ac:dyDescent="0.2">
      <c r="A1082">
        <v>2</v>
      </c>
      <c r="B1082" t="s">
        <v>2964</v>
      </c>
      <c r="C1082">
        <v>5</v>
      </c>
      <c r="D1082">
        <v>1</v>
      </c>
      <c r="E1082">
        <v>1010</v>
      </c>
      <c r="F1082" t="b">
        <v>1</v>
      </c>
      <c r="G1082">
        <v>38.984000000000002</v>
      </c>
      <c r="H1082">
        <v>27</v>
      </c>
      <c r="I1082">
        <v>1</v>
      </c>
      <c r="J1082">
        <v>0.06</v>
      </c>
      <c r="K1082" t="s">
        <v>3237</v>
      </c>
      <c r="L1082">
        <v>0</v>
      </c>
      <c r="N1082" t="s">
        <v>3238</v>
      </c>
      <c r="O1082" t="s">
        <v>3239</v>
      </c>
      <c r="P1082" t="s">
        <v>20</v>
      </c>
      <c r="Q1082">
        <f>(VALUE(LEFT(SUBSTITUTE(O1082,"T"," "),23)) - VALUE(LEFT(SUBSTITUTE(N1082,"T"," "),23))) * 86400</f>
        <v>157.11999996565282</v>
      </c>
      <c r="R1082">
        <f>I1082/G1082</f>
        <v>2.5651549353580955E-2</v>
      </c>
      <c r="S1082">
        <f>H1082/G1082</f>
        <v>0.69259183254668577</v>
      </c>
    </row>
    <row r="1083" spans="1:19" hidden="1" x14ac:dyDescent="0.2">
      <c r="A1083">
        <v>5</v>
      </c>
      <c r="B1083" t="s">
        <v>2964</v>
      </c>
      <c r="C1083">
        <v>5</v>
      </c>
      <c r="D1083">
        <v>2</v>
      </c>
      <c r="E1083">
        <v>1011</v>
      </c>
      <c r="F1083" t="b">
        <v>1</v>
      </c>
      <c r="G1083">
        <v>37.76</v>
      </c>
      <c r="H1083">
        <v>28</v>
      </c>
      <c r="I1083">
        <v>1</v>
      </c>
      <c r="J1083">
        <v>0.66</v>
      </c>
      <c r="K1083" t="s">
        <v>3246</v>
      </c>
      <c r="L1083">
        <v>0</v>
      </c>
      <c r="N1083" t="s">
        <v>3247</v>
      </c>
      <c r="O1083" t="s">
        <v>3248</v>
      </c>
      <c r="P1083" t="s">
        <v>20</v>
      </c>
      <c r="Q1083">
        <f>(VALUE(LEFT(SUBSTITUTE(O1083,"T"," "),23)) - VALUE(LEFT(SUBSTITUTE(N1083,"T"," "),23))) * 86400</f>
        <v>162.19299975782633</v>
      </c>
      <c r="R1083">
        <f>I1083/G1083</f>
        <v>2.6483050847457629E-2</v>
      </c>
      <c r="S1083">
        <f>H1083/G1083</f>
        <v>0.74152542372881358</v>
      </c>
    </row>
    <row r="1084" spans="1:19" hidden="1" x14ac:dyDescent="0.2">
      <c r="A1084">
        <v>8</v>
      </c>
      <c r="B1084" t="s">
        <v>2964</v>
      </c>
      <c r="C1084">
        <v>5</v>
      </c>
      <c r="D1084">
        <v>3</v>
      </c>
      <c r="E1084">
        <v>1012</v>
      </c>
      <c r="F1084" t="b">
        <v>1</v>
      </c>
      <c r="G1084">
        <v>58.531999999999996</v>
      </c>
      <c r="H1084">
        <v>30</v>
      </c>
      <c r="I1084">
        <v>0</v>
      </c>
      <c r="J1084">
        <v>0</v>
      </c>
      <c r="K1084" t="s">
        <v>3255</v>
      </c>
      <c r="L1084">
        <v>0</v>
      </c>
      <c r="N1084" t="s">
        <v>3256</v>
      </c>
      <c r="O1084" t="s">
        <v>3257</v>
      </c>
      <c r="P1084" t="s">
        <v>20</v>
      </c>
      <c r="Q1084">
        <f>(VALUE(LEFT(SUBSTITUTE(O1084,"T"," "),23)) - VALUE(LEFT(SUBSTITUTE(N1084,"T"," "),23))) * 86400</f>
        <v>252.58099960628897</v>
      </c>
      <c r="R1084">
        <f>I1084/G1084</f>
        <v>0</v>
      </c>
      <c r="S1084">
        <f>H1084/G1084</f>
        <v>0.51254014897833666</v>
      </c>
    </row>
    <row r="1085" spans="1:19" hidden="1" x14ac:dyDescent="0.2">
      <c r="A1085">
        <v>11</v>
      </c>
      <c r="B1085" t="s">
        <v>2964</v>
      </c>
      <c r="C1085">
        <v>5</v>
      </c>
      <c r="D1085">
        <v>4</v>
      </c>
      <c r="E1085">
        <v>1013</v>
      </c>
      <c r="F1085" t="b">
        <v>1</v>
      </c>
      <c r="G1085">
        <v>37.956000000000003</v>
      </c>
      <c r="H1085">
        <v>25</v>
      </c>
      <c r="I1085">
        <v>0</v>
      </c>
      <c r="J1085">
        <v>0</v>
      </c>
      <c r="K1085" t="s">
        <v>3264</v>
      </c>
      <c r="L1085">
        <v>0</v>
      </c>
      <c r="N1085" t="s">
        <v>3265</v>
      </c>
      <c r="O1085" t="s">
        <v>3266</v>
      </c>
      <c r="P1085" t="s">
        <v>20</v>
      </c>
      <c r="Q1085">
        <f>(VALUE(LEFT(SUBSTITUTE(O1085,"T"," "),23)) - VALUE(LEFT(SUBSTITUTE(N1085,"T"," "),23))) * 86400</f>
        <v>130.48099991865456</v>
      </c>
      <c r="R1085">
        <f>I1085/G1085</f>
        <v>0</v>
      </c>
      <c r="S1085">
        <f>H1085/G1085</f>
        <v>0.65865739277057644</v>
      </c>
    </row>
    <row r="1086" spans="1:19" hidden="1" x14ac:dyDescent="0.2">
      <c r="A1086">
        <v>14</v>
      </c>
      <c r="B1086" t="s">
        <v>2964</v>
      </c>
      <c r="C1086">
        <v>5</v>
      </c>
      <c r="D1086">
        <v>5</v>
      </c>
      <c r="E1086">
        <v>1014</v>
      </c>
      <c r="F1086" t="b">
        <v>1</v>
      </c>
      <c r="G1086">
        <v>47.515999999999998</v>
      </c>
      <c r="H1086">
        <v>25</v>
      </c>
      <c r="I1086">
        <v>3</v>
      </c>
      <c r="J1086">
        <v>0.48</v>
      </c>
      <c r="K1086" t="s">
        <v>3273</v>
      </c>
      <c r="L1086">
        <v>0</v>
      </c>
      <c r="N1086" t="s">
        <v>3274</v>
      </c>
      <c r="O1086" t="s">
        <v>3275</v>
      </c>
      <c r="P1086" t="s">
        <v>20</v>
      </c>
      <c r="Q1086">
        <f>(VALUE(LEFT(SUBSTITUTE(O1086,"T"," "),23)) - VALUE(LEFT(SUBSTITUTE(N1086,"T"," "),23))) * 86400</f>
        <v>187.93200028594583</v>
      </c>
      <c r="R1086">
        <f>I1086/G1086</f>
        <v>6.3136627662261136E-2</v>
      </c>
      <c r="S1086">
        <f>H1086/G1086</f>
        <v>0.52613856385217617</v>
      </c>
    </row>
    <row r="1087" spans="1:19" hidden="1" x14ac:dyDescent="0.2">
      <c r="A1087">
        <v>17</v>
      </c>
      <c r="B1087" t="s">
        <v>2964</v>
      </c>
      <c r="C1087">
        <v>5</v>
      </c>
      <c r="D1087">
        <v>6</v>
      </c>
      <c r="E1087">
        <v>1015</v>
      </c>
      <c r="F1087" t="b">
        <v>1</v>
      </c>
      <c r="G1087">
        <v>35.688000000000002</v>
      </c>
      <c r="H1087">
        <v>29</v>
      </c>
      <c r="I1087">
        <v>1</v>
      </c>
      <c r="J1087">
        <v>0.12</v>
      </c>
      <c r="K1087" t="s">
        <v>3282</v>
      </c>
      <c r="L1087">
        <v>0</v>
      </c>
      <c r="N1087" t="s">
        <v>3283</v>
      </c>
      <c r="O1087" t="s">
        <v>3284</v>
      </c>
      <c r="P1087" t="s">
        <v>20</v>
      </c>
      <c r="Q1087">
        <f>(VALUE(LEFT(SUBSTITUTE(O1087,"T"," "),23)) - VALUE(LEFT(SUBSTITUTE(N1087,"T"," "),23))) * 86400</f>
        <v>185.55899967905134</v>
      </c>
      <c r="R1087">
        <f>I1087/G1087</f>
        <v>2.8020623178659491E-2</v>
      </c>
      <c r="S1087">
        <f>H1087/G1087</f>
        <v>0.81259807218112523</v>
      </c>
    </row>
    <row r="1088" spans="1:19" hidden="1" x14ac:dyDescent="0.2">
      <c r="A1088">
        <v>20</v>
      </c>
      <c r="B1088" t="s">
        <v>2964</v>
      </c>
      <c r="C1088">
        <v>5</v>
      </c>
      <c r="D1088">
        <v>7</v>
      </c>
      <c r="E1088">
        <v>1016</v>
      </c>
      <c r="F1088" t="b">
        <v>1</v>
      </c>
      <c r="G1088">
        <v>44.86</v>
      </c>
      <c r="H1088">
        <v>29</v>
      </c>
      <c r="I1088">
        <v>1</v>
      </c>
      <c r="J1088">
        <v>0.12</v>
      </c>
      <c r="K1088" t="s">
        <v>3291</v>
      </c>
      <c r="L1088">
        <v>0</v>
      </c>
      <c r="N1088" t="s">
        <v>3292</v>
      </c>
      <c r="O1088" t="s">
        <v>3293</v>
      </c>
      <c r="P1088" t="s">
        <v>20</v>
      </c>
      <c r="Q1088">
        <f>(VALUE(LEFT(SUBSTITUTE(O1088,"T"," "),23)) - VALUE(LEFT(SUBSTITUTE(N1088,"T"," "),23))) * 86400</f>
        <v>145.77100009191781</v>
      </c>
      <c r="R1088">
        <f>I1088/G1088</f>
        <v>2.229157378510923E-2</v>
      </c>
      <c r="S1088">
        <f>H1088/G1088</f>
        <v>0.64645563976816767</v>
      </c>
    </row>
    <row r="1089" spans="1:19" hidden="1" x14ac:dyDescent="0.2">
      <c r="A1089">
        <v>23</v>
      </c>
      <c r="B1089" t="s">
        <v>2964</v>
      </c>
      <c r="C1089">
        <v>5</v>
      </c>
      <c r="D1089">
        <v>8</v>
      </c>
      <c r="E1089">
        <v>1017</v>
      </c>
      <c r="F1089" t="b">
        <v>1</v>
      </c>
      <c r="G1089">
        <v>39.456000000000003</v>
      </c>
      <c r="H1089">
        <v>27</v>
      </c>
      <c r="I1089">
        <v>1</v>
      </c>
      <c r="J1089">
        <v>0.12</v>
      </c>
      <c r="K1089" t="s">
        <v>3300</v>
      </c>
      <c r="L1089">
        <v>0</v>
      </c>
      <c r="N1089" t="s">
        <v>3301</v>
      </c>
      <c r="O1089" t="s">
        <v>3302</v>
      </c>
      <c r="P1089" t="s">
        <v>20</v>
      </c>
      <c r="Q1089">
        <f>(VALUE(LEFT(SUBSTITUTE(O1089,"T"," "),23)) - VALUE(LEFT(SUBSTITUTE(N1089,"T"," "),23))) * 86400</f>
        <v>171.45799992140383</v>
      </c>
      <c r="R1089">
        <f>I1089/G1089</f>
        <v>2.5344687753446875E-2</v>
      </c>
      <c r="S1089">
        <f>H1089/G1089</f>
        <v>0.68430656934306566</v>
      </c>
    </row>
    <row r="1090" spans="1:19" hidden="1" x14ac:dyDescent="0.2">
      <c r="A1090">
        <v>26</v>
      </c>
      <c r="B1090" t="s">
        <v>2964</v>
      </c>
      <c r="C1090">
        <v>5</v>
      </c>
      <c r="D1090">
        <v>9</v>
      </c>
      <c r="E1090">
        <v>1018</v>
      </c>
      <c r="F1090" t="b">
        <v>1</v>
      </c>
      <c r="G1090">
        <v>59.136000000000003</v>
      </c>
      <c r="H1090">
        <v>34</v>
      </c>
      <c r="I1090">
        <v>1</v>
      </c>
      <c r="J1090">
        <v>0.12</v>
      </c>
      <c r="K1090" t="s">
        <v>3309</v>
      </c>
      <c r="L1090">
        <v>0</v>
      </c>
      <c r="N1090" t="s">
        <v>3310</v>
      </c>
      <c r="O1090" t="s">
        <v>3311</v>
      </c>
      <c r="P1090" t="s">
        <v>20</v>
      </c>
      <c r="Q1090">
        <f>(VALUE(LEFT(SUBSTITUTE(O1090,"T"," "),23)) - VALUE(LEFT(SUBSTITUTE(N1090,"T"," "),23))) * 86400</f>
        <v>255.78899995889515</v>
      </c>
      <c r="R1090">
        <f>I1090/G1090</f>
        <v>1.691017316017316E-2</v>
      </c>
      <c r="S1090">
        <f>H1090/G1090</f>
        <v>0.57494588744588737</v>
      </c>
    </row>
    <row r="1091" spans="1:19" hidden="1" x14ac:dyDescent="0.2">
      <c r="A1091">
        <v>29</v>
      </c>
      <c r="B1091" t="s">
        <v>2964</v>
      </c>
      <c r="C1091">
        <v>5</v>
      </c>
      <c r="D1091">
        <v>10</v>
      </c>
      <c r="E1091">
        <v>1019</v>
      </c>
      <c r="F1091" t="b">
        <v>1</v>
      </c>
      <c r="G1091">
        <v>44.591999999999999</v>
      </c>
      <c r="H1091">
        <v>29</v>
      </c>
      <c r="I1091">
        <v>3</v>
      </c>
      <c r="J1091">
        <v>0.48</v>
      </c>
      <c r="K1091" t="s">
        <v>3318</v>
      </c>
      <c r="L1091">
        <v>0</v>
      </c>
      <c r="N1091" t="s">
        <v>3319</v>
      </c>
      <c r="O1091" t="s">
        <v>3320</v>
      </c>
      <c r="P1091" t="s">
        <v>20</v>
      </c>
      <c r="Q1091">
        <f>(VALUE(LEFT(SUBSTITUTE(O1091,"T"," "),23)) - VALUE(LEFT(SUBSTITUTE(N1091,"T"," "),23))) * 86400</f>
        <v>178.37600014172494</v>
      </c>
      <c r="R1091">
        <f>I1091/G1091</f>
        <v>6.727664155005382E-2</v>
      </c>
      <c r="S1091">
        <f>H1091/G1091</f>
        <v>0.65034086831718696</v>
      </c>
    </row>
    <row r="1092" spans="1:19" hidden="1" x14ac:dyDescent="0.2">
      <c r="A1092">
        <v>2</v>
      </c>
      <c r="B1092" t="s">
        <v>2964</v>
      </c>
      <c r="C1092">
        <v>5</v>
      </c>
      <c r="D1092">
        <v>1</v>
      </c>
      <c r="E1092">
        <v>1020</v>
      </c>
      <c r="F1092" t="b">
        <v>1</v>
      </c>
      <c r="G1092">
        <v>43.795999999999999</v>
      </c>
      <c r="H1092">
        <v>25</v>
      </c>
      <c r="I1092">
        <v>3</v>
      </c>
      <c r="J1092">
        <v>1.1399999999999999</v>
      </c>
      <c r="K1092" t="s">
        <v>3327</v>
      </c>
      <c r="L1092">
        <v>0</v>
      </c>
      <c r="N1092" t="s">
        <v>3328</v>
      </c>
      <c r="O1092" t="s">
        <v>3329</v>
      </c>
      <c r="P1092" t="s">
        <v>20</v>
      </c>
      <c r="Q1092">
        <f>(VALUE(LEFT(SUBSTITUTE(O1092,"T"," "),23)) - VALUE(LEFT(SUBSTITUTE(N1092,"T"," "),23))) * 86400</f>
        <v>213.15399999730289</v>
      </c>
      <c r="R1092">
        <f>I1092/G1092</f>
        <v>6.8499406338478397E-2</v>
      </c>
      <c r="S1092">
        <f>H1092/G1092</f>
        <v>0.57082838615398668</v>
      </c>
    </row>
    <row r="1093" spans="1:19" hidden="1" x14ac:dyDescent="0.2">
      <c r="A1093">
        <v>5</v>
      </c>
      <c r="B1093" t="s">
        <v>2964</v>
      </c>
      <c r="C1093">
        <v>5</v>
      </c>
      <c r="D1093">
        <v>2</v>
      </c>
      <c r="E1093">
        <v>1021</v>
      </c>
      <c r="F1093" t="b">
        <v>1</v>
      </c>
      <c r="G1093">
        <v>57.915999999999997</v>
      </c>
      <c r="H1093">
        <v>32</v>
      </c>
      <c r="I1093">
        <v>3</v>
      </c>
      <c r="J1093">
        <v>0.48</v>
      </c>
      <c r="K1093" t="s">
        <v>3336</v>
      </c>
      <c r="L1093">
        <v>0</v>
      </c>
      <c r="N1093" t="s">
        <v>3337</v>
      </c>
      <c r="O1093" t="s">
        <v>3338</v>
      </c>
      <c r="P1093" t="s">
        <v>20</v>
      </c>
      <c r="Q1093">
        <f>(VALUE(LEFT(SUBSTITUTE(O1093,"T"," "),23)) - VALUE(LEFT(SUBSTITUTE(N1093,"T"," "),23))) * 86400</f>
        <v>234.02899992652237</v>
      </c>
      <c r="R1093">
        <f>I1093/G1093</f>
        <v>5.1799157400372955E-2</v>
      </c>
      <c r="S1093">
        <f>H1093/G1093</f>
        <v>0.55252434560397823</v>
      </c>
    </row>
    <row r="1094" spans="1:19" hidden="1" x14ac:dyDescent="0.2">
      <c r="A1094">
        <v>8</v>
      </c>
      <c r="B1094" t="s">
        <v>2964</v>
      </c>
      <c r="C1094">
        <v>5</v>
      </c>
      <c r="D1094">
        <v>3</v>
      </c>
      <c r="E1094">
        <v>1022</v>
      </c>
      <c r="F1094" t="b">
        <v>1</v>
      </c>
      <c r="G1094">
        <v>49.472000000000001</v>
      </c>
      <c r="H1094">
        <v>21</v>
      </c>
      <c r="I1094">
        <v>1</v>
      </c>
      <c r="J1094">
        <v>1.26</v>
      </c>
      <c r="K1094" t="s">
        <v>3345</v>
      </c>
      <c r="L1094">
        <v>0</v>
      </c>
      <c r="N1094" t="s">
        <v>3346</v>
      </c>
      <c r="O1094" t="s">
        <v>3347</v>
      </c>
      <c r="P1094" t="s">
        <v>20</v>
      </c>
      <c r="Q1094">
        <f>(VALUE(LEFT(SUBSTITUTE(O1094,"T"," "),23)) - VALUE(LEFT(SUBSTITUTE(N1094,"T"," "),23))) * 86400</f>
        <v>221.56000009272248</v>
      </c>
      <c r="R1094">
        <f>I1094/G1094</f>
        <v>2.021345407503234E-2</v>
      </c>
      <c r="S1094">
        <f>H1094/G1094</f>
        <v>0.42448253557567917</v>
      </c>
    </row>
    <row r="1095" spans="1:19" hidden="1" x14ac:dyDescent="0.2">
      <c r="A1095">
        <v>11</v>
      </c>
      <c r="B1095" t="s">
        <v>2964</v>
      </c>
      <c r="C1095">
        <v>5</v>
      </c>
      <c r="D1095">
        <v>4</v>
      </c>
      <c r="E1095">
        <v>1023</v>
      </c>
      <c r="F1095" t="b">
        <v>1</v>
      </c>
      <c r="G1095">
        <v>52.795999999999999</v>
      </c>
      <c r="H1095">
        <v>25</v>
      </c>
      <c r="I1095">
        <v>2</v>
      </c>
      <c r="J1095">
        <v>0.48</v>
      </c>
      <c r="K1095" t="s">
        <v>3354</v>
      </c>
      <c r="L1095">
        <v>0</v>
      </c>
      <c r="N1095" t="s">
        <v>3355</v>
      </c>
      <c r="O1095" t="s">
        <v>3356</v>
      </c>
      <c r="P1095" t="s">
        <v>20</v>
      </c>
      <c r="Q1095">
        <f>(VALUE(LEFT(SUBSTITUTE(O1095,"T"," "),23)) - VALUE(LEFT(SUBSTITUTE(N1095,"T"," "),23))) * 86400</f>
        <v>154.97200002428144</v>
      </c>
      <c r="R1095">
        <f>I1095/G1095</f>
        <v>3.7881657701341012E-2</v>
      </c>
      <c r="S1095">
        <f>H1095/G1095</f>
        <v>0.47352072126676265</v>
      </c>
    </row>
    <row r="1096" spans="1:19" hidden="1" x14ac:dyDescent="0.2">
      <c r="A1096">
        <v>14</v>
      </c>
      <c r="B1096" t="s">
        <v>2964</v>
      </c>
      <c r="C1096">
        <v>5</v>
      </c>
      <c r="D1096">
        <v>5</v>
      </c>
      <c r="E1096">
        <v>1024</v>
      </c>
      <c r="F1096" t="b">
        <v>1</v>
      </c>
      <c r="G1096">
        <v>52.78</v>
      </c>
      <c r="H1096">
        <v>30</v>
      </c>
      <c r="I1096">
        <v>3</v>
      </c>
      <c r="J1096">
        <v>2.1</v>
      </c>
      <c r="K1096" t="s">
        <v>3198</v>
      </c>
      <c r="L1096">
        <v>0</v>
      </c>
      <c r="N1096" t="s">
        <v>3363</v>
      </c>
      <c r="O1096" t="s">
        <v>3364</v>
      </c>
      <c r="P1096" t="s">
        <v>20</v>
      </c>
      <c r="Q1096">
        <f>(VALUE(LEFT(SUBSTITUTE(O1096,"T"," "),23)) - VALUE(LEFT(SUBSTITUTE(N1096,"T"," "),23))) * 86400</f>
        <v>252.95700025744736</v>
      </c>
      <c r="R1096">
        <f>I1096/G1096</f>
        <v>5.6839712012125801E-2</v>
      </c>
      <c r="S1096">
        <f>H1096/G1096</f>
        <v>0.56839712012125809</v>
      </c>
    </row>
    <row r="1097" spans="1:19" hidden="1" x14ac:dyDescent="0.2">
      <c r="A1097">
        <v>17</v>
      </c>
      <c r="B1097" t="s">
        <v>2964</v>
      </c>
      <c r="C1097">
        <v>5</v>
      </c>
      <c r="D1097">
        <v>6</v>
      </c>
      <c r="E1097">
        <v>1025</v>
      </c>
      <c r="F1097" t="b">
        <v>1</v>
      </c>
      <c r="G1097">
        <v>43.064</v>
      </c>
      <c r="H1097">
        <v>24</v>
      </c>
      <c r="I1097">
        <v>0</v>
      </c>
      <c r="J1097">
        <v>0</v>
      </c>
      <c r="K1097" t="s">
        <v>3371</v>
      </c>
      <c r="L1097">
        <v>0</v>
      </c>
      <c r="N1097" t="s">
        <v>3372</v>
      </c>
      <c r="O1097" t="s">
        <v>3373</v>
      </c>
      <c r="P1097" t="s">
        <v>20</v>
      </c>
      <c r="Q1097">
        <f>(VALUE(LEFT(SUBSTITUTE(O1097,"T"," "),23)) - VALUE(LEFT(SUBSTITUTE(N1097,"T"," "),23))) * 86400</f>
        <v>156.73000006936491</v>
      </c>
      <c r="R1097">
        <f>I1097/G1097</f>
        <v>0</v>
      </c>
      <c r="S1097">
        <f>H1097/G1097</f>
        <v>0.55731005015790447</v>
      </c>
    </row>
    <row r="1098" spans="1:19" hidden="1" x14ac:dyDescent="0.2">
      <c r="A1098">
        <v>20</v>
      </c>
      <c r="B1098" t="s">
        <v>2964</v>
      </c>
      <c r="C1098">
        <v>5</v>
      </c>
      <c r="D1098">
        <v>7</v>
      </c>
      <c r="E1098">
        <v>1026</v>
      </c>
      <c r="F1098" t="b">
        <v>1</v>
      </c>
      <c r="G1098">
        <v>51.628</v>
      </c>
      <c r="H1098">
        <v>26</v>
      </c>
      <c r="I1098">
        <v>2</v>
      </c>
      <c r="J1098">
        <v>0.42</v>
      </c>
      <c r="K1098" t="s">
        <v>3380</v>
      </c>
      <c r="L1098">
        <v>0</v>
      </c>
      <c r="N1098" t="s">
        <v>3381</v>
      </c>
      <c r="O1098" t="s">
        <v>3382</v>
      </c>
      <c r="P1098" t="s">
        <v>20</v>
      </c>
      <c r="Q1098">
        <f>(VALUE(LEFT(SUBSTITUTE(O1098,"T"," "),23)) - VALUE(LEFT(SUBSTITUTE(N1098,"T"," "),23))) * 86400</f>
        <v>224.82199959922582</v>
      </c>
      <c r="R1098">
        <f>I1098/G1098</f>
        <v>3.8738668939335245E-2</v>
      </c>
      <c r="S1098">
        <f>H1098/G1098</f>
        <v>0.50360269621135823</v>
      </c>
    </row>
    <row r="1099" spans="1:19" hidden="1" x14ac:dyDescent="0.2">
      <c r="A1099">
        <v>23</v>
      </c>
      <c r="B1099" t="s">
        <v>2964</v>
      </c>
      <c r="C1099">
        <v>5</v>
      </c>
      <c r="D1099">
        <v>8</v>
      </c>
      <c r="E1099">
        <v>1027</v>
      </c>
      <c r="F1099" t="b">
        <v>1</v>
      </c>
      <c r="G1099">
        <v>48.683999999999997</v>
      </c>
      <c r="H1099">
        <v>28</v>
      </c>
      <c r="I1099">
        <v>4</v>
      </c>
      <c r="J1099">
        <v>1.8</v>
      </c>
      <c r="K1099" t="s">
        <v>3389</v>
      </c>
      <c r="L1099">
        <v>0</v>
      </c>
      <c r="N1099" t="s">
        <v>3390</v>
      </c>
      <c r="O1099" t="s">
        <v>3391</v>
      </c>
      <c r="P1099" t="s">
        <v>20</v>
      </c>
      <c r="Q1099">
        <f>(VALUE(LEFT(SUBSTITUTE(O1099,"T"," "),23)) - VALUE(LEFT(SUBSTITUTE(N1099,"T"," "),23))) * 86400</f>
        <v>162.73300009779632</v>
      </c>
      <c r="R1099">
        <f>I1099/G1099</f>
        <v>8.216251745953497E-2</v>
      </c>
      <c r="S1099">
        <f>H1099/G1099</f>
        <v>0.5751376222167448</v>
      </c>
    </row>
    <row r="1100" spans="1:19" hidden="1" x14ac:dyDescent="0.2">
      <c r="A1100">
        <v>26</v>
      </c>
      <c r="B1100" t="s">
        <v>2964</v>
      </c>
      <c r="C1100">
        <v>5</v>
      </c>
      <c r="D1100">
        <v>9</v>
      </c>
      <c r="E1100">
        <v>1028</v>
      </c>
      <c r="F1100" t="b">
        <v>1</v>
      </c>
      <c r="G1100">
        <v>53.728000000000002</v>
      </c>
      <c r="H1100">
        <v>34</v>
      </c>
      <c r="I1100">
        <v>7</v>
      </c>
      <c r="J1100">
        <v>0.84</v>
      </c>
      <c r="K1100" t="s">
        <v>3398</v>
      </c>
      <c r="L1100">
        <v>0</v>
      </c>
      <c r="N1100" t="s">
        <v>3399</v>
      </c>
      <c r="O1100" t="s">
        <v>3400</v>
      </c>
      <c r="P1100" t="s">
        <v>20</v>
      </c>
      <c r="Q1100">
        <f>(VALUE(LEFT(SUBSTITUTE(O1100,"T"," "),23)) - VALUE(LEFT(SUBSTITUTE(N1100,"T"," "),23))) * 86400</f>
        <v>232.19700045883656</v>
      </c>
      <c r="R1100">
        <f>I1100/G1100</f>
        <v>0.13028588445503275</v>
      </c>
      <c r="S1100">
        <f>H1100/G1100</f>
        <v>0.63281715306730191</v>
      </c>
    </row>
    <row r="1101" spans="1:19" hidden="1" x14ac:dyDescent="0.2">
      <c r="A1101">
        <v>29</v>
      </c>
      <c r="B1101" t="s">
        <v>2964</v>
      </c>
      <c r="C1101">
        <v>5</v>
      </c>
      <c r="D1101">
        <v>10</v>
      </c>
      <c r="E1101">
        <v>1029</v>
      </c>
      <c r="F1101" t="b">
        <v>1</v>
      </c>
      <c r="G1101">
        <v>53.923999999999999</v>
      </c>
      <c r="H1101">
        <v>27</v>
      </c>
      <c r="I1101">
        <v>2</v>
      </c>
      <c r="J1101">
        <v>0.9</v>
      </c>
      <c r="K1101" t="s">
        <v>3407</v>
      </c>
      <c r="L1101">
        <v>0</v>
      </c>
      <c r="N1101" t="s">
        <v>3408</v>
      </c>
      <c r="O1101" t="s">
        <v>3409</v>
      </c>
      <c r="P1101" t="s">
        <v>20</v>
      </c>
      <c r="Q1101">
        <f>(VALUE(LEFT(SUBSTITUTE(O1101,"T"," "),23)) - VALUE(LEFT(SUBSTITUTE(N1101,"T"," "),23))) * 86400</f>
        <v>142.60399981867522</v>
      </c>
      <c r="R1101">
        <f>I1101/G1101</f>
        <v>3.7089236703508645E-2</v>
      </c>
      <c r="S1101">
        <f>H1101/G1101</f>
        <v>0.50070469549736663</v>
      </c>
    </row>
    <row r="1102" spans="1:19" hidden="1" x14ac:dyDescent="0.2">
      <c r="A1102">
        <v>3</v>
      </c>
      <c r="B1102" t="s">
        <v>2964</v>
      </c>
      <c r="C1102">
        <v>10</v>
      </c>
      <c r="D1102">
        <v>1</v>
      </c>
      <c r="E1102">
        <v>1000</v>
      </c>
      <c r="F1102" t="b">
        <v>1</v>
      </c>
      <c r="G1102">
        <v>41.832000000000001</v>
      </c>
      <c r="H1102">
        <v>25</v>
      </c>
      <c r="I1102">
        <v>2</v>
      </c>
      <c r="J1102">
        <v>0.18</v>
      </c>
      <c r="K1102" t="s">
        <v>3150</v>
      </c>
      <c r="L1102">
        <v>0</v>
      </c>
      <c r="N1102" t="s">
        <v>3151</v>
      </c>
      <c r="O1102" t="s">
        <v>3152</v>
      </c>
      <c r="P1102" t="s">
        <v>20</v>
      </c>
      <c r="Q1102">
        <f>(VALUE(LEFT(SUBSTITUTE(O1102,"T"," "),23)) - VALUE(LEFT(SUBSTITUTE(N1102,"T"," "),23))) * 86400</f>
        <v>165.05400000605732</v>
      </c>
      <c r="R1102">
        <f>I1102/G1102</f>
        <v>4.7810288774144193E-2</v>
      </c>
      <c r="S1102">
        <f>H1102/G1102</f>
        <v>0.59762860967680242</v>
      </c>
    </row>
    <row r="1103" spans="1:19" hidden="1" x14ac:dyDescent="0.2">
      <c r="A1103">
        <v>6</v>
      </c>
      <c r="B1103" t="s">
        <v>2964</v>
      </c>
      <c r="C1103">
        <v>10</v>
      </c>
      <c r="D1103">
        <v>2</v>
      </c>
      <c r="E1103">
        <v>1001</v>
      </c>
      <c r="F1103" t="b">
        <v>1</v>
      </c>
      <c r="G1103">
        <v>31.488</v>
      </c>
      <c r="H1103">
        <v>26</v>
      </c>
      <c r="I1103">
        <v>2</v>
      </c>
      <c r="J1103">
        <v>0.24</v>
      </c>
      <c r="K1103" t="s">
        <v>3159</v>
      </c>
      <c r="L1103">
        <v>0</v>
      </c>
      <c r="N1103" t="s">
        <v>3160</v>
      </c>
      <c r="O1103" t="s">
        <v>3161</v>
      </c>
      <c r="P1103" t="s">
        <v>20</v>
      </c>
      <c r="Q1103">
        <f>(VALUE(LEFT(SUBSTITUTE(O1103,"T"," "),23)) - VALUE(LEFT(SUBSTITUTE(N1103,"T"," "),23))) * 86400</f>
        <v>108.40099998749793</v>
      </c>
      <c r="R1103">
        <f>I1103/G1103</f>
        <v>6.3516260162601632E-2</v>
      </c>
      <c r="S1103">
        <f>H1103/G1103</f>
        <v>0.82571138211382111</v>
      </c>
    </row>
    <row r="1104" spans="1:19" hidden="1" x14ac:dyDescent="0.2">
      <c r="A1104">
        <v>9</v>
      </c>
      <c r="B1104" t="s">
        <v>2964</v>
      </c>
      <c r="C1104">
        <v>10</v>
      </c>
      <c r="D1104">
        <v>3</v>
      </c>
      <c r="E1104">
        <v>1002</v>
      </c>
      <c r="F1104" t="b">
        <v>1</v>
      </c>
      <c r="G1104">
        <v>39.107999999999997</v>
      </c>
      <c r="H1104">
        <v>24</v>
      </c>
      <c r="I1104">
        <v>0</v>
      </c>
      <c r="J1104">
        <v>0</v>
      </c>
      <c r="K1104" t="s">
        <v>3168</v>
      </c>
      <c r="L1104">
        <v>0</v>
      </c>
      <c r="N1104" t="s">
        <v>3169</v>
      </c>
      <c r="O1104" t="s">
        <v>3170</v>
      </c>
      <c r="P1104" t="s">
        <v>20</v>
      </c>
      <c r="Q1104">
        <f>(VALUE(LEFT(SUBSTITUTE(O1104,"T"," "),23)) - VALUE(LEFT(SUBSTITUTE(N1104,"T"," "),23))) * 86400</f>
        <v>122.83400043379515</v>
      </c>
      <c r="R1104">
        <f>I1104/G1104</f>
        <v>0</v>
      </c>
      <c r="S1104">
        <f>H1104/G1104</f>
        <v>0.61368517950291501</v>
      </c>
    </row>
    <row r="1105" spans="1:19" hidden="1" x14ac:dyDescent="0.2">
      <c r="A1105">
        <v>12</v>
      </c>
      <c r="B1105" t="s">
        <v>2964</v>
      </c>
      <c r="C1105">
        <v>10</v>
      </c>
      <c r="D1105">
        <v>4</v>
      </c>
      <c r="E1105">
        <v>1003</v>
      </c>
      <c r="F1105" t="b">
        <v>1</v>
      </c>
      <c r="G1105">
        <v>39.143999999999998</v>
      </c>
      <c r="H1105">
        <v>31</v>
      </c>
      <c r="I1105">
        <v>1</v>
      </c>
      <c r="J1105">
        <v>0.18</v>
      </c>
      <c r="K1105" t="s">
        <v>3177</v>
      </c>
      <c r="L1105">
        <v>0</v>
      </c>
      <c r="N1105" t="s">
        <v>3178</v>
      </c>
      <c r="O1105" t="s">
        <v>3179</v>
      </c>
      <c r="P1105" t="s">
        <v>20</v>
      </c>
      <c r="Q1105">
        <f>(VALUE(LEFT(SUBSTITUTE(O1105,"T"," "),23)) - VALUE(LEFT(SUBSTITUTE(N1105,"T"," "),23))) * 86400</f>
        <v>214.89600045606494</v>
      </c>
      <c r="R1105">
        <f>I1105/G1105</f>
        <v>2.5546699366441855E-2</v>
      </c>
      <c r="S1105">
        <f>H1105/G1105</f>
        <v>0.79194768035969754</v>
      </c>
    </row>
    <row r="1106" spans="1:19" hidden="1" x14ac:dyDescent="0.2">
      <c r="A1106">
        <v>15</v>
      </c>
      <c r="B1106" t="s">
        <v>2964</v>
      </c>
      <c r="C1106">
        <v>10</v>
      </c>
      <c r="D1106">
        <v>5</v>
      </c>
      <c r="E1106">
        <v>1004</v>
      </c>
      <c r="F1106" t="b">
        <v>1</v>
      </c>
      <c r="G1106">
        <v>44.951999999999998</v>
      </c>
      <c r="H1106">
        <v>29</v>
      </c>
      <c r="I1106">
        <v>1</v>
      </c>
      <c r="J1106">
        <v>0.06</v>
      </c>
      <c r="K1106" t="s">
        <v>3186</v>
      </c>
      <c r="L1106">
        <v>0</v>
      </c>
      <c r="N1106" t="s">
        <v>3187</v>
      </c>
      <c r="O1106" t="s">
        <v>3188</v>
      </c>
      <c r="P1106" t="s">
        <v>20</v>
      </c>
      <c r="Q1106">
        <f>(VALUE(LEFT(SUBSTITUTE(O1106,"T"," "),23)) - VALUE(LEFT(SUBSTITUTE(N1106,"T"," "),23))) * 86400</f>
        <v>182.43700016755611</v>
      </c>
      <c r="R1106">
        <f>I1106/G1106</f>
        <v>2.2245951236874891E-2</v>
      </c>
      <c r="S1106">
        <f>H1106/G1106</f>
        <v>0.64513258586937183</v>
      </c>
    </row>
    <row r="1107" spans="1:19" hidden="1" x14ac:dyDescent="0.2">
      <c r="A1107">
        <v>18</v>
      </c>
      <c r="B1107" t="s">
        <v>2964</v>
      </c>
      <c r="C1107">
        <v>10</v>
      </c>
      <c r="D1107">
        <v>6</v>
      </c>
      <c r="E1107">
        <v>1005</v>
      </c>
      <c r="F1107" t="b">
        <v>1</v>
      </c>
      <c r="G1107">
        <v>65.215999999999994</v>
      </c>
      <c r="H1107">
        <v>33</v>
      </c>
      <c r="I1107">
        <v>3</v>
      </c>
      <c r="J1107">
        <v>1.74</v>
      </c>
      <c r="K1107" t="s">
        <v>3195</v>
      </c>
      <c r="L1107">
        <v>0</v>
      </c>
      <c r="N1107" t="s">
        <v>3196</v>
      </c>
      <c r="O1107" t="s">
        <v>3197</v>
      </c>
      <c r="P1107" t="s">
        <v>20</v>
      </c>
      <c r="Q1107">
        <f>(VALUE(LEFT(SUBSTITUTE(O1107,"T"," "),23)) - VALUE(LEFT(SUBSTITUTE(N1107,"T"," "),23))) * 86400</f>
        <v>288.37799979373813</v>
      </c>
      <c r="R1107">
        <f>I1107/G1107</f>
        <v>4.6000981354268895E-2</v>
      </c>
      <c r="S1107">
        <f>H1107/G1107</f>
        <v>0.50601079489695788</v>
      </c>
    </row>
    <row r="1108" spans="1:19" hidden="1" x14ac:dyDescent="0.2">
      <c r="A1108">
        <v>21</v>
      </c>
      <c r="B1108" t="s">
        <v>2964</v>
      </c>
      <c r="C1108">
        <v>10</v>
      </c>
      <c r="D1108">
        <v>7</v>
      </c>
      <c r="E1108">
        <v>1006</v>
      </c>
      <c r="F1108" t="b">
        <v>1</v>
      </c>
      <c r="G1108">
        <v>42.972000000000001</v>
      </c>
      <c r="H1108">
        <v>29</v>
      </c>
      <c r="I1108">
        <v>2</v>
      </c>
      <c r="J1108">
        <v>0.24</v>
      </c>
      <c r="K1108" t="s">
        <v>3204</v>
      </c>
      <c r="L1108">
        <v>0</v>
      </c>
      <c r="N1108" t="s">
        <v>3205</v>
      </c>
      <c r="O1108" t="s">
        <v>3206</v>
      </c>
      <c r="P1108" t="s">
        <v>20</v>
      </c>
      <c r="Q1108">
        <f>(VALUE(LEFT(SUBSTITUTE(O1108,"T"," "),23)) - VALUE(LEFT(SUBSTITUTE(N1108,"T"," "),23))) * 86400</f>
        <v>192.89199966005981</v>
      </c>
      <c r="R1108">
        <f>I1108/G1108</f>
        <v>4.6541934282788792E-2</v>
      </c>
      <c r="S1108">
        <f>H1108/G1108</f>
        <v>0.67485804710043751</v>
      </c>
    </row>
    <row r="1109" spans="1:19" hidden="1" x14ac:dyDescent="0.2">
      <c r="A1109">
        <v>24</v>
      </c>
      <c r="B1109" t="s">
        <v>2964</v>
      </c>
      <c r="C1109">
        <v>10</v>
      </c>
      <c r="D1109">
        <v>8</v>
      </c>
      <c r="E1109">
        <v>1007</v>
      </c>
      <c r="F1109" t="b">
        <v>1</v>
      </c>
      <c r="G1109">
        <v>37.26</v>
      </c>
      <c r="H1109">
        <v>31</v>
      </c>
      <c r="I1109">
        <v>2</v>
      </c>
      <c r="J1109">
        <v>0.72</v>
      </c>
      <c r="K1109" t="s">
        <v>3213</v>
      </c>
      <c r="L1109">
        <v>0</v>
      </c>
      <c r="N1109" t="s">
        <v>3214</v>
      </c>
      <c r="O1109" t="s">
        <v>3215</v>
      </c>
      <c r="P1109" t="s">
        <v>20</v>
      </c>
      <c r="Q1109">
        <f>(VALUE(LEFT(SUBSTITUTE(O1109,"T"," "),23)) - VALUE(LEFT(SUBSTITUTE(N1109,"T"," "),23))) * 86400</f>
        <v>122.57800013758242</v>
      </c>
      <c r="R1109">
        <f>I1109/G1109</f>
        <v>5.3676865271068172E-2</v>
      </c>
      <c r="S1109">
        <f>H1109/G1109</f>
        <v>0.83199141170155666</v>
      </c>
    </row>
    <row r="1110" spans="1:19" hidden="1" x14ac:dyDescent="0.2">
      <c r="A1110">
        <v>27</v>
      </c>
      <c r="B1110" t="s">
        <v>2964</v>
      </c>
      <c r="C1110">
        <v>10</v>
      </c>
      <c r="D1110">
        <v>9</v>
      </c>
      <c r="E1110">
        <v>1008</v>
      </c>
      <c r="F1110" t="b">
        <v>1</v>
      </c>
      <c r="G1110">
        <v>48.036000000000001</v>
      </c>
      <c r="H1110">
        <v>27</v>
      </c>
      <c r="I1110">
        <v>2</v>
      </c>
      <c r="J1110">
        <v>0.6</v>
      </c>
      <c r="K1110" t="s">
        <v>3222</v>
      </c>
      <c r="L1110">
        <v>0</v>
      </c>
      <c r="N1110" t="s">
        <v>3223</v>
      </c>
      <c r="O1110" t="s">
        <v>3224</v>
      </c>
      <c r="P1110" t="s">
        <v>20</v>
      </c>
      <c r="Q1110">
        <f>(VALUE(LEFT(SUBSTITUTE(O1110,"T"," "),23)) - VALUE(LEFT(SUBSTITUTE(N1110,"T"," "),23))) * 86400</f>
        <v>158.4449996938929</v>
      </c>
      <c r="R1110">
        <f>I1110/G1110</f>
        <v>4.1635440086601715E-2</v>
      </c>
      <c r="S1110">
        <f>H1110/G1110</f>
        <v>0.56207844116912309</v>
      </c>
    </row>
    <row r="1111" spans="1:19" hidden="1" x14ac:dyDescent="0.2">
      <c r="A1111">
        <v>30</v>
      </c>
      <c r="B1111" t="s">
        <v>2964</v>
      </c>
      <c r="C1111">
        <v>10</v>
      </c>
      <c r="D1111">
        <v>10</v>
      </c>
      <c r="E1111">
        <v>1009</v>
      </c>
      <c r="F1111" t="b">
        <v>1</v>
      </c>
      <c r="G1111">
        <v>57.148000000000003</v>
      </c>
      <c r="H1111">
        <v>32</v>
      </c>
      <c r="I1111">
        <v>9</v>
      </c>
      <c r="J1111">
        <v>1.26</v>
      </c>
      <c r="K1111" t="s">
        <v>3231</v>
      </c>
      <c r="L1111">
        <v>0</v>
      </c>
      <c r="N1111" t="s">
        <v>3232</v>
      </c>
      <c r="O1111" t="s">
        <v>3233</v>
      </c>
      <c r="P1111" t="s">
        <v>20</v>
      </c>
      <c r="Q1111">
        <f>(VALUE(LEFT(SUBSTITUTE(O1111,"T"," "),23)) - VALUE(LEFT(SUBSTITUTE(N1111,"T"," "),23))) * 86400</f>
        <v>257.5349998427555</v>
      </c>
      <c r="R1111">
        <f>I1111/G1111</f>
        <v>0.15748582627563518</v>
      </c>
      <c r="S1111">
        <f>H1111/G1111</f>
        <v>0.55994960453559173</v>
      </c>
    </row>
    <row r="1112" spans="1:19" hidden="1" x14ac:dyDescent="0.2">
      <c r="A1112">
        <v>3</v>
      </c>
      <c r="B1112" t="s">
        <v>2964</v>
      </c>
      <c r="C1112">
        <v>10</v>
      </c>
      <c r="D1112">
        <v>1</v>
      </c>
      <c r="E1112">
        <v>1010</v>
      </c>
      <c r="F1112" t="b">
        <v>1</v>
      </c>
      <c r="G1112">
        <v>44.832000000000001</v>
      </c>
      <c r="H1112">
        <v>26</v>
      </c>
      <c r="I1112">
        <v>5</v>
      </c>
      <c r="J1112">
        <v>2.4</v>
      </c>
      <c r="K1112" t="s">
        <v>3240</v>
      </c>
      <c r="L1112">
        <v>0</v>
      </c>
      <c r="N1112" t="s">
        <v>3241</v>
      </c>
      <c r="O1112" t="s">
        <v>3242</v>
      </c>
      <c r="P1112" t="s">
        <v>20</v>
      </c>
      <c r="Q1112">
        <f>(VALUE(LEFT(SUBSTITUTE(O1112,"T"," "),23)) - VALUE(LEFT(SUBSTITUTE(N1112,"T"," "),23))) * 86400</f>
        <v>212.60200012475252</v>
      </c>
      <c r="R1112">
        <f>I1112/G1112</f>
        <v>0.11152748037116346</v>
      </c>
      <c r="S1112">
        <f>H1112/G1112</f>
        <v>0.57994289793004994</v>
      </c>
    </row>
    <row r="1113" spans="1:19" hidden="1" x14ac:dyDescent="0.2">
      <c r="A1113">
        <v>6</v>
      </c>
      <c r="B1113" t="s">
        <v>2964</v>
      </c>
      <c r="C1113">
        <v>10</v>
      </c>
      <c r="D1113">
        <v>2</v>
      </c>
      <c r="E1113">
        <v>1011</v>
      </c>
      <c r="F1113" t="b">
        <v>1</v>
      </c>
      <c r="G1113">
        <v>33.42</v>
      </c>
      <c r="H1113">
        <v>27</v>
      </c>
      <c r="I1113">
        <v>1</v>
      </c>
      <c r="J1113">
        <v>0.6</v>
      </c>
      <c r="K1113" t="s">
        <v>3249</v>
      </c>
      <c r="L1113">
        <v>0</v>
      </c>
      <c r="N1113" t="s">
        <v>3250</v>
      </c>
      <c r="O1113" t="s">
        <v>3251</v>
      </c>
      <c r="P1113" t="s">
        <v>20</v>
      </c>
      <c r="Q1113">
        <f>(VALUE(LEFT(SUBSTITUTE(O1113,"T"," "),23)) - VALUE(LEFT(SUBSTITUTE(N1113,"T"," "),23))) * 86400</f>
        <v>188.83000009227544</v>
      </c>
      <c r="R1113">
        <f>I1113/G1113</f>
        <v>2.9922202274087373E-2</v>
      </c>
      <c r="S1113">
        <f>H1113/G1113</f>
        <v>0.80789946140035906</v>
      </c>
    </row>
    <row r="1114" spans="1:19" hidden="1" x14ac:dyDescent="0.2">
      <c r="A1114">
        <v>9</v>
      </c>
      <c r="B1114" t="s">
        <v>2964</v>
      </c>
      <c r="C1114">
        <v>10</v>
      </c>
      <c r="D1114">
        <v>3</v>
      </c>
      <c r="E1114">
        <v>1012</v>
      </c>
      <c r="F1114" t="b">
        <v>1</v>
      </c>
      <c r="G1114">
        <v>43.548000000000002</v>
      </c>
      <c r="H1114">
        <v>23</v>
      </c>
      <c r="I1114">
        <v>5</v>
      </c>
      <c r="J1114">
        <v>0.36</v>
      </c>
      <c r="K1114" t="s">
        <v>3258</v>
      </c>
      <c r="L1114">
        <v>0</v>
      </c>
      <c r="N1114" t="s">
        <v>3259</v>
      </c>
      <c r="O1114" t="s">
        <v>3260</v>
      </c>
      <c r="P1114" t="s">
        <v>20</v>
      </c>
      <c r="Q1114">
        <f>(VALUE(LEFT(SUBSTITUTE(O1114,"T"," "),23)) - VALUE(LEFT(SUBSTITUTE(N1114,"T"," "),23))) * 86400</f>
        <v>159.31899980641901</v>
      </c>
      <c r="R1114">
        <f>I1114/G1114</f>
        <v>0.11481583540001837</v>
      </c>
      <c r="S1114">
        <f>H1114/G1114</f>
        <v>0.52815284284008446</v>
      </c>
    </row>
    <row r="1115" spans="1:19" hidden="1" x14ac:dyDescent="0.2">
      <c r="A1115">
        <v>12</v>
      </c>
      <c r="B1115" t="s">
        <v>2964</v>
      </c>
      <c r="C1115">
        <v>10</v>
      </c>
      <c r="D1115">
        <v>4</v>
      </c>
      <c r="E1115">
        <v>1013</v>
      </c>
      <c r="F1115" t="b">
        <v>1</v>
      </c>
      <c r="G1115">
        <v>38.223999999999997</v>
      </c>
      <c r="H1115">
        <v>23</v>
      </c>
      <c r="I1115">
        <v>6</v>
      </c>
      <c r="J1115">
        <v>0.9</v>
      </c>
      <c r="K1115" t="s">
        <v>3267</v>
      </c>
      <c r="L1115">
        <v>0</v>
      </c>
      <c r="N1115" t="s">
        <v>3268</v>
      </c>
      <c r="O1115" t="s">
        <v>3269</v>
      </c>
      <c r="P1115" t="s">
        <v>20</v>
      </c>
      <c r="Q1115">
        <f>(VALUE(LEFT(SUBSTITUTE(O1115,"T"," "),23)) - VALUE(LEFT(SUBSTITUTE(N1115,"T"," "),23))) * 86400</f>
        <v>172.63800005894154</v>
      </c>
      <c r="R1115">
        <f>I1115/G1115</f>
        <v>0.15696944328170784</v>
      </c>
      <c r="S1115">
        <f>H1115/G1115</f>
        <v>0.60171619924654673</v>
      </c>
    </row>
    <row r="1116" spans="1:19" hidden="1" x14ac:dyDescent="0.2">
      <c r="A1116">
        <v>15</v>
      </c>
      <c r="B1116" t="s">
        <v>2964</v>
      </c>
      <c r="C1116">
        <v>10</v>
      </c>
      <c r="D1116">
        <v>5</v>
      </c>
      <c r="E1116">
        <v>1014</v>
      </c>
      <c r="F1116" t="b">
        <v>1</v>
      </c>
      <c r="G1116">
        <v>49.3</v>
      </c>
      <c r="H1116">
        <v>30</v>
      </c>
      <c r="I1116">
        <v>1</v>
      </c>
      <c r="J1116">
        <v>0.54</v>
      </c>
      <c r="K1116" t="s">
        <v>3276</v>
      </c>
      <c r="L1116">
        <v>0</v>
      </c>
      <c r="N1116" t="s">
        <v>3277</v>
      </c>
      <c r="O1116" t="s">
        <v>3278</v>
      </c>
      <c r="P1116" t="s">
        <v>20</v>
      </c>
      <c r="Q1116">
        <f>(VALUE(LEFT(SUBSTITUTE(O1116,"T"," "),23)) - VALUE(LEFT(SUBSTITUTE(N1116,"T"," "),23))) * 86400</f>
        <v>195.87900002952665</v>
      </c>
      <c r="R1116">
        <f>I1116/G1116</f>
        <v>2.0283975659229209E-2</v>
      </c>
      <c r="S1116">
        <f>H1116/G1116</f>
        <v>0.60851926977687631</v>
      </c>
    </row>
    <row r="1117" spans="1:19" hidden="1" x14ac:dyDescent="0.2">
      <c r="A1117">
        <v>18</v>
      </c>
      <c r="B1117" t="s">
        <v>2964</v>
      </c>
      <c r="C1117">
        <v>10</v>
      </c>
      <c r="D1117">
        <v>6</v>
      </c>
      <c r="E1117">
        <v>1015</v>
      </c>
      <c r="F1117" t="b">
        <v>1</v>
      </c>
      <c r="G1117">
        <v>51.42</v>
      </c>
      <c r="H1117">
        <v>25</v>
      </c>
      <c r="I1117">
        <v>1</v>
      </c>
      <c r="J1117">
        <v>0.24</v>
      </c>
      <c r="K1117" t="s">
        <v>3285</v>
      </c>
      <c r="L1117">
        <v>0</v>
      </c>
      <c r="N1117" t="s">
        <v>3286</v>
      </c>
      <c r="O1117" t="s">
        <v>3287</v>
      </c>
      <c r="P1117" t="s">
        <v>20</v>
      </c>
      <c r="Q1117">
        <f>(VALUE(LEFT(SUBSTITUTE(O1117,"T"," "),23)) - VALUE(LEFT(SUBSTITUTE(N1117,"T"," "),23))) * 86400</f>
        <v>160.01500035636127</v>
      </c>
      <c r="R1117">
        <f>I1117/G1117</f>
        <v>1.9447685725398678E-2</v>
      </c>
      <c r="S1117">
        <f>H1117/G1117</f>
        <v>0.48619214313496695</v>
      </c>
    </row>
    <row r="1118" spans="1:19" hidden="1" x14ac:dyDescent="0.2">
      <c r="A1118">
        <v>21</v>
      </c>
      <c r="B1118" t="s">
        <v>2964</v>
      </c>
      <c r="C1118">
        <v>10</v>
      </c>
      <c r="D1118">
        <v>7</v>
      </c>
      <c r="E1118">
        <v>1016</v>
      </c>
      <c r="F1118" t="b">
        <v>1</v>
      </c>
      <c r="G1118">
        <v>45.527999999999999</v>
      </c>
      <c r="H1118">
        <v>29</v>
      </c>
      <c r="I1118">
        <v>3</v>
      </c>
      <c r="J1118">
        <v>1.2</v>
      </c>
      <c r="K1118" t="s">
        <v>3294</v>
      </c>
      <c r="L1118">
        <v>0</v>
      </c>
      <c r="N1118" t="s">
        <v>3295</v>
      </c>
      <c r="O1118" t="s">
        <v>3296</v>
      </c>
      <c r="P1118" t="s">
        <v>20</v>
      </c>
      <c r="Q1118">
        <f>(VALUE(LEFT(SUBSTITUTE(O1118,"T"," "),23)) - VALUE(LEFT(SUBSTITUTE(N1118,"T"," "),23))) * 86400</f>
        <v>144.516999903135</v>
      </c>
      <c r="R1118">
        <f>I1118/G1118</f>
        <v>6.5893516078017925E-2</v>
      </c>
      <c r="S1118">
        <f>H1118/G1118</f>
        <v>0.63697065542083997</v>
      </c>
    </row>
    <row r="1119" spans="1:19" hidden="1" x14ac:dyDescent="0.2">
      <c r="A1119">
        <v>24</v>
      </c>
      <c r="B1119" t="s">
        <v>2964</v>
      </c>
      <c r="C1119">
        <v>10</v>
      </c>
      <c r="D1119">
        <v>8</v>
      </c>
      <c r="E1119">
        <v>1017</v>
      </c>
      <c r="F1119" t="b">
        <v>1</v>
      </c>
      <c r="G1119">
        <v>55.892000000000003</v>
      </c>
      <c r="H1119">
        <v>30</v>
      </c>
      <c r="I1119">
        <v>3</v>
      </c>
      <c r="J1119">
        <v>0.24</v>
      </c>
      <c r="K1119" t="s">
        <v>3303</v>
      </c>
      <c r="L1119">
        <v>0</v>
      </c>
      <c r="N1119" t="s">
        <v>3304</v>
      </c>
      <c r="O1119" t="s">
        <v>3305</v>
      </c>
      <c r="P1119" t="s">
        <v>20</v>
      </c>
      <c r="Q1119">
        <f>(VALUE(LEFT(SUBSTITUTE(O1119,"T"," "),23)) - VALUE(LEFT(SUBSTITUTE(N1119,"T"," "),23))) * 86400</f>
        <v>242.55100032314658</v>
      </c>
      <c r="R1119">
        <f>I1119/G1119</f>
        <v>5.3674944535890647E-2</v>
      </c>
      <c r="S1119">
        <f>H1119/G1119</f>
        <v>0.53674944535890645</v>
      </c>
    </row>
    <row r="1120" spans="1:19" hidden="1" x14ac:dyDescent="0.2">
      <c r="A1120">
        <v>27</v>
      </c>
      <c r="B1120" t="s">
        <v>2964</v>
      </c>
      <c r="C1120">
        <v>10</v>
      </c>
      <c r="D1120">
        <v>9</v>
      </c>
      <c r="E1120">
        <v>1018</v>
      </c>
      <c r="F1120" t="b">
        <v>1</v>
      </c>
      <c r="G1120">
        <v>43.072000000000003</v>
      </c>
      <c r="H1120">
        <v>29</v>
      </c>
      <c r="I1120">
        <v>4</v>
      </c>
      <c r="J1120">
        <v>0.42</v>
      </c>
      <c r="K1120" t="s">
        <v>3312</v>
      </c>
      <c r="L1120">
        <v>0</v>
      </c>
      <c r="N1120" t="s">
        <v>3313</v>
      </c>
      <c r="O1120" t="s">
        <v>3314</v>
      </c>
      <c r="P1120" t="s">
        <v>20</v>
      </c>
      <c r="Q1120">
        <f>(VALUE(LEFT(SUBSTITUTE(O1120,"T"," "),23)) - VALUE(LEFT(SUBSTITUTE(N1120,"T"," "),23))) * 86400</f>
        <v>217.72099959198385</v>
      </c>
      <c r="R1120">
        <f>I1120/G1120</f>
        <v>9.2867756315007419E-2</v>
      </c>
      <c r="S1120">
        <f>H1120/G1120</f>
        <v>0.6732912332838038</v>
      </c>
    </row>
    <row r="1121" spans="1:19" hidden="1" x14ac:dyDescent="0.2">
      <c r="A1121">
        <v>30</v>
      </c>
      <c r="B1121" t="s">
        <v>2964</v>
      </c>
      <c r="C1121">
        <v>10</v>
      </c>
      <c r="D1121">
        <v>10</v>
      </c>
      <c r="E1121">
        <v>1019</v>
      </c>
      <c r="F1121" t="b">
        <v>1</v>
      </c>
      <c r="G1121">
        <v>39.264000000000003</v>
      </c>
      <c r="H1121">
        <v>26</v>
      </c>
      <c r="I1121">
        <v>2</v>
      </c>
      <c r="J1121">
        <v>0.54</v>
      </c>
      <c r="K1121" t="s">
        <v>3321</v>
      </c>
      <c r="L1121">
        <v>0</v>
      </c>
      <c r="N1121" t="s">
        <v>3322</v>
      </c>
      <c r="O1121" t="s">
        <v>3323</v>
      </c>
      <c r="P1121" t="s">
        <v>20</v>
      </c>
      <c r="Q1121">
        <f>(VALUE(LEFT(SUBSTITUTE(O1121,"T"," "),23)) - VALUE(LEFT(SUBSTITUTE(N1121,"T"," "),23))) * 86400</f>
        <v>100.0979998614639</v>
      </c>
      <c r="R1121">
        <f>I1121/G1121</f>
        <v>5.093724531377343E-2</v>
      </c>
      <c r="S1121">
        <f>H1121/G1121</f>
        <v>0.66218418907905452</v>
      </c>
    </row>
    <row r="1122" spans="1:19" hidden="1" x14ac:dyDescent="0.2">
      <c r="A1122">
        <v>3</v>
      </c>
      <c r="B1122" t="s">
        <v>2964</v>
      </c>
      <c r="C1122">
        <v>10</v>
      </c>
      <c r="D1122">
        <v>1</v>
      </c>
      <c r="E1122">
        <v>1020</v>
      </c>
      <c r="F1122" t="b">
        <v>1</v>
      </c>
      <c r="G1122">
        <v>48.223999999999997</v>
      </c>
      <c r="H1122">
        <v>26</v>
      </c>
      <c r="I1122">
        <v>4</v>
      </c>
      <c r="J1122">
        <v>0.66</v>
      </c>
      <c r="K1122" t="s">
        <v>3330</v>
      </c>
      <c r="L1122">
        <v>0</v>
      </c>
      <c r="N1122" t="s">
        <v>3331</v>
      </c>
      <c r="O1122" t="s">
        <v>3332</v>
      </c>
      <c r="P1122" t="s">
        <v>20</v>
      </c>
      <c r="Q1122">
        <f>(VALUE(LEFT(SUBSTITUTE(O1122,"T"," "),23)) - VALUE(LEFT(SUBSTITUTE(N1122,"T"," "),23))) * 86400</f>
        <v>178.61500005237758</v>
      </c>
      <c r="R1122">
        <f>I1122/G1122</f>
        <v>8.2946250829462512E-2</v>
      </c>
      <c r="S1122">
        <f>H1122/G1122</f>
        <v>0.53915063039150635</v>
      </c>
    </row>
    <row r="1123" spans="1:19" hidden="1" x14ac:dyDescent="0.2">
      <c r="A1123">
        <v>6</v>
      </c>
      <c r="B1123" t="s">
        <v>2964</v>
      </c>
      <c r="C1123">
        <v>10</v>
      </c>
      <c r="D1123">
        <v>2</v>
      </c>
      <c r="E1123">
        <v>1021</v>
      </c>
      <c r="F1123" t="b">
        <v>1</v>
      </c>
      <c r="G1123">
        <v>48.064</v>
      </c>
      <c r="H1123">
        <v>31</v>
      </c>
      <c r="I1123">
        <v>3</v>
      </c>
      <c r="J1123">
        <v>0.48</v>
      </c>
      <c r="K1123" t="s">
        <v>3339</v>
      </c>
      <c r="L1123">
        <v>0</v>
      </c>
      <c r="N1123" t="s">
        <v>3340</v>
      </c>
      <c r="O1123" t="s">
        <v>3341</v>
      </c>
      <c r="P1123" t="s">
        <v>20</v>
      </c>
      <c r="Q1123">
        <f>(VALUE(LEFT(SUBSTITUTE(O1123,"T"," "),23)) - VALUE(LEFT(SUBSTITUTE(N1123,"T"," "),23))) * 86400</f>
        <v>178.5919999005273</v>
      </c>
      <c r="R1123">
        <f>I1123/G1123</f>
        <v>6.2416777629826899E-2</v>
      </c>
      <c r="S1123">
        <f>H1123/G1123</f>
        <v>0.64497336884154466</v>
      </c>
    </row>
    <row r="1124" spans="1:19" hidden="1" x14ac:dyDescent="0.2">
      <c r="A1124">
        <v>9</v>
      </c>
      <c r="B1124" t="s">
        <v>2964</v>
      </c>
      <c r="C1124">
        <v>10</v>
      </c>
      <c r="D1124">
        <v>3</v>
      </c>
      <c r="E1124">
        <v>1022</v>
      </c>
      <c r="F1124" t="b">
        <v>1</v>
      </c>
      <c r="G1124">
        <v>49.607999999999997</v>
      </c>
      <c r="H1124">
        <v>22</v>
      </c>
      <c r="I1124">
        <v>1</v>
      </c>
      <c r="J1124">
        <v>0.24</v>
      </c>
      <c r="K1124" t="s">
        <v>3348</v>
      </c>
      <c r="L1124">
        <v>0</v>
      </c>
      <c r="N1124" t="s">
        <v>3349</v>
      </c>
      <c r="O1124" t="s">
        <v>3350</v>
      </c>
      <c r="P1124" t="s">
        <v>20</v>
      </c>
      <c r="Q1124">
        <f>(VALUE(LEFT(SUBSTITUTE(O1124,"T"," "),23)) - VALUE(LEFT(SUBSTITUTE(N1124,"T"," "),23))) * 86400</f>
        <v>190.32499990426004</v>
      </c>
      <c r="R1124">
        <f>I1124/G1124</f>
        <v>2.0158039025963557E-2</v>
      </c>
      <c r="S1124">
        <f>H1124/G1124</f>
        <v>0.44347685857119823</v>
      </c>
    </row>
    <row r="1125" spans="1:19" hidden="1" x14ac:dyDescent="0.2">
      <c r="A1125">
        <v>12</v>
      </c>
      <c r="B1125" t="s">
        <v>2964</v>
      </c>
      <c r="C1125">
        <v>10</v>
      </c>
      <c r="D1125">
        <v>4</v>
      </c>
      <c r="E1125">
        <v>1023</v>
      </c>
      <c r="F1125" t="b">
        <v>1</v>
      </c>
      <c r="G1125">
        <v>58.008000000000003</v>
      </c>
      <c r="H1125">
        <v>26</v>
      </c>
      <c r="I1125">
        <v>4</v>
      </c>
      <c r="J1125">
        <v>0.84</v>
      </c>
      <c r="K1125" t="s">
        <v>3357</v>
      </c>
      <c r="L1125">
        <v>0</v>
      </c>
      <c r="N1125" t="s">
        <v>3358</v>
      </c>
      <c r="O1125" t="s">
        <v>3359</v>
      </c>
      <c r="P1125" t="s">
        <v>20</v>
      </c>
      <c r="Q1125">
        <f>(VALUE(LEFT(SUBSTITUTE(O1125,"T"," "),23)) - VALUE(LEFT(SUBSTITUTE(N1125,"T"," "),23))) * 86400</f>
        <v>166.17100008297712</v>
      </c>
      <c r="R1125">
        <f>I1125/G1125</f>
        <v>6.8956006068128531E-2</v>
      </c>
      <c r="S1125">
        <f>H1125/G1125</f>
        <v>0.44821403944283544</v>
      </c>
    </row>
    <row r="1126" spans="1:19" hidden="1" x14ac:dyDescent="0.2">
      <c r="A1126">
        <v>15</v>
      </c>
      <c r="B1126" t="s">
        <v>2964</v>
      </c>
      <c r="C1126">
        <v>10</v>
      </c>
      <c r="D1126">
        <v>5</v>
      </c>
      <c r="E1126">
        <v>1024</v>
      </c>
      <c r="F1126" t="b">
        <v>1</v>
      </c>
      <c r="G1126">
        <v>38</v>
      </c>
      <c r="H1126">
        <v>29</v>
      </c>
      <c r="I1126">
        <v>2</v>
      </c>
      <c r="J1126">
        <v>0.18</v>
      </c>
      <c r="K1126" t="s">
        <v>3365</v>
      </c>
      <c r="L1126">
        <v>0</v>
      </c>
      <c r="N1126" t="s">
        <v>3366</v>
      </c>
      <c r="O1126" t="s">
        <v>3367</v>
      </c>
      <c r="P1126" t="s">
        <v>20</v>
      </c>
      <c r="Q1126">
        <f>(VALUE(LEFT(SUBSTITUTE(O1126,"T"," "),23)) - VALUE(LEFT(SUBSTITUTE(N1126,"T"," "),23))) * 86400</f>
        <v>169.94600035250187</v>
      </c>
      <c r="R1126">
        <f>I1126/G1126</f>
        <v>5.2631578947368418E-2</v>
      </c>
      <c r="S1126">
        <f>H1126/G1126</f>
        <v>0.76315789473684215</v>
      </c>
    </row>
    <row r="1127" spans="1:19" hidden="1" x14ac:dyDescent="0.2">
      <c r="A1127">
        <v>18</v>
      </c>
      <c r="B1127" t="s">
        <v>2964</v>
      </c>
      <c r="C1127">
        <v>10</v>
      </c>
      <c r="D1127">
        <v>6</v>
      </c>
      <c r="E1127">
        <v>1025</v>
      </c>
      <c r="F1127" t="b">
        <v>1</v>
      </c>
      <c r="G1127">
        <v>39.988</v>
      </c>
      <c r="H1127">
        <v>26</v>
      </c>
      <c r="I1127">
        <v>0</v>
      </c>
      <c r="J1127">
        <v>0</v>
      </c>
      <c r="K1127" t="s">
        <v>3374</v>
      </c>
      <c r="L1127">
        <v>0</v>
      </c>
      <c r="N1127" t="s">
        <v>3375</v>
      </c>
      <c r="O1127" t="s">
        <v>3376</v>
      </c>
      <c r="P1127" t="s">
        <v>20</v>
      </c>
      <c r="Q1127">
        <f>(VALUE(LEFT(SUBSTITUTE(O1127,"T"," "),23)) - VALUE(LEFT(SUBSTITUTE(N1127,"T"," "),23))) * 86400</f>
        <v>176.38399978168309</v>
      </c>
      <c r="R1127">
        <f>I1127/G1127</f>
        <v>0</v>
      </c>
      <c r="S1127">
        <f>H1127/G1127</f>
        <v>0.65019505851755532</v>
      </c>
    </row>
    <row r="1128" spans="1:19" hidden="1" x14ac:dyDescent="0.2">
      <c r="A1128">
        <v>21</v>
      </c>
      <c r="B1128" t="s">
        <v>2964</v>
      </c>
      <c r="C1128">
        <v>10</v>
      </c>
      <c r="D1128">
        <v>7</v>
      </c>
      <c r="E1128">
        <v>1026</v>
      </c>
      <c r="F1128" t="b">
        <v>1</v>
      </c>
      <c r="G1128">
        <v>39.892000000000003</v>
      </c>
      <c r="H1128">
        <v>30</v>
      </c>
      <c r="I1128">
        <v>2</v>
      </c>
      <c r="J1128">
        <v>0.3</v>
      </c>
      <c r="K1128" t="s">
        <v>3383</v>
      </c>
      <c r="L1128">
        <v>0</v>
      </c>
      <c r="N1128" t="s">
        <v>3384</v>
      </c>
      <c r="O1128" t="s">
        <v>3385</v>
      </c>
      <c r="P1128" t="s">
        <v>20</v>
      </c>
      <c r="Q1128">
        <f>(VALUE(LEFT(SUBSTITUTE(O1128,"T"," "),23)) - VALUE(LEFT(SUBSTITUTE(N1128,"T"," "),23))) * 86400</f>
        <v>176.89899962861091</v>
      </c>
      <c r="R1128">
        <f>I1128/G1128</f>
        <v>5.0135365486814396E-2</v>
      </c>
      <c r="S1128">
        <f>H1128/G1128</f>
        <v>0.75203048230221592</v>
      </c>
    </row>
    <row r="1129" spans="1:19" hidden="1" x14ac:dyDescent="0.2">
      <c r="A1129">
        <v>24</v>
      </c>
      <c r="B1129" t="s">
        <v>2964</v>
      </c>
      <c r="C1129">
        <v>10</v>
      </c>
      <c r="D1129">
        <v>8</v>
      </c>
      <c r="E1129">
        <v>1027</v>
      </c>
      <c r="F1129" t="b">
        <v>1</v>
      </c>
      <c r="G1129">
        <v>38.607999999999997</v>
      </c>
      <c r="H1129">
        <v>29</v>
      </c>
      <c r="I1129">
        <v>3</v>
      </c>
      <c r="J1129">
        <v>1.08</v>
      </c>
      <c r="K1129" t="s">
        <v>3392</v>
      </c>
      <c r="L1129">
        <v>0</v>
      </c>
      <c r="N1129" t="s">
        <v>3393</v>
      </c>
      <c r="O1129" t="s">
        <v>3394</v>
      </c>
      <c r="P1129" t="s">
        <v>20</v>
      </c>
      <c r="Q1129">
        <f>(VALUE(LEFT(SUBSTITUTE(O1129,"T"," "),23)) - VALUE(LEFT(SUBSTITUTE(N1129,"T"," "),23))) * 86400</f>
        <v>168.68000000249594</v>
      </c>
      <c r="R1129">
        <f>I1129/G1129</f>
        <v>7.7704102776626607E-2</v>
      </c>
      <c r="S1129">
        <f>H1129/G1129</f>
        <v>0.7511396601740572</v>
      </c>
    </row>
    <row r="1130" spans="1:19" hidden="1" x14ac:dyDescent="0.2">
      <c r="A1130">
        <v>27</v>
      </c>
      <c r="B1130" t="s">
        <v>2964</v>
      </c>
      <c r="C1130">
        <v>10</v>
      </c>
      <c r="D1130">
        <v>9</v>
      </c>
      <c r="E1130">
        <v>1028</v>
      </c>
      <c r="F1130" t="b">
        <v>1</v>
      </c>
      <c r="G1130">
        <v>67.78</v>
      </c>
      <c r="H1130">
        <v>33</v>
      </c>
      <c r="I1130">
        <v>4</v>
      </c>
      <c r="J1130">
        <v>0.9</v>
      </c>
      <c r="K1130" t="s">
        <v>3401</v>
      </c>
      <c r="L1130">
        <v>0</v>
      </c>
      <c r="N1130" t="s">
        <v>3402</v>
      </c>
      <c r="O1130" t="s">
        <v>3403</v>
      </c>
      <c r="P1130" t="s">
        <v>20</v>
      </c>
      <c r="Q1130">
        <f>(VALUE(LEFT(SUBSTITUTE(O1130,"T"," "),23)) - VALUE(LEFT(SUBSTITUTE(N1130,"T"," "),23))) * 86400</f>
        <v>251.52600004803389</v>
      </c>
      <c r="R1130">
        <f>I1130/G1130</f>
        <v>5.9014458542342871E-2</v>
      </c>
      <c r="S1130">
        <f>H1130/G1130</f>
        <v>0.48686928297432869</v>
      </c>
    </row>
    <row r="1131" spans="1:19" hidden="1" x14ac:dyDescent="0.2">
      <c r="A1131">
        <v>30</v>
      </c>
      <c r="B1131" t="s">
        <v>2964</v>
      </c>
      <c r="C1131">
        <v>10</v>
      </c>
      <c r="D1131">
        <v>10</v>
      </c>
      <c r="E1131">
        <v>1029</v>
      </c>
      <c r="F1131" t="b">
        <v>1</v>
      </c>
      <c r="G1131">
        <v>43.432000000000002</v>
      </c>
      <c r="H1131">
        <v>27</v>
      </c>
      <c r="I1131">
        <v>2</v>
      </c>
      <c r="J1131">
        <v>0.54</v>
      </c>
      <c r="K1131" t="s">
        <v>3410</v>
      </c>
      <c r="L1131">
        <v>0</v>
      </c>
      <c r="N1131" t="s">
        <v>3411</v>
      </c>
      <c r="O1131" t="s">
        <v>3412</v>
      </c>
      <c r="P1131" t="s">
        <v>20</v>
      </c>
      <c r="Q1131">
        <f>(VALUE(LEFT(SUBSTITUTE(O1131,"T"," "),23)) - VALUE(LEFT(SUBSTITUTE(N1131,"T"," "),23))) * 86400</f>
        <v>68.845999916084111</v>
      </c>
      <c r="R1131">
        <f>I1131/G1131</f>
        <v>4.6048996131884325E-2</v>
      </c>
      <c r="S1131">
        <f>H1131/G1131</f>
        <v>0.6216614477804383</v>
      </c>
    </row>
    <row r="1132" spans="1:19" hidden="1" x14ac:dyDescent="0.2">
      <c r="A1132">
        <v>2</v>
      </c>
      <c r="B1132" t="s">
        <v>2476</v>
      </c>
      <c r="C1132">
        <v>-1</v>
      </c>
      <c r="D1132">
        <v>1</v>
      </c>
      <c r="E1132">
        <v>1005</v>
      </c>
      <c r="F1132" t="b">
        <v>1</v>
      </c>
      <c r="G1132">
        <v>66.647999999999996</v>
      </c>
      <c r="H1132">
        <v>27</v>
      </c>
      <c r="I1132">
        <v>12</v>
      </c>
      <c r="J1132">
        <v>8.58</v>
      </c>
      <c r="K1132" t="s">
        <v>2895</v>
      </c>
      <c r="L1132">
        <v>0</v>
      </c>
      <c r="N1132" t="s">
        <v>2896</v>
      </c>
      <c r="O1132" t="s">
        <v>2897</v>
      </c>
      <c r="Q1132">
        <f>(VALUE(LEFT(SUBSTITUTE(O1132,"T"," "),23)) - VALUE(LEFT(SUBSTITUTE(N1132,"T"," "),23))) * 86400</f>
        <v>307.38999999593943</v>
      </c>
      <c r="R1132">
        <f>I1132/G1132</f>
        <v>0.18005041411595249</v>
      </c>
      <c r="S1132">
        <f>H1132/G1132</f>
        <v>0.40511343176089309</v>
      </c>
    </row>
    <row r="1133" spans="1:19" hidden="1" x14ac:dyDescent="0.2">
      <c r="A1133">
        <v>83</v>
      </c>
      <c r="B1133" t="s">
        <v>21</v>
      </c>
      <c r="C1133">
        <v>-1</v>
      </c>
      <c r="D1133">
        <v>4</v>
      </c>
      <c r="E1133">
        <v>1025</v>
      </c>
      <c r="F1133" t="b">
        <v>1</v>
      </c>
      <c r="G1133">
        <v>67.275999999999996</v>
      </c>
      <c r="H1133">
        <v>27</v>
      </c>
      <c r="I1133">
        <v>5</v>
      </c>
      <c r="J1133">
        <v>3.48</v>
      </c>
      <c r="K1133" t="s">
        <v>1643</v>
      </c>
      <c r="L1133">
        <v>0</v>
      </c>
      <c r="N1133" t="s">
        <v>1644</v>
      </c>
      <c r="O1133" t="s">
        <v>1645</v>
      </c>
      <c r="P1133" t="s">
        <v>20</v>
      </c>
      <c r="Q1133">
        <f>(VALUE(LEFT(SUBSTITUTE(O1133,"T"," "),23)) - VALUE(LEFT(SUBSTITUTE(N1133,"T"," "),23))) * 86400</f>
        <v>235.57699997909367</v>
      </c>
      <c r="R1133">
        <f>I1133/G1133</f>
        <v>7.4320708722278375E-2</v>
      </c>
      <c r="S1133">
        <f>H1133/G1133</f>
        <v>0.40133182710030324</v>
      </c>
    </row>
    <row r="1134" spans="1:19" hidden="1" x14ac:dyDescent="0.2">
      <c r="A1134">
        <v>3</v>
      </c>
      <c r="B1134" t="s">
        <v>3414</v>
      </c>
      <c r="C1134">
        <v>0</v>
      </c>
      <c r="D1134">
        <v>1</v>
      </c>
      <c r="E1134">
        <v>1000</v>
      </c>
      <c r="F1134" t="b">
        <v>1</v>
      </c>
      <c r="G1134">
        <v>102.048</v>
      </c>
      <c r="H1134">
        <v>29</v>
      </c>
      <c r="I1134">
        <v>4</v>
      </c>
      <c r="J1134">
        <v>1.68</v>
      </c>
      <c r="K1134" t="s">
        <v>3421</v>
      </c>
      <c r="L1134">
        <v>0</v>
      </c>
      <c r="N1134" t="s">
        <v>3422</v>
      </c>
      <c r="O1134" t="s">
        <v>3423</v>
      </c>
      <c r="P1134" t="s">
        <v>20</v>
      </c>
      <c r="Q1134">
        <f>(VALUE(LEFT(SUBSTITUTE(O1134,"T"," "),23)) - VALUE(LEFT(SUBSTITUTE(N1134,"T"," "),23))) * 86400</f>
        <v>468.24900037609041</v>
      </c>
      <c r="R1134">
        <f>I1134/G1134</f>
        <v>3.9197240514267796E-2</v>
      </c>
      <c r="S1134">
        <f>H1134/G1134</f>
        <v>0.28417999372844149</v>
      </c>
    </row>
    <row r="1135" spans="1:19" hidden="1" x14ac:dyDescent="0.2">
      <c r="A1135">
        <v>4</v>
      </c>
      <c r="B1135" t="s">
        <v>25</v>
      </c>
      <c r="C1135">
        <v>0</v>
      </c>
      <c r="D1135">
        <v>1</v>
      </c>
      <c r="E1135">
        <v>1000</v>
      </c>
      <c r="F1135" t="b">
        <v>1</v>
      </c>
      <c r="G1135">
        <v>36.804000000000002</v>
      </c>
      <c r="H1135">
        <v>29</v>
      </c>
      <c r="I1135">
        <v>2</v>
      </c>
      <c r="J1135">
        <v>0.72</v>
      </c>
      <c r="K1135" t="s">
        <v>3424</v>
      </c>
      <c r="L1135">
        <v>0</v>
      </c>
      <c r="N1135" t="s">
        <v>3425</v>
      </c>
      <c r="O1135" t="s">
        <v>3426</v>
      </c>
      <c r="P1135" t="s">
        <v>20</v>
      </c>
      <c r="Q1135">
        <f>(VALUE(LEFT(SUBSTITUTE(O1135,"T"," "),23)) - VALUE(LEFT(SUBSTITUTE(N1135,"T"," "),23))) * 86400</f>
        <v>155.78800030052662</v>
      </c>
      <c r="R1135">
        <f>I1135/G1135</f>
        <v>5.4341919356591668E-2</v>
      </c>
      <c r="S1135">
        <f>H1135/G1135</f>
        <v>0.78795783067057923</v>
      </c>
    </row>
    <row r="1136" spans="1:19" x14ac:dyDescent="0.2">
      <c r="A1136">
        <v>5</v>
      </c>
      <c r="B1136" t="s">
        <v>3414</v>
      </c>
      <c r="C1136">
        <v>2</v>
      </c>
      <c r="D1136">
        <v>1</v>
      </c>
      <c r="E1136">
        <v>1000</v>
      </c>
      <c r="F1136" t="b">
        <v>1</v>
      </c>
      <c r="G1136">
        <v>86.9</v>
      </c>
      <c r="H1136">
        <v>31</v>
      </c>
      <c r="I1136">
        <v>3</v>
      </c>
      <c r="J1136">
        <v>0.66</v>
      </c>
      <c r="K1136" t="s">
        <v>3427</v>
      </c>
      <c r="L1136">
        <v>0</v>
      </c>
      <c r="N1136" t="s">
        <v>3428</v>
      </c>
      <c r="O1136" t="s">
        <v>3429</v>
      </c>
      <c r="P1136" t="s">
        <v>20</v>
      </c>
      <c r="Q1136">
        <f>(VALUE(LEFT(SUBSTITUTE(O1136,"T"," "),23)) - VALUE(LEFT(SUBSTITUTE(N1136,"T"," "),23))) * 86400</f>
        <v>380.66499985288829</v>
      </c>
      <c r="R1136">
        <f>I1136/G1136</f>
        <v>3.4522439585730723E-2</v>
      </c>
      <c r="S1136">
        <f>H1136/G1136</f>
        <v>0.35673187571921749</v>
      </c>
    </row>
    <row r="1137" spans="1:19" x14ac:dyDescent="0.2">
      <c r="A1137">
        <v>6</v>
      </c>
      <c r="B1137" t="s">
        <v>25</v>
      </c>
      <c r="C1137">
        <v>2</v>
      </c>
      <c r="D1137">
        <v>1</v>
      </c>
      <c r="E1137">
        <v>1000</v>
      </c>
      <c r="F1137" t="b">
        <v>1</v>
      </c>
      <c r="G1137">
        <v>48.628</v>
      </c>
      <c r="H1137">
        <v>28</v>
      </c>
      <c r="I1137">
        <v>4</v>
      </c>
      <c r="J1137">
        <v>1.32</v>
      </c>
      <c r="K1137" t="s">
        <v>3430</v>
      </c>
      <c r="L1137">
        <v>0</v>
      </c>
      <c r="N1137" t="s">
        <v>3431</v>
      </c>
      <c r="O1137" t="s">
        <v>3432</v>
      </c>
      <c r="P1137" t="s">
        <v>20</v>
      </c>
      <c r="Q1137">
        <f>(VALUE(LEFT(SUBSTITUTE(O1137,"T"," "),23)) - VALUE(LEFT(SUBSTITUTE(N1137,"T"," "),23))) * 86400</f>
        <v>193.28700040932745</v>
      </c>
      <c r="R1137">
        <f>I1137/G1137</f>
        <v>8.2257135806531212E-2</v>
      </c>
      <c r="S1137">
        <f>H1137/G1137</f>
        <v>0.57579995064571854</v>
      </c>
    </row>
    <row r="1138" spans="1:19" hidden="1" x14ac:dyDescent="0.2">
      <c r="A1138">
        <v>7</v>
      </c>
      <c r="B1138" t="s">
        <v>3414</v>
      </c>
      <c r="C1138">
        <v>5</v>
      </c>
      <c r="D1138">
        <v>1</v>
      </c>
      <c r="E1138">
        <v>1000</v>
      </c>
      <c r="F1138" t="b">
        <v>1</v>
      </c>
      <c r="G1138">
        <v>83.864000000000004</v>
      </c>
      <c r="H1138">
        <v>33</v>
      </c>
      <c r="I1138">
        <v>2</v>
      </c>
      <c r="J1138">
        <v>1.32</v>
      </c>
      <c r="K1138" t="s">
        <v>3433</v>
      </c>
      <c r="L1138">
        <v>0</v>
      </c>
      <c r="N1138" t="s">
        <v>3434</v>
      </c>
      <c r="O1138" t="s">
        <v>3435</v>
      </c>
      <c r="P1138" t="s">
        <v>20</v>
      </c>
      <c r="Q1138">
        <f>(VALUE(LEFT(SUBSTITUTE(O1138,"T"," "),23)) - VALUE(LEFT(SUBSTITUTE(N1138,"T"," "),23))) * 86400</f>
        <v>370.04800038412213</v>
      </c>
      <c r="R1138">
        <f>I1138/G1138</f>
        <v>2.3848135075837069E-2</v>
      </c>
      <c r="S1138">
        <f>H1138/G1138</f>
        <v>0.39349422875131163</v>
      </c>
    </row>
    <row r="1139" spans="1:19" hidden="1" x14ac:dyDescent="0.2">
      <c r="A1139">
        <v>8</v>
      </c>
      <c r="B1139" t="s">
        <v>25</v>
      </c>
      <c r="C1139">
        <v>5</v>
      </c>
      <c r="D1139">
        <v>1</v>
      </c>
      <c r="E1139">
        <v>1000</v>
      </c>
      <c r="F1139" t="b">
        <v>1</v>
      </c>
      <c r="G1139">
        <v>52.512</v>
      </c>
      <c r="H1139">
        <v>29</v>
      </c>
      <c r="I1139">
        <v>2</v>
      </c>
      <c r="J1139">
        <v>1.02</v>
      </c>
      <c r="K1139" t="s">
        <v>3436</v>
      </c>
      <c r="L1139">
        <v>0</v>
      </c>
      <c r="N1139" t="s">
        <v>3437</v>
      </c>
      <c r="O1139" t="s">
        <v>3438</v>
      </c>
      <c r="P1139" t="s">
        <v>20</v>
      </c>
      <c r="Q1139">
        <f>(VALUE(LEFT(SUBSTITUTE(O1139,"T"," "),23)) - VALUE(LEFT(SUBSTITUTE(N1139,"T"," "),23))) * 86400</f>
        <v>213.61500006169081</v>
      </c>
      <c r="R1139">
        <f>I1139/G1139</f>
        <v>3.8086532602071906E-2</v>
      </c>
      <c r="S1139">
        <f>H1139/G1139</f>
        <v>0.55225472273004261</v>
      </c>
    </row>
    <row r="1140" spans="1:19" hidden="1" x14ac:dyDescent="0.2">
      <c r="A1140">
        <v>9</v>
      </c>
      <c r="B1140" t="s">
        <v>3414</v>
      </c>
      <c r="C1140">
        <v>10</v>
      </c>
      <c r="D1140">
        <v>1</v>
      </c>
      <c r="E1140">
        <v>1000</v>
      </c>
      <c r="F1140" t="b">
        <v>1</v>
      </c>
      <c r="G1140">
        <v>54.508000000000003</v>
      </c>
      <c r="H1140">
        <v>29</v>
      </c>
      <c r="I1140">
        <v>4</v>
      </c>
      <c r="J1140">
        <v>2.2799999999999998</v>
      </c>
      <c r="K1140" t="s">
        <v>3439</v>
      </c>
      <c r="L1140">
        <v>0</v>
      </c>
      <c r="N1140" t="s">
        <v>3440</v>
      </c>
      <c r="O1140" t="s">
        <v>3441</v>
      </c>
      <c r="P1140" t="s">
        <v>20</v>
      </c>
      <c r="Q1140">
        <f>(VALUE(LEFT(SUBSTITUTE(O1140,"T"," "),23)) - VALUE(LEFT(SUBSTITUTE(N1140,"T"," "),23))) * 86400</f>
        <v>242.40799981635064</v>
      </c>
      <c r="R1140">
        <f>I1140/G1140</f>
        <v>7.3383723490129879E-2</v>
      </c>
      <c r="S1140">
        <f>H1140/G1140</f>
        <v>0.5320319953034417</v>
      </c>
    </row>
    <row r="1141" spans="1:19" hidden="1" x14ac:dyDescent="0.2">
      <c r="A1141">
        <v>10</v>
      </c>
      <c r="B1141" t="s">
        <v>25</v>
      </c>
      <c r="C1141">
        <v>10</v>
      </c>
      <c r="D1141">
        <v>1</v>
      </c>
      <c r="E1141">
        <v>1000</v>
      </c>
      <c r="F1141" t="b">
        <v>1</v>
      </c>
      <c r="G1141">
        <v>39.631999999999998</v>
      </c>
      <c r="H1141">
        <v>30</v>
      </c>
      <c r="I1141">
        <v>3</v>
      </c>
      <c r="J1141">
        <v>0.18</v>
      </c>
      <c r="K1141" t="s">
        <v>3442</v>
      </c>
      <c r="L1141">
        <v>0</v>
      </c>
      <c r="N1141" t="s">
        <v>3443</v>
      </c>
      <c r="O1141" t="s">
        <v>3444</v>
      </c>
      <c r="P1141" t="s">
        <v>20</v>
      </c>
      <c r="Q1141">
        <f>(VALUE(LEFT(SUBSTITUTE(O1141,"T"," "),23)) - VALUE(LEFT(SUBSTITUTE(N1141,"T"," "),23))) * 86400</f>
        <v>158.72500031255186</v>
      </c>
      <c r="R1141">
        <f>I1141/G1141</f>
        <v>7.5696406943883729E-2</v>
      </c>
      <c r="S1141">
        <f>H1141/G1141</f>
        <v>0.75696406943883732</v>
      </c>
    </row>
    <row r="1142" spans="1:19" hidden="1" x14ac:dyDescent="0.2">
      <c r="A1142">
        <v>2</v>
      </c>
      <c r="B1142" t="s">
        <v>21</v>
      </c>
      <c r="C1142">
        <v>-1</v>
      </c>
      <c r="D1142">
        <v>1</v>
      </c>
      <c r="E1142">
        <v>1010</v>
      </c>
      <c r="F1142" t="b">
        <v>1</v>
      </c>
      <c r="G1142">
        <v>73.02</v>
      </c>
      <c r="H1142">
        <v>29</v>
      </c>
      <c r="I1142">
        <v>6</v>
      </c>
      <c r="J1142">
        <v>5.88</v>
      </c>
      <c r="K1142" t="s">
        <v>113</v>
      </c>
      <c r="L1142">
        <v>0</v>
      </c>
      <c r="N1142" t="s">
        <v>114</v>
      </c>
      <c r="O1142" t="s">
        <v>115</v>
      </c>
      <c r="P1142" t="s">
        <v>20</v>
      </c>
      <c r="Q1142">
        <f>(VALUE(LEFT(SUBSTITUTE(O1142,"T"," "),23)) - VALUE(LEFT(SUBSTITUTE(N1142,"T"," "),23))) * 86400</f>
        <v>294.36299989465624</v>
      </c>
      <c r="R1142">
        <f>I1142/G1142</f>
        <v>8.2169268693508629E-2</v>
      </c>
      <c r="S1142">
        <f>H1142/G1142</f>
        <v>0.39715146535195839</v>
      </c>
    </row>
    <row r="1143" spans="1:19" hidden="1" x14ac:dyDescent="0.2">
      <c r="A1143">
        <v>25</v>
      </c>
      <c r="B1143" t="s">
        <v>2531</v>
      </c>
      <c r="C1143">
        <v>-1</v>
      </c>
      <c r="D1143">
        <v>4</v>
      </c>
      <c r="E1143">
        <v>1013</v>
      </c>
      <c r="F1143" t="b">
        <v>1</v>
      </c>
      <c r="G1143">
        <v>55.552</v>
      </c>
      <c r="H1143">
        <v>22</v>
      </c>
      <c r="I1143">
        <v>6</v>
      </c>
      <c r="J1143">
        <v>4.2</v>
      </c>
      <c r="K1143" t="s">
        <v>2724</v>
      </c>
      <c r="L1143">
        <v>0</v>
      </c>
      <c r="N1143" t="s">
        <v>2725</v>
      </c>
      <c r="O1143" t="s">
        <v>2726</v>
      </c>
      <c r="P1143" t="s">
        <v>20</v>
      </c>
      <c r="Q1143">
        <f>(VALUE(LEFT(SUBSTITUTE(O1143,"T"," "),23)) - VALUE(LEFT(SUBSTITUTE(N1143,"T"," "),23))) * 86400</f>
        <v>305.06399986334145</v>
      </c>
      <c r="R1143">
        <f>I1143/G1143</f>
        <v>0.10800691244239631</v>
      </c>
      <c r="S1143">
        <f>H1143/G1143</f>
        <v>0.39602534562211983</v>
      </c>
    </row>
    <row r="1144" spans="1:19" hidden="1" x14ac:dyDescent="0.2">
      <c r="A1144">
        <v>13</v>
      </c>
      <c r="B1144" t="s">
        <v>3414</v>
      </c>
      <c r="C1144">
        <v>0</v>
      </c>
      <c r="D1144">
        <v>2</v>
      </c>
      <c r="E1144">
        <v>1001</v>
      </c>
      <c r="F1144" t="b">
        <v>1</v>
      </c>
      <c r="G1144">
        <v>49.24</v>
      </c>
      <c r="H1144">
        <v>23</v>
      </c>
      <c r="I1144">
        <v>1</v>
      </c>
      <c r="J1144">
        <v>0.06</v>
      </c>
      <c r="K1144" t="s">
        <v>3451</v>
      </c>
      <c r="L1144">
        <v>0</v>
      </c>
      <c r="N1144" t="s">
        <v>3452</v>
      </c>
      <c r="O1144" t="s">
        <v>3453</v>
      </c>
      <c r="P1144" t="s">
        <v>20</v>
      </c>
      <c r="Q1144">
        <f>(VALUE(LEFT(SUBSTITUTE(O1144,"T"," "),23)) - VALUE(LEFT(SUBSTITUTE(N1144,"T"," "),23))) * 86400</f>
        <v>223.16499981097877</v>
      </c>
      <c r="R1144">
        <f>I1144/G1144</f>
        <v>2.0308692120227456E-2</v>
      </c>
      <c r="S1144">
        <f>H1144/G1144</f>
        <v>0.46709991876523149</v>
      </c>
    </row>
    <row r="1145" spans="1:19" hidden="1" x14ac:dyDescent="0.2">
      <c r="A1145">
        <v>14</v>
      </c>
      <c r="B1145" t="s">
        <v>25</v>
      </c>
      <c r="C1145">
        <v>0</v>
      </c>
      <c r="D1145">
        <v>2</v>
      </c>
      <c r="E1145">
        <v>1001</v>
      </c>
      <c r="F1145" t="b">
        <v>1</v>
      </c>
      <c r="G1145">
        <v>32.292000000000002</v>
      </c>
      <c r="H1145">
        <v>28</v>
      </c>
      <c r="I1145">
        <v>0</v>
      </c>
      <c r="J1145">
        <v>0</v>
      </c>
      <c r="K1145" t="s">
        <v>3454</v>
      </c>
      <c r="L1145">
        <v>0</v>
      </c>
      <c r="N1145" t="s">
        <v>3455</v>
      </c>
      <c r="O1145" t="s">
        <v>3456</v>
      </c>
      <c r="P1145" t="s">
        <v>20</v>
      </c>
      <c r="Q1145">
        <f>(VALUE(LEFT(SUBSTITUTE(O1145,"T"," "),23)) - VALUE(LEFT(SUBSTITUTE(N1145,"T"," "),23))) * 86400</f>
        <v>134.04099997133017</v>
      </c>
      <c r="R1145">
        <f>I1145/G1145</f>
        <v>0</v>
      </c>
      <c r="S1145">
        <f>H1145/G1145</f>
        <v>0.86708782360956271</v>
      </c>
    </row>
    <row r="1146" spans="1:19" x14ac:dyDescent="0.2">
      <c r="A1146">
        <v>15</v>
      </c>
      <c r="B1146" t="s">
        <v>3414</v>
      </c>
      <c r="C1146">
        <v>2</v>
      </c>
      <c r="D1146">
        <v>2</v>
      </c>
      <c r="E1146">
        <v>1001</v>
      </c>
      <c r="F1146" t="b">
        <v>1</v>
      </c>
      <c r="G1146">
        <v>70.328000000000003</v>
      </c>
      <c r="H1146">
        <v>25</v>
      </c>
      <c r="I1146">
        <v>2</v>
      </c>
      <c r="J1146">
        <v>0.24</v>
      </c>
      <c r="K1146" t="s">
        <v>3457</v>
      </c>
      <c r="L1146">
        <v>0</v>
      </c>
      <c r="N1146" t="s">
        <v>3458</v>
      </c>
      <c r="O1146" t="s">
        <v>3459</v>
      </c>
      <c r="P1146" t="s">
        <v>20</v>
      </c>
      <c r="Q1146">
        <f>(VALUE(LEFT(SUBSTITUTE(O1146,"T"," "),23)) - VALUE(LEFT(SUBSTITUTE(N1146,"T"," "),23))) * 86400</f>
        <v>265.61000004876405</v>
      </c>
      <c r="R1146">
        <f>I1146/G1146</f>
        <v>2.8438175406665909E-2</v>
      </c>
      <c r="S1146">
        <f>H1146/G1146</f>
        <v>0.35547719258332383</v>
      </c>
    </row>
    <row r="1147" spans="1:19" x14ac:dyDescent="0.2">
      <c r="A1147">
        <v>16</v>
      </c>
      <c r="B1147" t="s">
        <v>25</v>
      </c>
      <c r="C1147">
        <v>2</v>
      </c>
      <c r="D1147">
        <v>2</v>
      </c>
      <c r="E1147">
        <v>1001</v>
      </c>
      <c r="F1147" t="b">
        <v>1</v>
      </c>
      <c r="G1147">
        <v>49.32</v>
      </c>
      <c r="H1147">
        <v>32</v>
      </c>
      <c r="I1147">
        <v>0</v>
      </c>
      <c r="J1147">
        <v>0</v>
      </c>
      <c r="K1147" t="s">
        <v>3460</v>
      </c>
      <c r="L1147">
        <v>0</v>
      </c>
      <c r="N1147" t="s">
        <v>3461</v>
      </c>
      <c r="O1147" t="s">
        <v>3462</v>
      </c>
      <c r="P1147" t="s">
        <v>20</v>
      </c>
      <c r="Q1147">
        <f>(VALUE(LEFT(SUBSTITUTE(O1147,"T"," "),23)) - VALUE(LEFT(SUBSTITUTE(N1147,"T"," "),23))) * 86400</f>
        <v>201.50399969425052</v>
      </c>
      <c r="R1147">
        <f>I1147/G1147</f>
        <v>0</v>
      </c>
      <c r="S1147">
        <f>H1147/G1147</f>
        <v>0.64882400648824001</v>
      </c>
    </row>
    <row r="1148" spans="1:19" hidden="1" x14ac:dyDescent="0.2">
      <c r="A1148">
        <v>17</v>
      </c>
      <c r="B1148" t="s">
        <v>3414</v>
      </c>
      <c r="C1148">
        <v>5</v>
      </c>
      <c r="D1148">
        <v>2</v>
      </c>
      <c r="E1148">
        <v>1001</v>
      </c>
      <c r="F1148" t="b">
        <v>1</v>
      </c>
      <c r="G1148">
        <v>54.468000000000004</v>
      </c>
      <c r="H1148">
        <v>23</v>
      </c>
      <c r="I1148">
        <v>4</v>
      </c>
      <c r="J1148">
        <v>0.78</v>
      </c>
      <c r="K1148" t="s">
        <v>3463</v>
      </c>
      <c r="L1148">
        <v>0</v>
      </c>
      <c r="N1148" t="s">
        <v>3464</v>
      </c>
      <c r="O1148" t="s">
        <v>3465</v>
      </c>
      <c r="P1148" t="s">
        <v>20</v>
      </c>
      <c r="Q1148">
        <f>(VALUE(LEFT(SUBSTITUTE(O1148,"T"," "),23)) - VALUE(LEFT(SUBSTITUTE(N1148,"T"," "),23))) * 86400</f>
        <v>244.78499984834343</v>
      </c>
      <c r="R1148">
        <f>I1148/G1148</f>
        <v>7.3437614746273042E-2</v>
      </c>
      <c r="S1148">
        <f>H1148/G1148</f>
        <v>0.42226628479106998</v>
      </c>
    </row>
    <row r="1149" spans="1:19" hidden="1" x14ac:dyDescent="0.2">
      <c r="A1149">
        <v>18</v>
      </c>
      <c r="B1149" t="s">
        <v>25</v>
      </c>
      <c r="C1149">
        <v>5</v>
      </c>
      <c r="D1149">
        <v>2</v>
      </c>
      <c r="E1149">
        <v>1001</v>
      </c>
      <c r="F1149" t="b">
        <v>1</v>
      </c>
      <c r="G1149">
        <v>62.636000000000003</v>
      </c>
      <c r="H1149">
        <v>31</v>
      </c>
      <c r="I1149">
        <v>1</v>
      </c>
      <c r="J1149">
        <v>0.12</v>
      </c>
      <c r="K1149" t="s">
        <v>3466</v>
      </c>
      <c r="L1149">
        <v>0</v>
      </c>
      <c r="N1149" t="s">
        <v>3467</v>
      </c>
      <c r="O1149" t="s">
        <v>3468</v>
      </c>
      <c r="P1149" t="s">
        <v>20</v>
      </c>
      <c r="Q1149">
        <f>(VALUE(LEFT(SUBSTITUTE(O1149,"T"," "),23)) - VALUE(LEFT(SUBSTITUTE(N1149,"T"," "),23))) * 86400</f>
        <v>248.11499963980168</v>
      </c>
      <c r="R1149">
        <f>I1149/G1149</f>
        <v>1.5965259595121017E-2</v>
      </c>
      <c r="S1149">
        <f>H1149/G1149</f>
        <v>0.49492304744875149</v>
      </c>
    </row>
    <row r="1150" spans="1:19" hidden="1" x14ac:dyDescent="0.2">
      <c r="A1150">
        <v>19</v>
      </c>
      <c r="B1150" t="s">
        <v>3414</v>
      </c>
      <c r="C1150">
        <v>10</v>
      </c>
      <c r="D1150">
        <v>2</v>
      </c>
      <c r="E1150">
        <v>1001</v>
      </c>
      <c r="F1150" t="b">
        <v>1</v>
      </c>
      <c r="G1150">
        <v>39.607999999999997</v>
      </c>
      <c r="H1150">
        <v>25</v>
      </c>
      <c r="I1150">
        <v>3</v>
      </c>
      <c r="J1150">
        <v>0.42</v>
      </c>
      <c r="K1150" t="s">
        <v>3469</v>
      </c>
      <c r="L1150">
        <v>0</v>
      </c>
      <c r="N1150" t="s">
        <v>3470</v>
      </c>
      <c r="O1150" t="s">
        <v>3471</v>
      </c>
      <c r="P1150" t="s">
        <v>20</v>
      </c>
      <c r="Q1150">
        <f>(VALUE(LEFT(SUBSTITUTE(O1150,"T"," "),23)) - VALUE(LEFT(SUBSTITUTE(N1150,"T"," "),23))) * 86400</f>
        <v>248.89299971982837</v>
      </c>
      <c r="R1150">
        <f>I1150/G1150</f>
        <v>7.5742274288022632E-2</v>
      </c>
      <c r="S1150">
        <f>H1150/G1150</f>
        <v>0.63118561906685522</v>
      </c>
    </row>
    <row r="1151" spans="1:19" hidden="1" x14ac:dyDescent="0.2">
      <c r="A1151">
        <v>20</v>
      </c>
      <c r="B1151" t="s">
        <v>25</v>
      </c>
      <c r="C1151">
        <v>10</v>
      </c>
      <c r="D1151">
        <v>2</v>
      </c>
      <c r="E1151">
        <v>1001</v>
      </c>
      <c r="F1151" t="b">
        <v>1</v>
      </c>
      <c r="G1151">
        <v>37.176000000000002</v>
      </c>
      <c r="H1151">
        <v>29</v>
      </c>
      <c r="I1151">
        <v>1</v>
      </c>
      <c r="J1151">
        <v>0.06</v>
      </c>
      <c r="K1151" t="s">
        <v>3472</v>
      </c>
      <c r="L1151">
        <v>0</v>
      </c>
      <c r="N1151" t="s">
        <v>3473</v>
      </c>
      <c r="O1151" t="s">
        <v>3474</v>
      </c>
      <c r="P1151" t="s">
        <v>20</v>
      </c>
      <c r="Q1151">
        <f>(VALUE(LEFT(SUBSTITUTE(O1151,"T"," "),23)) - VALUE(LEFT(SUBSTITUTE(N1151,"T"," "),23))) * 86400</f>
        <v>155.28399981558323</v>
      </c>
      <c r="R1151">
        <f>I1151/G1151</f>
        <v>2.6899074671831287E-2</v>
      </c>
      <c r="S1151">
        <f>H1151/G1151</f>
        <v>0.78007316548310734</v>
      </c>
    </row>
    <row r="1152" spans="1:19" hidden="1" x14ac:dyDescent="0.2">
      <c r="A1152">
        <v>5</v>
      </c>
      <c r="B1152" t="s">
        <v>2531</v>
      </c>
      <c r="C1152">
        <v>-1</v>
      </c>
      <c r="D1152">
        <v>2</v>
      </c>
      <c r="E1152">
        <v>1016</v>
      </c>
      <c r="F1152" t="b">
        <v>1</v>
      </c>
      <c r="G1152">
        <v>66.56</v>
      </c>
      <c r="H1152">
        <v>26</v>
      </c>
      <c r="I1152">
        <v>8</v>
      </c>
      <c r="J1152">
        <v>10.62</v>
      </c>
      <c r="K1152" t="s">
        <v>2928</v>
      </c>
      <c r="L1152">
        <v>0</v>
      </c>
      <c r="N1152" t="s">
        <v>2929</v>
      </c>
      <c r="O1152" t="s">
        <v>2930</v>
      </c>
      <c r="Q1152">
        <f>(VALUE(LEFT(SUBSTITUTE(O1152,"T"," "),23)) - VALUE(LEFT(SUBSTITUTE(N1152,"T"," "),23))) * 86400</f>
        <v>281.62799994461238</v>
      </c>
      <c r="R1152">
        <f>I1152/G1152</f>
        <v>0.12019230769230768</v>
      </c>
      <c r="S1152">
        <f>H1152/G1152</f>
        <v>0.390625</v>
      </c>
    </row>
    <row r="1153" spans="1:19" hidden="1" x14ac:dyDescent="0.2">
      <c r="A1153">
        <v>56</v>
      </c>
      <c r="B1153" t="s">
        <v>21</v>
      </c>
      <c r="C1153">
        <v>-1</v>
      </c>
      <c r="D1153">
        <v>3</v>
      </c>
      <c r="E1153">
        <v>1024</v>
      </c>
      <c r="F1153" t="b">
        <v>1</v>
      </c>
      <c r="G1153">
        <v>74.876000000000005</v>
      </c>
      <c r="H1153">
        <v>29</v>
      </c>
      <c r="I1153">
        <v>7</v>
      </c>
      <c r="J1153">
        <v>5.58</v>
      </c>
      <c r="K1153" t="s">
        <v>1562</v>
      </c>
      <c r="L1153">
        <v>0</v>
      </c>
      <c r="N1153" t="s">
        <v>1563</v>
      </c>
      <c r="O1153" t="s">
        <v>1564</v>
      </c>
      <c r="P1153" t="s">
        <v>20</v>
      </c>
      <c r="Q1153">
        <f>(VALUE(LEFT(SUBSTITUTE(O1153,"T"," "),23)) - VALUE(LEFT(SUBSTITUTE(N1153,"T"," "),23))) * 86400</f>
        <v>313.41200012248009</v>
      </c>
      <c r="R1153">
        <f>I1153/G1153</f>
        <v>9.3487899994657828E-2</v>
      </c>
      <c r="S1153">
        <f>H1153/G1153</f>
        <v>0.38730701426358244</v>
      </c>
    </row>
    <row r="1154" spans="1:19" hidden="1" x14ac:dyDescent="0.2">
      <c r="A1154">
        <v>23</v>
      </c>
      <c r="B1154" t="s">
        <v>3414</v>
      </c>
      <c r="C1154">
        <v>0</v>
      </c>
      <c r="D1154">
        <v>3</v>
      </c>
      <c r="E1154">
        <v>1002</v>
      </c>
      <c r="F1154" t="b">
        <v>1</v>
      </c>
      <c r="G1154">
        <v>93.828000000000003</v>
      </c>
      <c r="H1154">
        <v>26</v>
      </c>
      <c r="I1154">
        <v>3</v>
      </c>
      <c r="J1154">
        <v>2.76</v>
      </c>
      <c r="K1154" t="s">
        <v>3481</v>
      </c>
      <c r="L1154">
        <v>0</v>
      </c>
      <c r="N1154" t="s">
        <v>3482</v>
      </c>
      <c r="O1154" t="s">
        <v>3483</v>
      </c>
      <c r="P1154" t="s">
        <v>20</v>
      </c>
      <c r="Q1154">
        <f>(VALUE(LEFT(SUBSTITUTE(O1154,"T"," "),23)) - VALUE(LEFT(SUBSTITUTE(N1154,"T"," "),23))) * 86400</f>
        <v>410.51800001878291</v>
      </c>
      <c r="R1154">
        <f>I1154/G1154</f>
        <v>3.1973398132753551E-2</v>
      </c>
      <c r="S1154">
        <f>H1154/G1154</f>
        <v>0.27710278381719744</v>
      </c>
    </row>
    <row r="1155" spans="1:19" hidden="1" x14ac:dyDescent="0.2">
      <c r="A1155">
        <v>24</v>
      </c>
      <c r="B1155" t="s">
        <v>25</v>
      </c>
      <c r="C1155">
        <v>0</v>
      </c>
      <c r="D1155">
        <v>3</v>
      </c>
      <c r="E1155">
        <v>1002</v>
      </c>
      <c r="F1155" t="b">
        <v>1</v>
      </c>
      <c r="G1155">
        <v>53.192</v>
      </c>
      <c r="H1155">
        <v>26</v>
      </c>
      <c r="I1155">
        <v>3</v>
      </c>
      <c r="J1155">
        <v>2.2799999999999998</v>
      </c>
      <c r="K1155" t="s">
        <v>3484</v>
      </c>
      <c r="L1155">
        <v>0</v>
      </c>
      <c r="N1155" t="s">
        <v>3485</v>
      </c>
      <c r="O1155" t="s">
        <v>3486</v>
      </c>
      <c r="P1155" t="s">
        <v>20</v>
      </c>
      <c r="Q1155">
        <f>(VALUE(LEFT(SUBSTITUTE(O1155,"T"," "),23)) - VALUE(LEFT(SUBSTITUTE(N1155,"T"," "),23))) * 86400</f>
        <v>210.72799977846444</v>
      </c>
      <c r="R1155">
        <f>I1155/G1155</f>
        <v>5.6399458565197777E-2</v>
      </c>
      <c r="S1155">
        <f>H1155/G1155</f>
        <v>0.48879530756504735</v>
      </c>
    </row>
    <row r="1156" spans="1:19" x14ac:dyDescent="0.2">
      <c r="A1156">
        <v>25</v>
      </c>
      <c r="B1156" t="s">
        <v>3414</v>
      </c>
      <c r="C1156">
        <v>2</v>
      </c>
      <c r="D1156">
        <v>3</v>
      </c>
      <c r="E1156">
        <v>1002</v>
      </c>
      <c r="F1156" t="b">
        <v>1</v>
      </c>
      <c r="G1156">
        <v>52.52</v>
      </c>
      <c r="H1156">
        <v>27</v>
      </c>
      <c r="I1156">
        <v>1</v>
      </c>
      <c r="J1156">
        <v>0.12</v>
      </c>
      <c r="K1156" t="s">
        <v>3487</v>
      </c>
      <c r="L1156">
        <v>0</v>
      </c>
      <c r="N1156" t="s">
        <v>3488</v>
      </c>
      <c r="O1156" t="s">
        <v>3489</v>
      </c>
      <c r="P1156" t="s">
        <v>20</v>
      </c>
      <c r="Q1156">
        <f>(VALUE(LEFT(SUBSTITUTE(O1156,"T"," "),23)) - VALUE(LEFT(SUBSTITUTE(N1156,"T"," "),23))) * 86400</f>
        <v>248.46999985165894</v>
      </c>
      <c r="R1156">
        <f>I1156/G1156</f>
        <v>1.9040365575019039E-2</v>
      </c>
      <c r="S1156">
        <f>H1156/G1156</f>
        <v>0.51408987052551403</v>
      </c>
    </row>
    <row r="1157" spans="1:19" x14ac:dyDescent="0.2">
      <c r="A1157">
        <v>26</v>
      </c>
      <c r="B1157" t="s">
        <v>25</v>
      </c>
      <c r="C1157">
        <v>2</v>
      </c>
      <c r="D1157">
        <v>3</v>
      </c>
      <c r="E1157">
        <v>1002</v>
      </c>
      <c r="F1157" t="b">
        <v>1</v>
      </c>
      <c r="G1157">
        <v>39.223999999999997</v>
      </c>
      <c r="H1157">
        <v>26</v>
      </c>
      <c r="I1157">
        <v>1</v>
      </c>
      <c r="J1157">
        <v>0.12</v>
      </c>
      <c r="K1157" t="s">
        <v>3490</v>
      </c>
      <c r="L1157">
        <v>0</v>
      </c>
      <c r="N1157" t="s">
        <v>3491</v>
      </c>
      <c r="O1157" t="s">
        <v>3492</v>
      </c>
      <c r="P1157" t="s">
        <v>20</v>
      </c>
      <c r="Q1157">
        <f>(VALUE(LEFT(SUBSTITUTE(O1157,"T"," "),23)) - VALUE(LEFT(SUBSTITUTE(N1157,"T"," "),23))) * 86400</f>
        <v>160.0999997695908</v>
      </c>
      <c r="R1157">
        <f>I1157/G1157</f>
        <v>2.5494595145829087E-2</v>
      </c>
      <c r="S1157">
        <f>H1157/G1157</f>
        <v>0.6628594737915563</v>
      </c>
    </row>
    <row r="1158" spans="1:19" hidden="1" x14ac:dyDescent="0.2">
      <c r="A1158">
        <v>27</v>
      </c>
      <c r="B1158" t="s">
        <v>3414</v>
      </c>
      <c r="C1158">
        <v>5</v>
      </c>
      <c r="D1158">
        <v>3</v>
      </c>
      <c r="E1158">
        <v>1002</v>
      </c>
      <c r="F1158" t="b">
        <v>1</v>
      </c>
      <c r="G1158">
        <v>49.591999999999999</v>
      </c>
      <c r="H1158">
        <v>26</v>
      </c>
      <c r="I1158">
        <v>3</v>
      </c>
      <c r="J1158">
        <v>0.66</v>
      </c>
      <c r="K1158" t="s">
        <v>3493</v>
      </c>
      <c r="L1158">
        <v>0</v>
      </c>
      <c r="N1158" t="s">
        <v>3494</v>
      </c>
      <c r="O1158" t="s">
        <v>3495</v>
      </c>
      <c r="P1158" t="s">
        <v>20</v>
      </c>
      <c r="Q1158">
        <f>(VALUE(LEFT(SUBSTITUTE(O1158,"T"," "),23)) - VALUE(LEFT(SUBSTITUTE(N1158,"T"," "),23))) * 86400</f>
        <v>221.15799940656871</v>
      </c>
      <c r="R1158">
        <f>I1158/G1158</f>
        <v>6.049362800451686E-2</v>
      </c>
      <c r="S1158">
        <f>H1158/G1158</f>
        <v>0.52427810937247943</v>
      </c>
    </row>
    <row r="1159" spans="1:19" hidden="1" x14ac:dyDescent="0.2">
      <c r="A1159">
        <v>28</v>
      </c>
      <c r="B1159" t="s">
        <v>25</v>
      </c>
      <c r="C1159">
        <v>5</v>
      </c>
      <c r="D1159">
        <v>3</v>
      </c>
      <c r="E1159">
        <v>1002</v>
      </c>
      <c r="F1159" t="b">
        <v>1</v>
      </c>
      <c r="G1159">
        <v>47.951999999999998</v>
      </c>
      <c r="H1159">
        <v>29</v>
      </c>
      <c r="I1159">
        <v>1</v>
      </c>
      <c r="J1159">
        <v>0.24</v>
      </c>
      <c r="K1159" t="s">
        <v>3496</v>
      </c>
      <c r="L1159">
        <v>0</v>
      </c>
      <c r="N1159" t="s">
        <v>3497</v>
      </c>
      <c r="O1159" t="s">
        <v>3498</v>
      </c>
      <c r="P1159" t="s">
        <v>20</v>
      </c>
      <c r="Q1159">
        <f>(VALUE(LEFT(SUBSTITUTE(O1159,"T"," "),23)) - VALUE(LEFT(SUBSTITUTE(N1159,"T"," "),23))) * 86400</f>
        <v>195.80299963708967</v>
      </c>
      <c r="R1159">
        <f>I1159/G1159</f>
        <v>2.0854187520854189E-2</v>
      </c>
      <c r="S1159">
        <f>H1159/G1159</f>
        <v>0.60477143810477141</v>
      </c>
    </row>
    <row r="1160" spans="1:19" hidden="1" x14ac:dyDescent="0.2">
      <c r="A1160">
        <v>29</v>
      </c>
      <c r="B1160" t="s">
        <v>3414</v>
      </c>
      <c r="C1160">
        <v>10</v>
      </c>
      <c r="D1160">
        <v>3</v>
      </c>
      <c r="E1160">
        <v>1002</v>
      </c>
      <c r="F1160" t="b">
        <v>1</v>
      </c>
      <c r="G1160">
        <v>133.584</v>
      </c>
      <c r="H1160">
        <v>25</v>
      </c>
      <c r="I1160">
        <v>6</v>
      </c>
      <c r="J1160">
        <v>1.26</v>
      </c>
      <c r="K1160" t="s">
        <v>3499</v>
      </c>
      <c r="L1160">
        <v>0</v>
      </c>
      <c r="N1160" t="s">
        <v>3500</v>
      </c>
      <c r="O1160" t="s">
        <v>3501</v>
      </c>
      <c r="P1160" t="s">
        <v>20</v>
      </c>
      <c r="Q1160">
        <f>(VALUE(LEFT(SUBSTITUTE(O1160,"T"," "),23)) - VALUE(LEFT(SUBSTITUTE(N1160,"T"," "),23))) * 86400</f>
        <v>573.12700033653527</v>
      </c>
      <c r="R1160">
        <f>I1160/G1160</f>
        <v>4.4915558749550846E-2</v>
      </c>
      <c r="S1160">
        <f>H1160/G1160</f>
        <v>0.18714816145646185</v>
      </c>
    </row>
    <row r="1161" spans="1:19" hidden="1" x14ac:dyDescent="0.2">
      <c r="A1161">
        <v>30</v>
      </c>
      <c r="B1161" t="s">
        <v>25</v>
      </c>
      <c r="C1161">
        <v>10</v>
      </c>
      <c r="D1161">
        <v>3</v>
      </c>
      <c r="E1161">
        <v>1002</v>
      </c>
      <c r="F1161" t="b">
        <v>1</v>
      </c>
      <c r="G1161">
        <v>44.152000000000001</v>
      </c>
      <c r="H1161">
        <v>28</v>
      </c>
      <c r="I1161">
        <v>3</v>
      </c>
      <c r="J1161">
        <v>0.54</v>
      </c>
      <c r="K1161" t="s">
        <v>3502</v>
      </c>
      <c r="L1161">
        <v>0</v>
      </c>
      <c r="N1161" t="s">
        <v>3503</v>
      </c>
      <c r="O1161" t="s">
        <v>3504</v>
      </c>
      <c r="P1161" t="s">
        <v>20</v>
      </c>
      <c r="Q1161">
        <f>(VALUE(LEFT(SUBSTITUTE(O1161,"T"," "),23)) - VALUE(LEFT(SUBSTITUTE(N1161,"T"," "),23))) * 86400</f>
        <v>178.71800002176315</v>
      </c>
      <c r="R1161">
        <f>I1161/G1161</f>
        <v>6.7947091864468193E-2</v>
      </c>
      <c r="S1161">
        <f>H1161/G1161</f>
        <v>0.63417285740170315</v>
      </c>
    </row>
    <row r="1162" spans="1:19" hidden="1" x14ac:dyDescent="0.2">
      <c r="A1162">
        <v>1</v>
      </c>
      <c r="B1162" t="s">
        <v>16</v>
      </c>
      <c r="C1162">
        <v>-1</v>
      </c>
      <c r="D1162">
        <v>1</v>
      </c>
      <c r="E1162">
        <v>1017</v>
      </c>
      <c r="F1162" t="b">
        <v>1</v>
      </c>
      <c r="G1162">
        <v>73.236000000000004</v>
      </c>
      <c r="H1162">
        <v>28</v>
      </c>
      <c r="I1162">
        <v>5</v>
      </c>
      <c r="J1162">
        <v>6.78</v>
      </c>
      <c r="K1162" t="s">
        <v>1381</v>
      </c>
      <c r="L1162">
        <v>0</v>
      </c>
      <c r="N1162" t="s">
        <v>2007</v>
      </c>
      <c r="O1162" t="s">
        <v>2008</v>
      </c>
      <c r="P1162" t="s">
        <v>20</v>
      </c>
      <c r="Q1162">
        <f>(VALUE(LEFT(SUBSTITUTE(O1162,"T"," "),23)) - VALUE(LEFT(SUBSTITUTE(N1162,"T"," "),23))) * 86400</f>
        <v>280.9929997427389</v>
      </c>
      <c r="R1162">
        <f>I1162/G1162</f>
        <v>6.827243432191818E-2</v>
      </c>
      <c r="S1162">
        <f>H1162/G1162</f>
        <v>0.38232563220274179</v>
      </c>
    </row>
    <row r="1163" spans="1:19" hidden="1" x14ac:dyDescent="0.2">
      <c r="A1163">
        <v>2</v>
      </c>
      <c r="B1163" t="s">
        <v>21</v>
      </c>
      <c r="C1163">
        <v>-1</v>
      </c>
      <c r="D1163">
        <v>1</v>
      </c>
      <c r="E1163">
        <v>1020</v>
      </c>
      <c r="F1163" t="b">
        <v>1</v>
      </c>
      <c r="G1163">
        <v>73.668000000000006</v>
      </c>
      <c r="H1163">
        <v>28</v>
      </c>
      <c r="I1163">
        <v>8</v>
      </c>
      <c r="J1163">
        <v>9.84</v>
      </c>
      <c r="K1163" t="s">
        <v>203</v>
      </c>
      <c r="L1163">
        <v>0</v>
      </c>
      <c r="N1163" t="s">
        <v>204</v>
      </c>
      <c r="O1163" t="s">
        <v>205</v>
      </c>
      <c r="P1163" t="s">
        <v>20</v>
      </c>
      <c r="Q1163">
        <f>(VALUE(LEFT(SUBSTITUTE(O1163,"T"," "),23)) - VALUE(LEFT(SUBSTITUTE(N1163,"T"," "),23))) * 86400</f>
        <v>298.78299955744296</v>
      </c>
      <c r="R1163">
        <f>I1163/G1163</f>
        <v>0.10859531954172774</v>
      </c>
      <c r="S1163">
        <f>H1163/G1163</f>
        <v>0.3800836183960471</v>
      </c>
    </row>
    <row r="1164" spans="1:19" hidden="1" x14ac:dyDescent="0.2">
      <c r="A1164">
        <v>33</v>
      </c>
      <c r="B1164" t="s">
        <v>3414</v>
      </c>
      <c r="C1164">
        <v>0</v>
      </c>
      <c r="D1164">
        <v>4</v>
      </c>
      <c r="E1164">
        <v>1003</v>
      </c>
      <c r="F1164" t="b">
        <v>1</v>
      </c>
      <c r="G1164">
        <v>97.872</v>
      </c>
      <c r="H1164">
        <v>26</v>
      </c>
      <c r="I1164">
        <v>3</v>
      </c>
      <c r="J1164">
        <v>0.54</v>
      </c>
      <c r="K1164" t="s">
        <v>3511</v>
      </c>
      <c r="L1164">
        <v>0</v>
      </c>
      <c r="N1164" t="s">
        <v>3512</v>
      </c>
      <c r="O1164" t="s">
        <v>3513</v>
      </c>
      <c r="P1164" t="s">
        <v>20</v>
      </c>
      <c r="Q1164">
        <f>(VALUE(LEFT(SUBSTITUTE(O1164,"T"," "),23)) - VALUE(LEFT(SUBSTITUTE(N1164,"T"," "),23))) * 86400</f>
        <v>431.29500020295382</v>
      </c>
      <c r="R1164">
        <f>I1164/G1164</f>
        <v>3.0652280529671408E-2</v>
      </c>
      <c r="S1164">
        <f>H1164/G1164</f>
        <v>0.26565309792381886</v>
      </c>
    </row>
    <row r="1165" spans="1:19" hidden="1" x14ac:dyDescent="0.2">
      <c r="A1165">
        <v>34</v>
      </c>
      <c r="B1165" t="s">
        <v>25</v>
      </c>
      <c r="C1165">
        <v>0</v>
      </c>
      <c r="D1165">
        <v>4</v>
      </c>
      <c r="E1165">
        <v>1003</v>
      </c>
      <c r="F1165" t="b">
        <v>1</v>
      </c>
      <c r="G1165">
        <v>47.12</v>
      </c>
      <c r="H1165">
        <v>31</v>
      </c>
      <c r="I1165">
        <v>1</v>
      </c>
      <c r="J1165">
        <v>0.18</v>
      </c>
      <c r="K1165" t="s">
        <v>3514</v>
      </c>
      <c r="L1165">
        <v>0</v>
      </c>
      <c r="N1165" t="s">
        <v>3515</v>
      </c>
      <c r="O1165" t="s">
        <v>3516</v>
      </c>
      <c r="P1165" t="s">
        <v>20</v>
      </c>
      <c r="Q1165">
        <f>(VALUE(LEFT(SUBSTITUTE(O1165,"T"," "),23)) - VALUE(LEFT(SUBSTITUTE(N1165,"T"," "),23))) * 86400</f>
        <v>188.08700032532215</v>
      </c>
      <c r="R1165">
        <f>I1165/G1165</f>
        <v>2.1222410865874366E-2</v>
      </c>
      <c r="S1165">
        <f>H1165/G1165</f>
        <v>0.65789473684210531</v>
      </c>
    </row>
    <row r="1166" spans="1:19" x14ac:dyDescent="0.2">
      <c r="A1166">
        <v>35</v>
      </c>
      <c r="B1166" t="s">
        <v>3414</v>
      </c>
      <c r="C1166">
        <v>2</v>
      </c>
      <c r="D1166">
        <v>4</v>
      </c>
      <c r="E1166">
        <v>1003</v>
      </c>
      <c r="F1166" t="b">
        <v>1</v>
      </c>
      <c r="G1166">
        <v>64.424000000000007</v>
      </c>
      <c r="H1166">
        <v>27</v>
      </c>
      <c r="I1166">
        <v>3</v>
      </c>
      <c r="J1166">
        <v>3.3</v>
      </c>
      <c r="K1166" t="s">
        <v>3517</v>
      </c>
      <c r="L1166">
        <v>0</v>
      </c>
      <c r="N1166" t="s">
        <v>3518</v>
      </c>
      <c r="O1166" t="s">
        <v>3519</v>
      </c>
      <c r="P1166" t="s">
        <v>20</v>
      </c>
      <c r="Q1166">
        <f>(VALUE(LEFT(SUBSTITUTE(O1166,"T"," "),23)) - VALUE(LEFT(SUBSTITUTE(N1166,"T"," "),23))) * 86400</f>
        <v>286.39100028667599</v>
      </c>
      <c r="R1166">
        <f>I1166/G1166</f>
        <v>4.656649695765553E-2</v>
      </c>
      <c r="S1166">
        <f>H1166/G1166</f>
        <v>0.41909847261889976</v>
      </c>
    </row>
    <row r="1167" spans="1:19" x14ac:dyDescent="0.2">
      <c r="A1167">
        <v>36</v>
      </c>
      <c r="B1167" t="s">
        <v>25</v>
      </c>
      <c r="C1167">
        <v>2</v>
      </c>
      <c r="D1167">
        <v>4</v>
      </c>
      <c r="E1167">
        <v>1003</v>
      </c>
      <c r="F1167" t="b">
        <v>1</v>
      </c>
      <c r="G1167">
        <v>42.991999999999997</v>
      </c>
      <c r="H1167">
        <v>28</v>
      </c>
      <c r="I1167">
        <v>0</v>
      </c>
      <c r="J1167">
        <v>0</v>
      </c>
      <c r="K1167" t="s">
        <v>3520</v>
      </c>
      <c r="L1167">
        <v>0</v>
      </c>
      <c r="N1167" t="s">
        <v>3521</v>
      </c>
      <c r="O1167" t="s">
        <v>3522</v>
      </c>
      <c r="P1167" t="s">
        <v>20</v>
      </c>
      <c r="Q1167">
        <f>(VALUE(LEFT(SUBSTITUTE(O1167,"T"," "),23)) - VALUE(LEFT(SUBSTITUTE(N1167,"T"," "),23))) * 86400</f>
        <v>173.19700049702078</v>
      </c>
      <c r="R1167">
        <f>I1167/G1167</f>
        <v>0</v>
      </c>
      <c r="S1167">
        <f>H1167/G1167</f>
        <v>0.65128395980647569</v>
      </c>
    </row>
    <row r="1168" spans="1:19" hidden="1" x14ac:dyDescent="0.2">
      <c r="A1168">
        <v>37</v>
      </c>
      <c r="B1168" t="s">
        <v>3414</v>
      </c>
      <c r="C1168">
        <v>5</v>
      </c>
      <c r="D1168">
        <v>4</v>
      </c>
      <c r="E1168">
        <v>1003</v>
      </c>
      <c r="F1168" t="b">
        <v>1</v>
      </c>
      <c r="G1168">
        <v>44.064</v>
      </c>
      <c r="H1168">
        <v>26</v>
      </c>
      <c r="I1168">
        <v>5</v>
      </c>
      <c r="J1168">
        <v>1.86</v>
      </c>
      <c r="K1168" t="s">
        <v>3523</v>
      </c>
      <c r="L1168">
        <v>0</v>
      </c>
      <c r="N1168" t="s">
        <v>3524</v>
      </c>
      <c r="O1168" t="s">
        <v>3525</v>
      </c>
      <c r="P1168" t="s">
        <v>20</v>
      </c>
      <c r="Q1168">
        <f>(VALUE(LEFT(SUBSTITUTE(O1168,"T"," "),23)) - VALUE(LEFT(SUBSTITUTE(N1168,"T"," "),23))) * 86400</f>
        <v>253.7160002393648</v>
      </c>
      <c r="R1168">
        <f>I1168/G1168</f>
        <v>0.11347131445170661</v>
      </c>
      <c r="S1168">
        <f>H1168/G1168</f>
        <v>0.59005083514887435</v>
      </c>
    </row>
    <row r="1169" spans="1:19" hidden="1" x14ac:dyDescent="0.2">
      <c r="A1169">
        <v>38</v>
      </c>
      <c r="B1169" t="s">
        <v>25</v>
      </c>
      <c r="C1169">
        <v>5</v>
      </c>
      <c r="D1169">
        <v>4</v>
      </c>
      <c r="E1169">
        <v>1003</v>
      </c>
      <c r="F1169" t="b">
        <v>1</v>
      </c>
      <c r="G1169">
        <v>43.683999999999997</v>
      </c>
      <c r="H1169">
        <v>30</v>
      </c>
      <c r="I1169">
        <v>3</v>
      </c>
      <c r="J1169">
        <v>1.2</v>
      </c>
      <c r="K1169" t="s">
        <v>3526</v>
      </c>
      <c r="L1169">
        <v>0</v>
      </c>
      <c r="N1169" t="s">
        <v>3527</v>
      </c>
      <c r="O1169" t="s">
        <v>3528</v>
      </c>
      <c r="P1169" t="s">
        <v>20</v>
      </c>
      <c r="Q1169">
        <f>(VALUE(LEFT(SUBSTITUTE(O1169,"T"," "),23)) - VALUE(LEFT(SUBSTITUTE(N1169,"T"," "),23))) * 86400</f>
        <v>174.60300021339208</v>
      </c>
      <c r="R1169">
        <f>I1169/G1169</f>
        <v>6.8675029759179565E-2</v>
      </c>
      <c r="S1169">
        <f>H1169/G1169</f>
        <v>0.68675029759179562</v>
      </c>
    </row>
    <row r="1170" spans="1:19" hidden="1" x14ac:dyDescent="0.2">
      <c r="A1170">
        <v>39</v>
      </c>
      <c r="B1170" t="s">
        <v>3414</v>
      </c>
      <c r="C1170">
        <v>10</v>
      </c>
      <c r="D1170">
        <v>4</v>
      </c>
      <c r="E1170">
        <v>1003</v>
      </c>
      <c r="F1170" t="b">
        <v>1</v>
      </c>
      <c r="G1170">
        <v>56.411999999999999</v>
      </c>
      <c r="H1170">
        <v>29</v>
      </c>
      <c r="I1170">
        <v>2</v>
      </c>
      <c r="J1170">
        <v>0.36</v>
      </c>
      <c r="K1170" t="s">
        <v>3529</v>
      </c>
      <c r="L1170">
        <v>0</v>
      </c>
      <c r="N1170" t="s">
        <v>3530</v>
      </c>
      <c r="O1170" t="s">
        <v>3531</v>
      </c>
      <c r="P1170" t="s">
        <v>20</v>
      </c>
      <c r="Q1170">
        <f>(VALUE(LEFT(SUBSTITUTE(O1170,"T"," "),23)) - VALUE(LEFT(SUBSTITUTE(N1170,"T"," "),23))) * 86400</f>
        <v>253.7549999775365</v>
      </c>
      <c r="R1170">
        <f>I1170/G1170</f>
        <v>3.5453449620648086E-2</v>
      </c>
      <c r="S1170">
        <f>H1170/G1170</f>
        <v>0.51407501949939727</v>
      </c>
    </row>
    <row r="1171" spans="1:19" hidden="1" x14ac:dyDescent="0.2">
      <c r="A1171">
        <v>40</v>
      </c>
      <c r="B1171" t="s">
        <v>25</v>
      </c>
      <c r="C1171">
        <v>10</v>
      </c>
      <c r="D1171">
        <v>4</v>
      </c>
      <c r="E1171">
        <v>1003</v>
      </c>
      <c r="F1171" t="b">
        <v>1</v>
      </c>
      <c r="G1171">
        <v>47.524000000000001</v>
      </c>
      <c r="H1171">
        <v>30</v>
      </c>
      <c r="I1171">
        <v>1</v>
      </c>
      <c r="J1171">
        <v>0.42</v>
      </c>
      <c r="K1171" t="s">
        <v>3532</v>
      </c>
      <c r="L1171">
        <v>0</v>
      </c>
      <c r="N1171" t="s">
        <v>3533</v>
      </c>
      <c r="O1171" t="s">
        <v>3534</v>
      </c>
      <c r="P1171" t="s">
        <v>20</v>
      </c>
      <c r="Q1171">
        <f>(VALUE(LEFT(SUBSTITUTE(O1171,"T"," "),23)) - VALUE(LEFT(SUBSTITUTE(N1171,"T"," "),23))) * 86400</f>
        <v>194.01399996131659</v>
      </c>
      <c r="R1171">
        <f>I1171/G1171</f>
        <v>2.1041999831664E-2</v>
      </c>
      <c r="S1171">
        <f>H1171/G1171</f>
        <v>0.63125999494992002</v>
      </c>
    </row>
    <row r="1172" spans="1:19" hidden="1" x14ac:dyDescent="0.2">
      <c r="A1172">
        <v>28</v>
      </c>
      <c r="B1172" t="s">
        <v>16</v>
      </c>
      <c r="C1172">
        <v>-1</v>
      </c>
      <c r="D1172">
        <v>2</v>
      </c>
      <c r="E1172">
        <v>1023</v>
      </c>
      <c r="F1172" t="b">
        <v>1</v>
      </c>
      <c r="G1172">
        <v>68.603999999999999</v>
      </c>
      <c r="H1172">
        <v>26</v>
      </c>
      <c r="I1172">
        <v>7</v>
      </c>
      <c r="J1172">
        <v>4.08</v>
      </c>
      <c r="K1172" t="s">
        <v>1478</v>
      </c>
      <c r="L1172">
        <v>0</v>
      </c>
      <c r="N1172" t="s">
        <v>1479</v>
      </c>
      <c r="O1172" t="s">
        <v>1480</v>
      </c>
      <c r="P1172" t="s">
        <v>20</v>
      </c>
      <c r="Q1172">
        <f>(VALUE(LEFT(SUBSTITUTE(O1172,"T"," "),23)) - VALUE(LEFT(SUBSTITUTE(N1172,"T"," "),23))) * 86400</f>
        <v>317.1359998639673</v>
      </c>
      <c r="R1172">
        <f>I1172/G1172</f>
        <v>0.10203486677161681</v>
      </c>
      <c r="S1172">
        <f>H1172/G1172</f>
        <v>0.37898664800886245</v>
      </c>
    </row>
    <row r="1173" spans="1:19" hidden="1" x14ac:dyDescent="0.2">
      <c r="A1173">
        <v>82</v>
      </c>
      <c r="B1173" t="s">
        <v>16</v>
      </c>
      <c r="C1173">
        <v>-1</v>
      </c>
      <c r="D1173">
        <v>4</v>
      </c>
      <c r="E1173">
        <v>1015</v>
      </c>
      <c r="F1173" t="b">
        <v>1</v>
      </c>
      <c r="G1173">
        <v>71.727999999999994</v>
      </c>
      <c r="H1173">
        <v>27</v>
      </c>
      <c r="I1173">
        <v>8</v>
      </c>
      <c r="J1173">
        <v>7.2</v>
      </c>
      <c r="K1173" t="s">
        <v>1219</v>
      </c>
      <c r="L1173">
        <v>0</v>
      </c>
      <c r="N1173" t="s">
        <v>1220</v>
      </c>
      <c r="O1173" t="s">
        <v>1221</v>
      </c>
      <c r="P1173" t="s">
        <v>20</v>
      </c>
      <c r="Q1173">
        <f>(VALUE(LEFT(SUBSTITUTE(O1173,"T"," "),23)) - VALUE(LEFT(SUBSTITUTE(N1173,"T"," "),23))) * 86400</f>
        <v>236.71000027097762</v>
      </c>
      <c r="R1173">
        <f>I1173/G1173</f>
        <v>0.11153245594467991</v>
      </c>
      <c r="S1173">
        <f>H1173/G1173</f>
        <v>0.37642203881329472</v>
      </c>
    </row>
    <row r="1174" spans="1:19" hidden="1" x14ac:dyDescent="0.2">
      <c r="A1174">
        <v>43</v>
      </c>
      <c r="B1174" t="s">
        <v>3414</v>
      </c>
      <c r="C1174">
        <v>0</v>
      </c>
      <c r="D1174">
        <v>5</v>
      </c>
      <c r="E1174">
        <v>1004</v>
      </c>
      <c r="F1174" t="b">
        <v>1</v>
      </c>
      <c r="G1174">
        <v>77.075999999999993</v>
      </c>
      <c r="H1174">
        <v>24</v>
      </c>
      <c r="I1174">
        <v>4</v>
      </c>
      <c r="J1174">
        <v>0.48</v>
      </c>
      <c r="K1174" t="s">
        <v>3541</v>
      </c>
      <c r="L1174">
        <v>0</v>
      </c>
      <c r="N1174" t="s">
        <v>3542</v>
      </c>
      <c r="O1174" t="s">
        <v>3543</v>
      </c>
      <c r="P1174" t="s">
        <v>20</v>
      </c>
      <c r="Q1174">
        <f>(VALUE(LEFT(SUBSTITUTE(O1174,"T"," "),23)) - VALUE(LEFT(SUBSTITUTE(N1174,"T"," "),23))) * 86400</f>
        <v>348.14399967435747</v>
      </c>
      <c r="R1174">
        <f>I1174/G1174</f>
        <v>5.1896829103741764E-2</v>
      </c>
      <c r="S1174">
        <f>H1174/G1174</f>
        <v>0.31138097462245057</v>
      </c>
    </row>
    <row r="1175" spans="1:19" hidden="1" x14ac:dyDescent="0.2">
      <c r="A1175">
        <v>44</v>
      </c>
      <c r="B1175" t="s">
        <v>25</v>
      </c>
      <c r="C1175">
        <v>0</v>
      </c>
      <c r="D1175">
        <v>5</v>
      </c>
      <c r="E1175">
        <v>1004</v>
      </c>
      <c r="F1175" t="b">
        <v>1</v>
      </c>
      <c r="G1175">
        <v>39.636000000000003</v>
      </c>
      <c r="H1175">
        <v>31</v>
      </c>
      <c r="I1175">
        <v>0</v>
      </c>
      <c r="J1175">
        <v>0</v>
      </c>
      <c r="K1175" t="s">
        <v>3544</v>
      </c>
      <c r="L1175">
        <v>0</v>
      </c>
      <c r="N1175" t="s">
        <v>3545</v>
      </c>
      <c r="O1175" t="s">
        <v>3546</v>
      </c>
      <c r="P1175" t="s">
        <v>20</v>
      </c>
      <c r="Q1175">
        <f>(VALUE(LEFT(SUBSTITUTE(O1175,"T"," "),23)) - VALUE(LEFT(SUBSTITUTE(N1175,"T"," "),23))) * 86400</f>
        <v>168.72899956069887</v>
      </c>
      <c r="R1175">
        <f>I1175/G1175</f>
        <v>0</v>
      </c>
      <c r="S1175">
        <f>H1175/G1175</f>
        <v>0.78211726713089103</v>
      </c>
    </row>
    <row r="1176" spans="1:19" x14ac:dyDescent="0.2">
      <c r="A1176">
        <v>45</v>
      </c>
      <c r="B1176" t="s">
        <v>3414</v>
      </c>
      <c r="C1176">
        <v>2</v>
      </c>
      <c r="D1176">
        <v>5</v>
      </c>
      <c r="E1176">
        <v>1004</v>
      </c>
      <c r="F1176" t="b">
        <v>1</v>
      </c>
      <c r="G1176">
        <v>61.707999999999998</v>
      </c>
      <c r="H1176">
        <v>24</v>
      </c>
      <c r="I1176">
        <v>3</v>
      </c>
      <c r="J1176">
        <v>0.3</v>
      </c>
      <c r="K1176" t="s">
        <v>3547</v>
      </c>
      <c r="L1176">
        <v>0</v>
      </c>
      <c r="N1176" t="s">
        <v>3548</v>
      </c>
      <c r="O1176" t="s">
        <v>3549</v>
      </c>
      <c r="P1176" t="s">
        <v>20</v>
      </c>
      <c r="Q1176">
        <f>(VALUE(LEFT(SUBSTITUTE(O1176,"T"," "),23)) - VALUE(LEFT(SUBSTITUTE(N1176,"T"," "),23))) * 86400</f>
        <v>291.18400008883327</v>
      </c>
      <c r="R1176">
        <f>I1176/G1176</f>
        <v>4.8616062747131657E-2</v>
      </c>
      <c r="S1176">
        <f>H1176/G1176</f>
        <v>0.38892850197705325</v>
      </c>
    </row>
    <row r="1177" spans="1:19" hidden="1" x14ac:dyDescent="0.2">
      <c r="A1177">
        <v>55</v>
      </c>
      <c r="B1177" t="s">
        <v>16</v>
      </c>
      <c r="C1177">
        <v>-1</v>
      </c>
      <c r="D1177">
        <v>3</v>
      </c>
      <c r="E1177">
        <v>1029</v>
      </c>
      <c r="F1177" t="b">
        <v>1</v>
      </c>
      <c r="G1177">
        <v>67.707999999999998</v>
      </c>
      <c r="H1177">
        <v>25</v>
      </c>
      <c r="I1177">
        <v>7</v>
      </c>
      <c r="J1177">
        <v>9.18</v>
      </c>
      <c r="K1177" t="s">
        <v>2395</v>
      </c>
      <c r="L1177">
        <v>0</v>
      </c>
      <c r="N1177" t="s">
        <v>2396</v>
      </c>
      <c r="O1177" t="s">
        <v>2397</v>
      </c>
      <c r="P1177" t="s">
        <v>20</v>
      </c>
      <c r="Q1177">
        <f>(VALUE(LEFT(SUBSTITUTE(O1177,"T"," "),23)) - VALUE(LEFT(SUBSTITUTE(N1177,"T"," "),23))) * 86400</f>
        <v>157.15599982067943</v>
      </c>
      <c r="R1177">
        <f>I1177/G1177</f>
        <v>0.1033851243575353</v>
      </c>
      <c r="S1177">
        <f>H1177/G1177</f>
        <v>0.36923258699119749</v>
      </c>
    </row>
    <row r="1178" spans="1:19" hidden="1" x14ac:dyDescent="0.2">
      <c r="A1178">
        <v>82</v>
      </c>
      <c r="B1178" t="s">
        <v>16</v>
      </c>
      <c r="C1178">
        <v>-1</v>
      </c>
      <c r="D1178">
        <v>4</v>
      </c>
      <c r="E1178">
        <v>1005</v>
      </c>
      <c r="F1178" t="b">
        <v>1</v>
      </c>
      <c r="G1178">
        <v>68.08</v>
      </c>
      <c r="H1178">
        <v>25</v>
      </c>
      <c r="I1178">
        <v>9</v>
      </c>
      <c r="J1178">
        <v>7.26</v>
      </c>
      <c r="K1178" t="s">
        <v>776</v>
      </c>
      <c r="L1178">
        <v>0</v>
      </c>
      <c r="N1178" t="s">
        <v>777</v>
      </c>
      <c r="O1178" t="s">
        <v>778</v>
      </c>
      <c r="P1178" t="s">
        <v>20</v>
      </c>
      <c r="Q1178">
        <f>(VALUE(LEFT(SUBSTITUTE(O1178,"T"," "),23)) - VALUE(LEFT(SUBSTITUTE(N1178,"T"," "),23))) * 86400</f>
        <v>284.72999981604517</v>
      </c>
      <c r="R1178">
        <f>I1178/G1178</f>
        <v>0.13219741480611047</v>
      </c>
      <c r="S1178">
        <f>H1178/G1178</f>
        <v>0.36721504112808462</v>
      </c>
    </row>
    <row r="1179" spans="1:19" hidden="1" x14ac:dyDescent="0.2">
      <c r="A1179">
        <v>3</v>
      </c>
      <c r="B1179" t="s">
        <v>3414</v>
      </c>
      <c r="C1179">
        <v>0</v>
      </c>
      <c r="D1179">
        <v>1</v>
      </c>
      <c r="E1179">
        <v>1010</v>
      </c>
      <c r="F1179" t="b">
        <v>1</v>
      </c>
      <c r="G1179">
        <v>91.38</v>
      </c>
      <c r="H1179">
        <v>28</v>
      </c>
      <c r="I1179">
        <v>5</v>
      </c>
      <c r="J1179">
        <v>2.04</v>
      </c>
      <c r="K1179" t="s">
        <v>3556</v>
      </c>
      <c r="L1179">
        <v>0</v>
      </c>
      <c r="N1179" t="s">
        <v>3557</v>
      </c>
      <c r="O1179" t="s">
        <v>3558</v>
      </c>
      <c r="P1179" t="s">
        <v>20</v>
      </c>
      <c r="Q1179">
        <f>(VALUE(LEFT(SUBSTITUTE(O1179,"T"," "),23)) - VALUE(LEFT(SUBSTITUTE(N1179,"T"," "),23))) * 86400</f>
        <v>417.30300018098205</v>
      </c>
      <c r="R1179">
        <f>I1179/G1179</f>
        <v>5.4716568176843949E-2</v>
      </c>
      <c r="S1179">
        <f>H1179/G1179</f>
        <v>0.30641278179032611</v>
      </c>
    </row>
    <row r="1180" spans="1:19" hidden="1" x14ac:dyDescent="0.2">
      <c r="A1180">
        <v>4</v>
      </c>
      <c r="B1180" t="s">
        <v>25</v>
      </c>
      <c r="C1180">
        <v>0</v>
      </c>
      <c r="D1180">
        <v>1</v>
      </c>
      <c r="E1180">
        <v>1010</v>
      </c>
      <c r="F1180" t="b">
        <v>1</v>
      </c>
      <c r="G1180">
        <v>40.747999999999998</v>
      </c>
      <c r="H1180">
        <v>31</v>
      </c>
      <c r="I1180">
        <v>3</v>
      </c>
      <c r="J1180">
        <v>0.84</v>
      </c>
      <c r="K1180" t="s">
        <v>3559</v>
      </c>
      <c r="L1180">
        <v>0</v>
      </c>
      <c r="N1180" t="s">
        <v>3560</v>
      </c>
      <c r="O1180" t="s">
        <v>3561</v>
      </c>
      <c r="P1180" t="s">
        <v>20</v>
      </c>
      <c r="Q1180">
        <f>(VALUE(LEFT(SUBSTITUTE(O1180,"T"," "),23)) - VALUE(LEFT(SUBSTITUTE(N1180,"T"," "),23))) * 86400</f>
        <v>171.85099970083684</v>
      </c>
      <c r="R1180">
        <f>I1180/G1180</f>
        <v>7.3623245312653393E-2</v>
      </c>
      <c r="S1180">
        <f>H1180/G1180</f>
        <v>0.76077353489741828</v>
      </c>
    </row>
    <row r="1181" spans="1:19" x14ac:dyDescent="0.2">
      <c r="A1181">
        <v>5</v>
      </c>
      <c r="B1181" t="s">
        <v>3414</v>
      </c>
      <c r="C1181">
        <v>2</v>
      </c>
      <c r="D1181">
        <v>1</v>
      </c>
      <c r="E1181">
        <v>1010</v>
      </c>
      <c r="F1181" t="b">
        <v>1</v>
      </c>
      <c r="G1181">
        <v>73.052000000000007</v>
      </c>
      <c r="H1181">
        <v>29</v>
      </c>
      <c r="I1181">
        <v>1</v>
      </c>
      <c r="J1181">
        <v>0.72</v>
      </c>
      <c r="K1181" t="s">
        <v>3562</v>
      </c>
      <c r="L1181">
        <v>0</v>
      </c>
      <c r="N1181" t="s">
        <v>3563</v>
      </c>
      <c r="O1181" t="s">
        <v>3564</v>
      </c>
      <c r="P1181" t="s">
        <v>20</v>
      </c>
      <c r="Q1181">
        <f>(VALUE(LEFT(SUBSTITUTE(O1181,"T"," "),23)) - VALUE(LEFT(SUBSTITUTE(N1181,"T"," "),23))) * 86400</f>
        <v>313.37900015059859</v>
      </c>
      <c r="R1181">
        <f>I1181/G1181</f>
        <v>1.3688879154574823E-2</v>
      </c>
      <c r="S1181">
        <f>H1181/G1181</f>
        <v>0.39697749548266986</v>
      </c>
    </row>
    <row r="1182" spans="1:19" x14ac:dyDescent="0.2">
      <c r="A1182">
        <v>6</v>
      </c>
      <c r="B1182" t="s">
        <v>25</v>
      </c>
      <c r="C1182">
        <v>2</v>
      </c>
      <c r="D1182">
        <v>1</v>
      </c>
      <c r="E1182">
        <v>1010</v>
      </c>
      <c r="F1182" t="b">
        <v>1</v>
      </c>
      <c r="G1182">
        <v>46.387999999999998</v>
      </c>
      <c r="H1182">
        <v>30</v>
      </c>
      <c r="I1182">
        <v>1</v>
      </c>
      <c r="J1182">
        <v>0.12</v>
      </c>
      <c r="K1182" t="s">
        <v>3565</v>
      </c>
      <c r="L1182">
        <v>0</v>
      </c>
      <c r="N1182" t="s">
        <v>3566</v>
      </c>
      <c r="O1182" t="s">
        <v>3567</v>
      </c>
      <c r="P1182" t="s">
        <v>20</v>
      </c>
      <c r="Q1182">
        <f>(VALUE(LEFT(SUBSTITUTE(O1182,"T"," "),23)) - VALUE(LEFT(SUBSTITUTE(N1182,"T"," "),23))) * 86400</f>
        <v>188.87800010852516</v>
      </c>
      <c r="R1182">
        <f>I1182/G1182</f>
        <v>2.1557299301543504E-2</v>
      </c>
      <c r="S1182">
        <f>H1182/G1182</f>
        <v>0.64671897904630515</v>
      </c>
    </row>
    <row r="1183" spans="1:19" hidden="1" x14ac:dyDescent="0.2">
      <c r="A1183">
        <v>7</v>
      </c>
      <c r="B1183" t="s">
        <v>3414</v>
      </c>
      <c r="C1183">
        <v>5</v>
      </c>
      <c r="D1183">
        <v>1</v>
      </c>
      <c r="E1183">
        <v>1010</v>
      </c>
      <c r="F1183" t="b">
        <v>1</v>
      </c>
      <c r="G1183">
        <v>103.76</v>
      </c>
      <c r="H1183">
        <v>28</v>
      </c>
      <c r="I1183">
        <v>4</v>
      </c>
      <c r="J1183">
        <v>2.16</v>
      </c>
      <c r="K1183" t="s">
        <v>3568</v>
      </c>
      <c r="L1183">
        <v>0</v>
      </c>
      <c r="N1183" t="s">
        <v>3569</v>
      </c>
      <c r="O1183" t="s">
        <v>3570</v>
      </c>
      <c r="P1183" t="s">
        <v>20</v>
      </c>
      <c r="Q1183">
        <f>(VALUE(LEFT(SUBSTITUTE(O1183,"T"," "),23)) - VALUE(LEFT(SUBSTITUTE(N1183,"T"," "),23))) * 86400</f>
        <v>447.73300008382648</v>
      </c>
      <c r="R1183">
        <f>I1183/G1183</f>
        <v>3.8550501156515031E-2</v>
      </c>
      <c r="S1183">
        <f>H1183/G1183</f>
        <v>0.26985350809560521</v>
      </c>
    </row>
    <row r="1184" spans="1:19" hidden="1" x14ac:dyDescent="0.2">
      <c r="A1184">
        <v>8</v>
      </c>
      <c r="B1184" t="s">
        <v>25</v>
      </c>
      <c r="C1184">
        <v>5</v>
      </c>
      <c r="D1184">
        <v>1</v>
      </c>
      <c r="E1184">
        <v>1010</v>
      </c>
      <c r="F1184" t="b">
        <v>1</v>
      </c>
      <c r="G1184">
        <v>48.392000000000003</v>
      </c>
      <c r="H1184">
        <v>30</v>
      </c>
      <c r="I1184">
        <v>0</v>
      </c>
      <c r="J1184">
        <v>0</v>
      </c>
      <c r="K1184" t="s">
        <v>3571</v>
      </c>
      <c r="L1184">
        <v>0</v>
      </c>
      <c r="N1184" t="s">
        <v>3572</v>
      </c>
      <c r="O1184" t="s">
        <v>3573</v>
      </c>
      <c r="P1184" t="s">
        <v>20</v>
      </c>
      <c r="Q1184">
        <f>(VALUE(LEFT(SUBSTITUTE(O1184,"T"," "),23)) - VALUE(LEFT(SUBSTITUTE(N1184,"T"," "),23))) * 86400</f>
        <v>195.1580002438277</v>
      </c>
      <c r="R1184">
        <f>I1184/G1184</f>
        <v>0</v>
      </c>
      <c r="S1184">
        <f>H1184/G1184</f>
        <v>0.61993717969912376</v>
      </c>
    </row>
    <row r="1185" spans="1:19" hidden="1" x14ac:dyDescent="0.2">
      <c r="A1185">
        <v>9</v>
      </c>
      <c r="B1185" t="s">
        <v>3414</v>
      </c>
      <c r="C1185">
        <v>10</v>
      </c>
      <c r="D1185">
        <v>1</v>
      </c>
      <c r="E1185">
        <v>1010</v>
      </c>
      <c r="F1185" t="b">
        <v>1</v>
      </c>
      <c r="G1185">
        <v>80.227999999999994</v>
      </c>
      <c r="H1185">
        <v>28</v>
      </c>
      <c r="I1185">
        <v>6</v>
      </c>
      <c r="J1185">
        <v>1.8</v>
      </c>
      <c r="K1185" t="s">
        <v>3574</v>
      </c>
      <c r="L1185">
        <v>0</v>
      </c>
      <c r="N1185" t="s">
        <v>3575</v>
      </c>
      <c r="O1185" t="s">
        <v>3576</v>
      </c>
      <c r="P1185" t="s">
        <v>20</v>
      </c>
      <c r="Q1185">
        <f>(VALUE(LEFT(SUBSTITUTE(O1185,"T"," "),23)) - VALUE(LEFT(SUBSTITUTE(N1185,"T"," "),23))) * 86400</f>
        <v>343.81400027778</v>
      </c>
      <c r="R1185">
        <f>I1185/G1185</f>
        <v>7.4786857456249689E-2</v>
      </c>
      <c r="S1185">
        <f>H1185/G1185</f>
        <v>0.3490053347958319</v>
      </c>
    </row>
    <row r="1186" spans="1:19" hidden="1" x14ac:dyDescent="0.2">
      <c r="A1186">
        <v>10</v>
      </c>
      <c r="B1186" t="s">
        <v>25</v>
      </c>
      <c r="C1186">
        <v>10</v>
      </c>
      <c r="D1186">
        <v>1</v>
      </c>
      <c r="E1186">
        <v>1010</v>
      </c>
      <c r="F1186" t="b">
        <v>1</v>
      </c>
      <c r="G1186">
        <v>47.268000000000001</v>
      </c>
      <c r="H1186">
        <v>31</v>
      </c>
      <c r="I1186">
        <v>3</v>
      </c>
      <c r="J1186">
        <v>1.08</v>
      </c>
      <c r="K1186" t="s">
        <v>3577</v>
      </c>
      <c r="L1186">
        <v>0</v>
      </c>
      <c r="N1186" t="s">
        <v>3578</v>
      </c>
      <c r="O1186" t="s">
        <v>3579</v>
      </c>
      <c r="P1186" t="s">
        <v>20</v>
      </c>
      <c r="Q1186">
        <f>(VALUE(LEFT(SUBSTITUTE(O1186,"T"," "),23)) - VALUE(LEFT(SUBSTITUTE(N1186,"T"," "),23))) * 86400</f>
        <v>191.85600019991398</v>
      </c>
      <c r="R1186">
        <f>I1186/G1186</f>
        <v>6.3467885250063472E-2</v>
      </c>
      <c r="S1186">
        <f>H1186/G1186</f>
        <v>0.65583481425065582</v>
      </c>
    </row>
    <row r="1187" spans="1:19" hidden="1" x14ac:dyDescent="0.2">
      <c r="A1187">
        <v>28</v>
      </c>
      <c r="B1187" t="s">
        <v>16</v>
      </c>
      <c r="C1187">
        <v>-1</v>
      </c>
      <c r="D1187">
        <v>2</v>
      </c>
      <c r="E1187">
        <v>1028</v>
      </c>
      <c r="F1187" t="b">
        <v>1</v>
      </c>
      <c r="G1187">
        <v>85.2</v>
      </c>
      <c r="H1187">
        <v>31</v>
      </c>
      <c r="I1187">
        <v>12</v>
      </c>
      <c r="J1187">
        <v>10.56</v>
      </c>
      <c r="K1187" t="s">
        <v>2315</v>
      </c>
      <c r="L1187">
        <v>0</v>
      </c>
      <c r="N1187" t="s">
        <v>2316</v>
      </c>
      <c r="O1187" t="s">
        <v>2317</v>
      </c>
      <c r="P1187" t="s">
        <v>20</v>
      </c>
      <c r="Q1187">
        <f>(VALUE(LEFT(SUBSTITUTE(O1187,"T"," "),23)) - VALUE(LEFT(SUBSTITUTE(N1187,"T"," "),23))) * 86400</f>
        <v>168.54099954944104</v>
      </c>
      <c r="R1187">
        <f>I1187/G1187</f>
        <v>0.14084507042253522</v>
      </c>
      <c r="S1187">
        <f>H1187/G1187</f>
        <v>0.36384976525821594</v>
      </c>
    </row>
    <row r="1188" spans="1:19" hidden="1" x14ac:dyDescent="0.2">
      <c r="A1188">
        <v>1</v>
      </c>
      <c r="B1188" t="s">
        <v>2531</v>
      </c>
      <c r="C1188">
        <v>-1</v>
      </c>
      <c r="D1188">
        <v>1</v>
      </c>
      <c r="E1188">
        <v>1005</v>
      </c>
      <c r="F1188" t="b">
        <v>1</v>
      </c>
      <c r="G1188">
        <v>77.932000000000002</v>
      </c>
      <c r="H1188">
        <v>28</v>
      </c>
      <c r="I1188">
        <v>7</v>
      </c>
      <c r="J1188">
        <v>5.16</v>
      </c>
      <c r="K1188" t="s">
        <v>2892</v>
      </c>
      <c r="L1188">
        <v>0</v>
      </c>
      <c r="N1188" t="s">
        <v>2893</v>
      </c>
      <c r="O1188" t="s">
        <v>2894</v>
      </c>
      <c r="Q1188">
        <f>(VALUE(LEFT(SUBSTITUTE(O1188,"T"," "),23)) - VALUE(LEFT(SUBSTITUTE(N1188,"T"," "),23))) * 86400</f>
        <v>316.5059998864308</v>
      </c>
      <c r="R1188">
        <f>I1188/G1188</f>
        <v>8.982189601190782E-2</v>
      </c>
      <c r="S1188">
        <f>H1188/G1188</f>
        <v>0.35928758404763128</v>
      </c>
    </row>
    <row r="1189" spans="1:19" hidden="1" x14ac:dyDescent="0.2">
      <c r="A1189">
        <v>13</v>
      </c>
      <c r="B1189" t="s">
        <v>3414</v>
      </c>
      <c r="C1189">
        <v>0</v>
      </c>
      <c r="D1189">
        <v>2</v>
      </c>
      <c r="E1189">
        <v>1011</v>
      </c>
      <c r="F1189" t="b">
        <v>1</v>
      </c>
      <c r="G1189">
        <v>68.444000000000003</v>
      </c>
      <c r="H1189">
        <v>27</v>
      </c>
      <c r="I1189">
        <v>0</v>
      </c>
      <c r="J1189">
        <v>0</v>
      </c>
      <c r="K1189" t="s">
        <v>3586</v>
      </c>
      <c r="L1189">
        <v>0</v>
      </c>
      <c r="N1189" t="s">
        <v>3587</v>
      </c>
      <c r="O1189" t="s">
        <v>3588</v>
      </c>
      <c r="P1189" t="s">
        <v>20</v>
      </c>
      <c r="Q1189">
        <f>(VALUE(LEFT(SUBSTITUTE(O1189,"T"," "),23)) - VALUE(LEFT(SUBSTITUTE(N1189,"T"," "),23))) * 86400</f>
        <v>262.34200014732778</v>
      </c>
      <c r="R1189">
        <f>I1189/G1189</f>
        <v>0</v>
      </c>
      <c r="S1189">
        <f>H1189/G1189</f>
        <v>0.3944830810589679</v>
      </c>
    </row>
    <row r="1190" spans="1:19" hidden="1" x14ac:dyDescent="0.2">
      <c r="A1190">
        <v>14</v>
      </c>
      <c r="B1190" t="s">
        <v>25</v>
      </c>
      <c r="C1190">
        <v>0</v>
      </c>
      <c r="D1190">
        <v>2</v>
      </c>
      <c r="E1190">
        <v>1011</v>
      </c>
      <c r="F1190" t="b">
        <v>1</v>
      </c>
      <c r="G1190">
        <v>45.351999999999997</v>
      </c>
      <c r="H1190">
        <v>28</v>
      </c>
      <c r="I1190">
        <v>3</v>
      </c>
      <c r="J1190">
        <v>0.48</v>
      </c>
      <c r="K1190" t="s">
        <v>3589</v>
      </c>
      <c r="L1190">
        <v>0</v>
      </c>
      <c r="N1190" t="s">
        <v>3590</v>
      </c>
      <c r="O1190" t="s">
        <v>3591</v>
      </c>
      <c r="P1190" t="s">
        <v>20</v>
      </c>
      <c r="Q1190">
        <f>(VALUE(LEFT(SUBSTITUTE(O1190,"T"," "),23)) - VALUE(LEFT(SUBSTITUTE(N1190,"T"," "),23))) * 86400</f>
        <v>184.37200023327023</v>
      </c>
      <c r="R1190">
        <f>I1190/G1190</f>
        <v>6.6149232668901048E-2</v>
      </c>
      <c r="S1190">
        <f>H1190/G1190</f>
        <v>0.61739283824307645</v>
      </c>
    </row>
    <row r="1191" spans="1:19" x14ac:dyDescent="0.2">
      <c r="A1191">
        <v>15</v>
      </c>
      <c r="B1191" t="s">
        <v>3414</v>
      </c>
      <c r="C1191">
        <v>2</v>
      </c>
      <c r="D1191">
        <v>2</v>
      </c>
      <c r="E1191">
        <v>1011</v>
      </c>
      <c r="F1191" t="b">
        <v>1</v>
      </c>
      <c r="G1191">
        <v>57.948</v>
      </c>
      <c r="H1191">
        <v>25</v>
      </c>
      <c r="I1191">
        <v>4</v>
      </c>
      <c r="J1191">
        <v>1.08</v>
      </c>
      <c r="K1191" t="s">
        <v>3592</v>
      </c>
      <c r="L1191">
        <v>0</v>
      </c>
      <c r="N1191" t="s">
        <v>3593</v>
      </c>
      <c r="O1191" t="s">
        <v>3594</v>
      </c>
      <c r="P1191" t="s">
        <v>20</v>
      </c>
      <c r="Q1191">
        <f>(VALUE(LEFT(SUBSTITUTE(O1191,"T"," "),23)) - VALUE(LEFT(SUBSTITUTE(N1191,"T"," "),23))) * 86400</f>
        <v>266.02000021375716</v>
      </c>
      <c r="R1191">
        <f>I1191/G1191</f>
        <v>6.9027403879340102E-2</v>
      </c>
      <c r="S1191">
        <f>H1191/G1191</f>
        <v>0.43142127424587562</v>
      </c>
    </row>
    <row r="1192" spans="1:19" x14ac:dyDescent="0.2">
      <c r="A1192">
        <v>16</v>
      </c>
      <c r="B1192" t="s">
        <v>25</v>
      </c>
      <c r="C1192">
        <v>2</v>
      </c>
      <c r="D1192">
        <v>2</v>
      </c>
      <c r="E1192">
        <v>1011</v>
      </c>
      <c r="F1192" t="b">
        <v>1</v>
      </c>
      <c r="G1192">
        <v>43.747999999999998</v>
      </c>
      <c r="H1192">
        <v>29</v>
      </c>
      <c r="I1192">
        <v>0</v>
      </c>
      <c r="J1192">
        <v>0</v>
      </c>
      <c r="K1192" t="s">
        <v>3595</v>
      </c>
      <c r="L1192">
        <v>0</v>
      </c>
      <c r="N1192" t="s">
        <v>3596</v>
      </c>
      <c r="O1192" t="s">
        <v>3597</v>
      </c>
      <c r="P1192" t="s">
        <v>20</v>
      </c>
      <c r="Q1192">
        <f>(VALUE(LEFT(SUBSTITUTE(O1192,"T"," "),23)) - VALUE(LEFT(SUBSTITUTE(N1192,"T"," "),23))) * 86400</f>
        <v>176.11700012348592</v>
      </c>
      <c r="R1192">
        <f>I1192/G1192</f>
        <v>0</v>
      </c>
      <c r="S1192">
        <f>H1192/G1192</f>
        <v>0.66288744628325869</v>
      </c>
    </row>
    <row r="1193" spans="1:19" hidden="1" x14ac:dyDescent="0.2">
      <c r="A1193">
        <v>17</v>
      </c>
      <c r="B1193" t="s">
        <v>3414</v>
      </c>
      <c r="C1193">
        <v>5</v>
      </c>
      <c r="D1193">
        <v>2</v>
      </c>
      <c r="E1193">
        <v>1011</v>
      </c>
      <c r="F1193" t="b">
        <v>1</v>
      </c>
      <c r="G1193">
        <v>62.404000000000003</v>
      </c>
      <c r="H1193">
        <v>30</v>
      </c>
      <c r="I1193">
        <v>2</v>
      </c>
      <c r="J1193">
        <v>0.24</v>
      </c>
      <c r="K1193" t="s">
        <v>3598</v>
      </c>
      <c r="L1193">
        <v>0</v>
      </c>
      <c r="N1193" t="s">
        <v>3599</v>
      </c>
      <c r="O1193" t="s">
        <v>3600</v>
      </c>
      <c r="P1193" t="s">
        <v>20</v>
      </c>
      <c r="Q1193">
        <f>(VALUE(LEFT(SUBSTITUTE(O1193,"T"," "),23)) - VALUE(LEFT(SUBSTITUTE(N1193,"T"," "),23))) * 86400</f>
        <v>270.37699981592596</v>
      </c>
      <c r="R1193">
        <f>I1193/G1193</f>
        <v>3.2049227613614513E-2</v>
      </c>
      <c r="S1193">
        <f>H1193/G1193</f>
        <v>0.48073841420421765</v>
      </c>
    </row>
    <row r="1194" spans="1:19" hidden="1" x14ac:dyDescent="0.2">
      <c r="A1194">
        <v>18</v>
      </c>
      <c r="B1194" t="s">
        <v>25</v>
      </c>
      <c r="C1194">
        <v>5</v>
      </c>
      <c r="D1194">
        <v>2</v>
      </c>
      <c r="E1194">
        <v>1011</v>
      </c>
      <c r="F1194" t="b">
        <v>1</v>
      </c>
      <c r="G1194">
        <v>41.128</v>
      </c>
      <c r="H1194">
        <v>25</v>
      </c>
      <c r="I1194">
        <v>1</v>
      </c>
      <c r="J1194">
        <v>1.08</v>
      </c>
      <c r="K1194" t="s">
        <v>3601</v>
      </c>
      <c r="L1194">
        <v>0</v>
      </c>
      <c r="N1194" t="s">
        <v>3602</v>
      </c>
      <c r="O1194" t="s">
        <v>3603</v>
      </c>
      <c r="P1194" t="s">
        <v>20</v>
      </c>
      <c r="Q1194">
        <f>(VALUE(LEFT(SUBSTITUTE(O1194,"T"," "),23)) - VALUE(LEFT(SUBSTITUTE(N1194,"T"," "),23))) * 86400</f>
        <v>167.01599964872003</v>
      </c>
      <c r="R1194">
        <f>I1194/G1194</f>
        <v>2.4314335732347793E-2</v>
      </c>
      <c r="S1194">
        <f>H1194/G1194</f>
        <v>0.60785839330869484</v>
      </c>
    </row>
    <row r="1195" spans="1:19" hidden="1" x14ac:dyDescent="0.2">
      <c r="A1195">
        <v>19</v>
      </c>
      <c r="B1195" t="s">
        <v>3414</v>
      </c>
      <c r="C1195">
        <v>10</v>
      </c>
      <c r="D1195">
        <v>2</v>
      </c>
      <c r="E1195">
        <v>1011</v>
      </c>
      <c r="F1195" t="b">
        <v>1</v>
      </c>
      <c r="G1195">
        <v>80.808000000000007</v>
      </c>
      <c r="H1195">
        <v>29</v>
      </c>
      <c r="I1195">
        <v>10</v>
      </c>
      <c r="J1195">
        <v>3.66</v>
      </c>
      <c r="K1195" t="s">
        <v>3604</v>
      </c>
      <c r="L1195">
        <v>0</v>
      </c>
      <c r="N1195" t="s">
        <v>3605</v>
      </c>
      <c r="O1195" t="s">
        <v>3606</v>
      </c>
      <c r="P1195" t="s">
        <v>20</v>
      </c>
      <c r="Q1195">
        <f>(VALUE(LEFT(SUBSTITUTE(O1195,"T"," "),23)) - VALUE(LEFT(SUBSTITUTE(N1195,"T"," "),23))) * 86400</f>
        <v>351.57500035129488</v>
      </c>
      <c r="R1195">
        <f>I1195/G1195</f>
        <v>0.12375012375012374</v>
      </c>
      <c r="S1195">
        <f>H1195/G1195</f>
        <v>0.35887535887535882</v>
      </c>
    </row>
    <row r="1196" spans="1:19" hidden="1" x14ac:dyDescent="0.2">
      <c r="A1196">
        <v>20</v>
      </c>
      <c r="B1196" t="s">
        <v>25</v>
      </c>
      <c r="C1196">
        <v>10</v>
      </c>
      <c r="D1196">
        <v>2</v>
      </c>
      <c r="E1196">
        <v>1011</v>
      </c>
      <c r="F1196" t="b">
        <v>1</v>
      </c>
      <c r="G1196">
        <v>61.188000000000002</v>
      </c>
      <c r="H1196">
        <v>26</v>
      </c>
      <c r="I1196">
        <v>6</v>
      </c>
      <c r="J1196">
        <v>1.32</v>
      </c>
      <c r="K1196" t="s">
        <v>3607</v>
      </c>
      <c r="L1196">
        <v>0</v>
      </c>
      <c r="N1196" t="s">
        <v>3608</v>
      </c>
      <c r="O1196" t="s">
        <v>3609</v>
      </c>
      <c r="P1196" t="s">
        <v>20</v>
      </c>
      <c r="Q1196">
        <f>(VALUE(LEFT(SUBSTITUTE(O1196,"T"," "),23)) - VALUE(LEFT(SUBSTITUTE(N1196,"T"," "),23))) * 86400</f>
        <v>249.75700001232326</v>
      </c>
      <c r="R1196">
        <f>I1196/G1196</f>
        <v>9.8058442831927828E-2</v>
      </c>
      <c r="S1196">
        <f>H1196/G1196</f>
        <v>0.4249199189383539</v>
      </c>
    </row>
    <row r="1197" spans="1:19" hidden="1" x14ac:dyDescent="0.2">
      <c r="A1197">
        <v>41</v>
      </c>
      <c r="B1197" t="s">
        <v>3414</v>
      </c>
      <c r="C1197">
        <v>-1</v>
      </c>
      <c r="D1197">
        <v>5</v>
      </c>
      <c r="E1197">
        <v>1014</v>
      </c>
      <c r="F1197" t="b">
        <v>1</v>
      </c>
      <c r="G1197">
        <v>89.82</v>
      </c>
      <c r="H1197">
        <v>32</v>
      </c>
      <c r="I1197">
        <v>15</v>
      </c>
      <c r="J1197">
        <v>12.54</v>
      </c>
      <c r="K1197" t="s">
        <v>3670</v>
      </c>
      <c r="L1197">
        <v>0</v>
      </c>
      <c r="N1197" t="s">
        <v>3671</v>
      </c>
      <c r="O1197" t="s">
        <v>3672</v>
      </c>
      <c r="P1197" t="s">
        <v>20</v>
      </c>
      <c r="Q1197">
        <f>(VALUE(LEFT(SUBSTITUTE(O1197,"T"," "),23)) - VALUE(LEFT(SUBSTITUTE(N1197,"T"," "),23))) * 86400</f>
        <v>392.7149998722598</v>
      </c>
      <c r="R1197">
        <f>I1197/G1197</f>
        <v>0.16700066800267202</v>
      </c>
      <c r="S1197">
        <f>H1197/G1197</f>
        <v>0.35626809173903368</v>
      </c>
    </row>
    <row r="1198" spans="1:19" hidden="1" x14ac:dyDescent="0.2">
      <c r="A1198">
        <v>10</v>
      </c>
      <c r="B1198" t="s">
        <v>2476</v>
      </c>
      <c r="C1198">
        <v>-1</v>
      </c>
      <c r="D1198">
        <v>2</v>
      </c>
      <c r="E1198">
        <v>1011</v>
      </c>
      <c r="F1198" t="b">
        <v>1</v>
      </c>
      <c r="G1198">
        <v>81.864000000000004</v>
      </c>
      <c r="H1198">
        <v>29</v>
      </c>
      <c r="I1198">
        <v>16</v>
      </c>
      <c r="J1198">
        <v>9.06</v>
      </c>
      <c r="K1198" t="s">
        <v>2679</v>
      </c>
      <c r="L1198">
        <v>0</v>
      </c>
      <c r="N1198" t="s">
        <v>2680</v>
      </c>
      <c r="O1198" t="s">
        <v>2681</v>
      </c>
      <c r="P1198" t="s">
        <v>20</v>
      </c>
      <c r="Q1198">
        <f>(VALUE(LEFT(SUBSTITUTE(O1198,"T"," "),23)) - VALUE(LEFT(SUBSTITUTE(N1198,"T"," "),23))) * 86400</f>
        <v>370.63300022855401</v>
      </c>
      <c r="R1198">
        <f>I1198/G1198</f>
        <v>0.19544610573634319</v>
      </c>
      <c r="S1198">
        <f>H1198/G1198</f>
        <v>0.35424606664712205</v>
      </c>
    </row>
    <row r="1199" spans="1:19" hidden="1" x14ac:dyDescent="0.2">
      <c r="A1199">
        <v>23</v>
      </c>
      <c r="B1199" t="s">
        <v>3414</v>
      </c>
      <c r="C1199">
        <v>0</v>
      </c>
      <c r="D1199">
        <v>3</v>
      </c>
      <c r="E1199">
        <v>1012</v>
      </c>
      <c r="F1199" t="b">
        <v>1</v>
      </c>
      <c r="G1199">
        <v>76.251999999999995</v>
      </c>
      <c r="H1199">
        <v>29</v>
      </c>
      <c r="I1199">
        <v>2</v>
      </c>
      <c r="J1199">
        <v>0.36</v>
      </c>
      <c r="K1199" t="s">
        <v>3616</v>
      </c>
      <c r="L1199">
        <v>0</v>
      </c>
      <c r="N1199" t="s">
        <v>3617</v>
      </c>
      <c r="O1199" t="s">
        <v>3618</v>
      </c>
      <c r="P1199" t="s">
        <v>20</v>
      </c>
      <c r="Q1199">
        <f>(VALUE(LEFT(SUBSTITUTE(O1199,"T"," "),23)) - VALUE(LEFT(SUBSTITUTE(N1199,"T"," "),23))) * 86400</f>
        <v>337.2470002155751</v>
      </c>
      <c r="R1199">
        <f>I1199/G1199</f>
        <v>2.622882022766616E-2</v>
      </c>
      <c r="S1199">
        <f>H1199/G1199</f>
        <v>0.38031789330115934</v>
      </c>
    </row>
    <row r="1200" spans="1:19" hidden="1" x14ac:dyDescent="0.2">
      <c r="A1200">
        <v>24</v>
      </c>
      <c r="B1200" t="s">
        <v>25</v>
      </c>
      <c r="C1200">
        <v>0</v>
      </c>
      <c r="D1200">
        <v>3</v>
      </c>
      <c r="E1200">
        <v>1012</v>
      </c>
      <c r="F1200" t="b">
        <v>1</v>
      </c>
      <c r="G1200">
        <v>43.072000000000003</v>
      </c>
      <c r="H1200">
        <v>24</v>
      </c>
      <c r="I1200">
        <v>0</v>
      </c>
      <c r="J1200">
        <v>0</v>
      </c>
      <c r="K1200" t="s">
        <v>3619</v>
      </c>
      <c r="L1200">
        <v>0</v>
      </c>
      <c r="N1200" t="s">
        <v>3620</v>
      </c>
      <c r="O1200" t="s">
        <v>3621</v>
      </c>
      <c r="P1200" t="s">
        <v>20</v>
      </c>
      <c r="Q1200">
        <f>(VALUE(LEFT(SUBSTITUTE(O1200,"T"," "),23)) - VALUE(LEFT(SUBSTITUTE(N1200,"T"," "),23))) * 86400</f>
        <v>176.13099999725819</v>
      </c>
      <c r="R1200">
        <f>I1200/G1200</f>
        <v>0</v>
      </c>
      <c r="S1200">
        <f>H1200/G1200</f>
        <v>0.5572065378900446</v>
      </c>
    </row>
    <row r="1201" spans="1:19" x14ac:dyDescent="0.2">
      <c r="A1201">
        <v>25</v>
      </c>
      <c r="B1201" t="s">
        <v>3414</v>
      </c>
      <c r="C1201">
        <v>2</v>
      </c>
      <c r="D1201">
        <v>3</v>
      </c>
      <c r="E1201">
        <v>1012</v>
      </c>
      <c r="F1201" t="b">
        <v>1</v>
      </c>
      <c r="G1201">
        <v>60.448</v>
      </c>
      <c r="H1201">
        <v>32</v>
      </c>
      <c r="I1201">
        <v>1</v>
      </c>
      <c r="J1201">
        <v>0.06</v>
      </c>
      <c r="K1201" t="s">
        <v>3622</v>
      </c>
      <c r="L1201">
        <v>0</v>
      </c>
      <c r="N1201" t="s">
        <v>3623</v>
      </c>
      <c r="O1201" t="s">
        <v>3624</v>
      </c>
      <c r="P1201" t="s">
        <v>20</v>
      </c>
      <c r="Q1201">
        <f>(VALUE(LEFT(SUBSTITUTE(O1201,"T"," "),23)) - VALUE(LEFT(SUBSTITUTE(N1201,"T"," "),23))) * 86400</f>
        <v>279.7149998601526</v>
      </c>
      <c r="R1201">
        <f>I1201/G1201</f>
        <v>1.6543144520910536E-2</v>
      </c>
      <c r="S1201">
        <f>H1201/G1201</f>
        <v>0.52938062466913716</v>
      </c>
    </row>
    <row r="1202" spans="1:19" x14ac:dyDescent="0.2">
      <c r="A1202">
        <v>26</v>
      </c>
      <c r="B1202" t="s">
        <v>25</v>
      </c>
      <c r="C1202">
        <v>2</v>
      </c>
      <c r="D1202">
        <v>3</v>
      </c>
      <c r="E1202">
        <v>1012</v>
      </c>
      <c r="F1202" t="b">
        <v>1</v>
      </c>
      <c r="G1202">
        <v>40.787999999999997</v>
      </c>
      <c r="H1202">
        <v>26</v>
      </c>
      <c r="I1202">
        <v>2</v>
      </c>
      <c r="J1202">
        <v>1.08</v>
      </c>
      <c r="K1202" t="s">
        <v>3625</v>
      </c>
      <c r="L1202">
        <v>0</v>
      </c>
      <c r="N1202" t="s">
        <v>3626</v>
      </c>
      <c r="O1202" t="s">
        <v>3627</v>
      </c>
      <c r="P1202" t="s">
        <v>20</v>
      </c>
      <c r="Q1202">
        <f>(VALUE(LEFT(SUBSTITUTE(O1202,"T"," "),23)) - VALUE(LEFT(SUBSTITUTE(N1202,"T"," "),23))) * 86400</f>
        <v>165.59999948367476</v>
      </c>
      <c r="R1202">
        <f>I1202/G1202</f>
        <v>4.9034029616553891E-2</v>
      </c>
      <c r="S1202">
        <f>H1202/G1202</f>
        <v>0.63744238501520056</v>
      </c>
    </row>
    <row r="1203" spans="1:19" hidden="1" x14ac:dyDescent="0.2">
      <c r="A1203">
        <v>27</v>
      </c>
      <c r="B1203" t="s">
        <v>3414</v>
      </c>
      <c r="C1203">
        <v>5</v>
      </c>
      <c r="D1203">
        <v>3</v>
      </c>
      <c r="E1203">
        <v>1012</v>
      </c>
      <c r="F1203" t="b">
        <v>1</v>
      </c>
      <c r="G1203">
        <v>59.851999999999997</v>
      </c>
      <c r="H1203">
        <v>27</v>
      </c>
      <c r="I1203">
        <v>2</v>
      </c>
      <c r="J1203">
        <v>0.24</v>
      </c>
      <c r="K1203" t="s">
        <v>3628</v>
      </c>
      <c r="L1203">
        <v>0</v>
      </c>
      <c r="N1203" t="s">
        <v>3629</v>
      </c>
      <c r="O1203" t="s">
        <v>3630</v>
      </c>
      <c r="P1203" t="s">
        <v>20</v>
      </c>
      <c r="Q1203">
        <f>(VALUE(LEFT(SUBSTITUTE(O1203,"T"," "),23)) - VALUE(LEFT(SUBSTITUTE(N1203,"T"," "),23))) * 86400</f>
        <v>268.99899984709918</v>
      </c>
      <c r="R1203">
        <f>I1203/G1203</f>
        <v>3.3415758871883985E-2</v>
      </c>
      <c r="S1203">
        <f>H1203/G1203</f>
        <v>0.45111274477043378</v>
      </c>
    </row>
    <row r="1204" spans="1:19" hidden="1" x14ac:dyDescent="0.2">
      <c r="A1204">
        <v>28</v>
      </c>
      <c r="B1204" t="s">
        <v>25</v>
      </c>
      <c r="C1204">
        <v>5</v>
      </c>
      <c r="D1204">
        <v>3</v>
      </c>
      <c r="E1204">
        <v>1012</v>
      </c>
      <c r="F1204" t="b">
        <v>1</v>
      </c>
      <c r="G1204">
        <v>47.392000000000003</v>
      </c>
      <c r="H1204">
        <v>23</v>
      </c>
      <c r="I1204">
        <v>1</v>
      </c>
      <c r="J1204">
        <v>0.3</v>
      </c>
      <c r="K1204" t="s">
        <v>3631</v>
      </c>
      <c r="L1204">
        <v>0</v>
      </c>
      <c r="N1204" t="s">
        <v>3632</v>
      </c>
      <c r="O1204" t="s">
        <v>3633</v>
      </c>
      <c r="P1204" t="s">
        <v>20</v>
      </c>
      <c r="Q1204">
        <f>(VALUE(LEFT(SUBSTITUTE(O1204,"T"," "),23)) - VALUE(LEFT(SUBSTITUTE(N1204,"T"," "),23))) * 86400</f>
        <v>183.36500006262213</v>
      </c>
      <c r="R1204">
        <f>I1204/G1204</f>
        <v>2.1100607697501685E-2</v>
      </c>
      <c r="S1204">
        <f>H1204/G1204</f>
        <v>0.48531397704253881</v>
      </c>
    </row>
    <row r="1205" spans="1:19" hidden="1" x14ac:dyDescent="0.2">
      <c r="A1205">
        <v>29</v>
      </c>
      <c r="B1205" t="s">
        <v>3414</v>
      </c>
      <c r="C1205">
        <v>10</v>
      </c>
      <c r="D1205">
        <v>3</v>
      </c>
      <c r="E1205">
        <v>1012</v>
      </c>
      <c r="F1205" t="b">
        <v>1</v>
      </c>
      <c r="G1205">
        <v>42.372</v>
      </c>
      <c r="H1205">
        <v>30</v>
      </c>
      <c r="I1205">
        <v>1</v>
      </c>
      <c r="J1205">
        <v>0.24</v>
      </c>
      <c r="K1205" t="s">
        <v>3634</v>
      </c>
      <c r="L1205">
        <v>0</v>
      </c>
      <c r="N1205" t="s">
        <v>3635</v>
      </c>
      <c r="O1205" t="s">
        <v>3636</v>
      </c>
      <c r="P1205" t="s">
        <v>20</v>
      </c>
      <c r="Q1205">
        <f>(VALUE(LEFT(SUBSTITUTE(O1205,"T"," "),23)) - VALUE(LEFT(SUBSTITUTE(N1205,"T"," "),23))) * 86400</f>
        <v>191.98400003369898</v>
      </c>
      <c r="R1205">
        <f>I1205/G1205</f>
        <v>2.3600490890210518E-2</v>
      </c>
      <c r="S1205">
        <f>H1205/G1205</f>
        <v>0.70801472670631549</v>
      </c>
    </row>
    <row r="1206" spans="1:19" hidden="1" x14ac:dyDescent="0.2">
      <c r="A1206">
        <v>30</v>
      </c>
      <c r="B1206" t="s">
        <v>25</v>
      </c>
      <c r="C1206">
        <v>10</v>
      </c>
      <c r="D1206">
        <v>3</v>
      </c>
      <c r="E1206">
        <v>1012</v>
      </c>
      <c r="F1206" t="b">
        <v>1</v>
      </c>
      <c r="G1206">
        <v>41.207999999999998</v>
      </c>
      <c r="H1206">
        <v>21</v>
      </c>
      <c r="I1206">
        <v>2</v>
      </c>
      <c r="J1206">
        <v>1.2</v>
      </c>
      <c r="K1206" t="s">
        <v>3637</v>
      </c>
      <c r="L1206">
        <v>0</v>
      </c>
      <c r="N1206" t="s">
        <v>3638</v>
      </c>
      <c r="O1206" t="s">
        <v>3639</v>
      </c>
      <c r="P1206" t="s">
        <v>20</v>
      </c>
      <c r="Q1206">
        <f>(VALUE(LEFT(SUBSTITUTE(O1206,"T"," "),23)) - VALUE(LEFT(SUBSTITUTE(N1206,"T"," "),23))) * 86400</f>
        <v>167.6719996612519</v>
      </c>
      <c r="R1206">
        <f>I1206/G1206</f>
        <v>4.8534265191225008E-2</v>
      </c>
      <c r="S1206">
        <f>H1206/G1206</f>
        <v>0.50960978450786254</v>
      </c>
    </row>
    <row r="1207" spans="1:19" hidden="1" x14ac:dyDescent="0.2">
      <c r="A1207">
        <v>110</v>
      </c>
      <c r="B1207" t="s">
        <v>21</v>
      </c>
      <c r="C1207">
        <v>-1</v>
      </c>
      <c r="D1207">
        <v>5</v>
      </c>
      <c r="E1207">
        <v>1016</v>
      </c>
      <c r="F1207" t="b">
        <v>1</v>
      </c>
      <c r="G1207">
        <v>79.256</v>
      </c>
      <c r="H1207">
        <v>28</v>
      </c>
      <c r="I1207">
        <v>5</v>
      </c>
      <c r="J1207">
        <v>3.12</v>
      </c>
      <c r="K1207" t="s">
        <v>1303</v>
      </c>
      <c r="L1207">
        <v>0</v>
      </c>
      <c r="N1207" t="s">
        <v>1304</v>
      </c>
      <c r="O1207" t="s">
        <v>1305</v>
      </c>
      <c r="P1207" t="s">
        <v>20</v>
      </c>
      <c r="Q1207">
        <f>(VALUE(LEFT(SUBSTITUTE(O1207,"T"," "),23)) - VALUE(LEFT(SUBSTITUTE(N1207,"T"," "),23))) * 86400</f>
        <v>365.30500031076372</v>
      </c>
      <c r="R1207">
        <f>I1207/G1207</f>
        <v>6.3086706369233872E-2</v>
      </c>
      <c r="S1207">
        <f>H1207/G1207</f>
        <v>0.35328555566770969</v>
      </c>
    </row>
    <row r="1208" spans="1:19" hidden="1" x14ac:dyDescent="0.2">
      <c r="A1208">
        <v>29</v>
      </c>
      <c r="B1208" t="s">
        <v>21</v>
      </c>
      <c r="C1208">
        <v>-1</v>
      </c>
      <c r="D1208">
        <v>2</v>
      </c>
      <c r="E1208">
        <v>1018</v>
      </c>
      <c r="F1208" t="b">
        <v>1</v>
      </c>
      <c r="G1208">
        <v>88.128</v>
      </c>
      <c r="H1208">
        <v>31</v>
      </c>
      <c r="I1208">
        <v>10</v>
      </c>
      <c r="J1208">
        <v>9.1199999999999992</v>
      </c>
      <c r="K1208" t="s">
        <v>2075</v>
      </c>
      <c r="L1208">
        <v>0</v>
      </c>
      <c r="N1208" t="s">
        <v>2076</v>
      </c>
      <c r="O1208" t="s">
        <v>2077</v>
      </c>
      <c r="P1208" t="s">
        <v>20</v>
      </c>
      <c r="Q1208">
        <f>(VALUE(LEFT(SUBSTITUTE(O1208,"T"," "),23)) - VALUE(LEFT(SUBSTITUTE(N1208,"T"," "),23))) * 86400</f>
        <v>213.21300000417978</v>
      </c>
      <c r="R1208">
        <f>I1208/G1208</f>
        <v>0.11347131445170661</v>
      </c>
      <c r="S1208">
        <f>H1208/G1208</f>
        <v>0.35176107480029051</v>
      </c>
    </row>
    <row r="1209" spans="1:19" hidden="1" x14ac:dyDescent="0.2">
      <c r="A1209">
        <v>33</v>
      </c>
      <c r="B1209" t="s">
        <v>3414</v>
      </c>
      <c r="C1209">
        <v>0</v>
      </c>
      <c r="D1209">
        <v>4</v>
      </c>
      <c r="E1209">
        <v>1013</v>
      </c>
      <c r="F1209" t="b">
        <v>1</v>
      </c>
      <c r="G1209">
        <v>57.915999999999997</v>
      </c>
      <c r="H1209">
        <v>25</v>
      </c>
      <c r="I1209">
        <v>3</v>
      </c>
      <c r="J1209">
        <v>1.26</v>
      </c>
      <c r="K1209" t="s">
        <v>3646</v>
      </c>
      <c r="L1209">
        <v>0</v>
      </c>
      <c r="N1209" t="s">
        <v>3647</v>
      </c>
      <c r="O1209" t="s">
        <v>3648</v>
      </c>
      <c r="P1209" t="s">
        <v>20</v>
      </c>
      <c r="Q1209">
        <f>(VALUE(LEFT(SUBSTITUTE(O1209,"T"," "),23)) - VALUE(LEFT(SUBSTITUTE(N1209,"T"," "),23))) * 86400</f>
        <v>260.42099995538592</v>
      </c>
      <c r="R1209">
        <f>I1209/G1209</f>
        <v>5.1799157400372955E-2</v>
      </c>
      <c r="S1209">
        <f>H1209/G1209</f>
        <v>0.43165964500310799</v>
      </c>
    </row>
    <row r="1210" spans="1:19" hidden="1" x14ac:dyDescent="0.2">
      <c r="A1210">
        <v>34</v>
      </c>
      <c r="B1210" t="s">
        <v>25</v>
      </c>
      <c r="C1210">
        <v>0</v>
      </c>
      <c r="D1210">
        <v>4</v>
      </c>
      <c r="E1210">
        <v>1013</v>
      </c>
      <c r="F1210" t="b">
        <v>1</v>
      </c>
      <c r="G1210">
        <v>44.295999999999999</v>
      </c>
      <c r="H1210">
        <v>27</v>
      </c>
      <c r="I1210">
        <v>0</v>
      </c>
      <c r="J1210">
        <v>0</v>
      </c>
      <c r="K1210" t="s">
        <v>3649</v>
      </c>
      <c r="L1210">
        <v>0</v>
      </c>
      <c r="N1210" t="s">
        <v>3650</v>
      </c>
      <c r="O1210" t="s">
        <v>3651</v>
      </c>
      <c r="P1210" t="s">
        <v>20</v>
      </c>
      <c r="Q1210">
        <f>(VALUE(LEFT(SUBSTITUTE(O1210,"T"," "),23)) - VALUE(LEFT(SUBSTITUTE(N1210,"T"," "),23))) * 86400</f>
        <v>180.18600025679916</v>
      </c>
      <c r="R1210">
        <f>I1210/G1210</f>
        <v>0</v>
      </c>
      <c r="S1210">
        <f>H1210/G1210</f>
        <v>0.60953584973812536</v>
      </c>
    </row>
    <row r="1211" spans="1:19" x14ac:dyDescent="0.2">
      <c r="A1211">
        <v>35</v>
      </c>
      <c r="B1211" t="s">
        <v>3414</v>
      </c>
      <c r="C1211">
        <v>2</v>
      </c>
      <c r="D1211">
        <v>4</v>
      </c>
      <c r="E1211">
        <v>1013</v>
      </c>
      <c r="F1211" t="b">
        <v>1</v>
      </c>
      <c r="G1211">
        <v>50.572000000000003</v>
      </c>
      <c r="H1211">
        <v>20</v>
      </c>
      <c r="I1211">
        <v>2</v>
      </c>
      <c r="J1211">
        <v>0.48</v>
      </c>
      <c r="K1211" t="s">
        <v>3652</v>
      </c>
      <c r="L1211">
        <v>0</v>
      </c>
      <c r="N1211" t="s">
        <v>3653</v>
      </c>
      <c r="O1211" t="s">
        <v>3654</v>
      </c>
      <c r="P1211" t="s">
        <v>20</v>
      </c>
      <c r="Q1211">
        <f>(VALUE(LEFT(SUBSTITUTE(O1211,"T"," "),23)) - VALUE(LEFT(SUBSTITUTE(N1211,"T"," "),23))) * 86400</f>
        <v>233.91900002025068</v>
      </c>
      <c r="R1211">
        <f>I1211/G1211</f>
        <v>3.954757573360753E-2</v>
      </c>
      <c r="S1211">
        <f>H1211/G1211</f>
        <v>0.39547575733607526</v>
      </c>
    </row>
    <row r="1212" spans="1:19" x14ac:dyDescent="0.2">
      <c r="A1212">
        <v>36</v>
      </c>
      <c r="B1212" t="s">
        <v>25</v>
      </c>
      <c r="C1212">
        <v>2</v>
      </c>
      <c r="D1212">
        <v>4</v>
      </c>
      <c r="E1212">
        <v>1013</v>
      </c>
      <c r="F1212" t="b">
        <v>1</v>
      </c>
      <c r="G1212">
        <v>48.204000000000001</v>
      </c>
      <c r="H1212">
        <v>21</v>
      </c>
      <c r="I1212">
        <v>0</v>
      </c>
      <c r="J1212">
        <v>0</v>
      </c>
      <c r="K1212" t="s">
        <v>3655</v>
      </c>
      <c r="L1212">
        <v>0</v>
      </c>
      <c r="N1212" t="s">
        <v>3656</v>
      </c>
      <c r="O1212" t="s">
        <v>3657</v>
      </c>
      <c r="P1212" t="s">
        <v>20</v>
      </c>
      <c r="Q1212">
        <f>(VALUE(LEFT(SUBSTITUTE(O1212,"T"," "),23)) - VALUE(LEFT(SUBSTITUTE(N1212,"T"," "),23))) * 86400</f>
        <v>196.06000010389835</v>
      </c>
      <c r="R1212">
        <f>I1212/G1212</f>
        <v>0</v>
      </c>
      <c r="S1212">
        <f>H1212/G1212</f>
        <v>0.43564849390092109</v>
      </c>
    </row>
    <row r="1213" spans="1:19" hidden="1" x14ac:dyDescent="0.2">
      <c r="A1213">
        <v>37</v>
      </c>
      <c r="B1213" t="s">
        <v>3414</v>
      </c>
      <c r="C1213">
        <v>5</v>
      </c>
      <c r="D1213">
        <v>4</v>
      </c>
      <c r="E1213">
        <v>1013</v>
      </c>
      <c r="F1213" t="b">
        <v>1</v>
      </c>
      <c r="G1213">
        <v>54.16</v>
      </c>
      <c r="H1213">
        <v>27</v>
      </c>
      <c r="I1213">
        <v>2</v>
      </c>
      <c r="J1213">
        <v>0.42</v>
      </c>
      <c r="K1213" t="s">
        <v>3658</v>
      </c>
      <c r="L1213">
        <v>0</v>
      </c>
      <c r="N1213" t="s">
        <v>3659</v>
      </c>
      <c r="O1213" t="s">
        <v>3660</v>
      </c>
      <c r="P1213" t="s">
        <v>20</v>
      </c>
      <c r="Q1213">
        <f>(VALUE(LEFT(SUBSTITUTE(O1213,"T"," "),23)) - VALUE(LEFT(SUBSTITUTE(N1213,"T"," "),23))) * 86400</f>
        <v>252.0109998062253</v>
      </c>
      <c r="R1213">
        <f>I1213/G1213</f>
        <v>3.6927621861152143E-2</v>
      </c>
      <c r="S1213">
        <f>H1213/G1213</f>
        <v>0.49852289512555392</v>
      </c>
    </row>
    <row r="1214" spans="1:19" hidden="1" x14ac:dyDescent="0.2">
      <c r="A1214">
        <v>38</v>
      </c>
      <c r="B1214" t="s">
        <v>25</v>
      </c>
      <c r="C1214">
        <v>5</v>
      </c>
      <c r="D1214">
        <v>4</v>
      </c>
      <c r="E1214">
        <v>1013</v>
      </c>
      <c r="F1214" t="b">
        <v>1</v>
      </c>
      <c r="G1214">
        <v>53.02</v>
      </c>
      <c r="H1214">
        <v>23</v>
      </c>
      <c r="I1214">
        <v>3</v>
      </c>
      <c r="J1214">
        <v>0.72</v>
      </c>
      <c r="K1214" t="s">
        <v>3661</v>
      </c>
      <c r="L1214">
        <v>0</v>
      </c>
      <c r="N1214" t="s">
        <v>3662</v>
      </c>
      <c r="O1214" t="s">
        <v>3663</v>
      </c>
      <c r="P1214" t="s">
        <v>20</v>
      </c>
      <c r="Q1214">
        <f>(VALUE(LEFT(SUBSTITUTE(O1214,"T"," "),23)) - VALUE(LEFT(SUBSTITUTE(N1214,"T"," "),23))) * 86400</f>
        <v>211.20299971662462</v>
      </c>
      <c r="R1214">
        <f>I1214/G1214</f>
        <v>5.6582421727649941E-2</v>
      </c>
      <c r="S1214">
        <f>H1214/G1214</f>
        <v>0.43379856657864951</v>
      </c>
    </row>
    <row r="1215" spans="1:19" hidden="1" x14ac:dyDescent="0.2">
      <c r="A1215">
        <v>39</v>
      </c>
      <c r="B1215" t="s">
        <v>3414</v>
      </c>
      <c r="C1215">
        <v>10</v>
      </c>
      <c r="D1215">
        <v>4</v>
      </c>
      <c r="E1215">
        <v>1013</v>
      </c>
      <c r="F1215" t="b">
        <v>1</v>
      </c>
      <c r="G1215">
        <v>98.572000000000003</v>
      </c>
      <c r="H1215">
        <v>25</v>
      </c>
      <c r="I1215">
        <v>8</v>
      </c>
      <c r="J1215">
        <v>2.16</v>
      </c>
      <c r="K1215" t="s">
        <v>3664</v>
      </c>
      <c r="L1215">
        <v>0</v>
      </c>
      <c r="N1215" t="s">
        <v>3665</v>
      </c>
      <c r="O1215" t="s">
        <v>3666</v>
      </c>
      <c r="P1215" t="s">
        <v>20</v>
      </c>
      <c r="Q1215">
        <f>(VALUE(LEFT(SUBSTITUTE(O1215,"T"," "),23)) - VALUE(LEFT(SUBSTITUTE(N1215,"T"," "),23))) * 86400</f>
        <v>431.93999959621578</v>
      </c>
      <c r="R1215">
        <f>I1215/G1215</f>
        <v>8.1158949803189551E-2</v>
      </c>
      <c r="S1215">
        <f>H1215/G1215</f>
        <v>0.25362171813496731</v>
      </c>
    </row>
    <row r="1216" spans="1:19" hidden="1" x14ac:dyDescent="0.2">
      <c r="A1216">
        <v>40</v>
      </c>
      <c r="B1216" t="s">
        <v>25</v>
      </c>
      <c r="C1216">
        <v>10</v>
      </c>
      <c r="D1216">
        <v>4</v>
      </c>
      <c r="E1216">
        <v>1013</v>
      </c>
      <c r="F1216" t="b">
        <v>1</v>
      </c>
      <c r="G1216">
        <v>48.795999999999999</v>
      </c>
      <c r="H1216">
        <v>24</v>
      </c>
      <c r="I1216">
        <v>2</v>
      </c>
      <c r="J1216">
        <v>0.3</v>
      </c>
      <c r="K1216" t="s">
        <v>3667</v>
      </c>
      <c r="L1216">
        <v>0</v>
      </c>
      <c r="N1216" t="s">
        <v>3668</v>
      </c>
      <c r="O1216" t="s">
        <v>3669</v>
      </c>
      <c r="P1216" t="s">
        <v>20</v>
      </c>
      <c r="Q1216">
        <f>(VALUE(LEFT(SUBSTITUTE(O1216,"T"," "),23)) - VALUE(LEFT(SUBSTITUTE(N1216,"T"," "),23))) * 86400</f>
        <v>194.97399965766817</v>
      </c>
      <c r="R1216">
        <f>I1216/G1216</f>
        <v>4.0986966144765963E-2</v>
      </c>
      <c r="S1216">
        <f>H1216/G1216</f>
        <v>0.49184359373719155</v>
      </c>
    </row>
    <row r="1217" spans="1:19" hidden="1" x14ac:dyDescent="0.2">
      <c r="A1217">
        <v>9</v>
      </c>
      <c r="B1217" t="s">
        <v>2531</v>
      </c>
      <c r="C1217">
        <v>-1</v>
      </c>
      <c r="D1217">
        <v>2</v>
      </c>
      <c r="E1217">
        <v>1011</v>
      </c>
      <c r="F1217" t="b">
        <v>1</v>
      </c>
      <c r="G1217">
        <v>85.391999999999996</v>
      </c>
      <c r="H1217">
        <v>30</v>
      </c>
      <c r="I1217">
        <v>11</v>
      </c>
      <c r="J1217">
        <v>13.62</v>
      </c>
      <c r="K1217" t="s">
        <v>2676</v>
      </c>
      <c r="L1217">
        <v>0</v>
      </c>
      <c r="N1217" t="s">
        <v>2677</v>
      </c>
      <c r="O1217" t="s">
        <v>2678</v>
      </c>
      <c r="P1217" t="s">
        <v>20</v>
      </c>
      <c r="Q1217">
        <f>(VALUE(LEFT(SUBSTITUTE(O1217,"T"," "),23)) - VALUE(LEFT(SUBSTITUTE(N1217,"T"," "),23))) * 86400</f>
        <v>437.61699995957315</v>
      </c>
      <c r="R1217">
        <f>I1217/G1217</f>
        <v>0.12881768783961028</v>
      </c>
      <c r="S1217">
        <f>H1217/G1217</f>
        <v>0.35132096683530073</v>
      </c>
    </row>
    <row r="1218" spans="1:19" hidden="1" x14ac:dyDescent="0.2">
      <c r="A1218" s="1">
        <v>2</v>
      </c>
      <c r="B1218" s="1" t="s">
        <v>21</v>
      </c>
      <c r="C1218" s="1">
        <v>-1</v>
      </c>
      <c r="D1218" s="1">
        <v>1</v>
      </c>
      <c r="E1218" s="1">
        <v>1001</v>
      </c>
      <c r="F1218" s="1" t="b">
        <v>1</v>
      </c>
      <c r="G1218" s="1">
        <v>79.587999999999994</v>
      </c>
      <c r="H1218" s="1">
        <v>27</v>
      </c>
      <c r="I1218" s="1">
        <v>11</v>
      </c>
      <c r="J1218" s="1">
        <v>12.06</v>
      </c>
      <c r="K1218" s="1" t="s">
        <v>293</v>
      </c>
      <c r="L1218" s="1">
        <v>0</v>
      </c>
      <c r="M1218" s="1"/>
      <c r="N1218" s="1" t="s">
        <v>294</v>
      </c>
      <c r="O1218" s="1" t="s">
        <v>295</v>
      </c>
      <c r="P1218" s="1" t="s">
        <v>20</v>
      </c>
      <c r="Q1218">
        <f>(VALUE(LEFT(SUBSTITUTE(O1218,"T"," "),23)) - VALUE(LEFT(SUBSTITUTE(N1218,"T"," "),23))) * 86400</f>
        <v>347.5020001642406</v>
      </c>
      <c r="R1218">
        <f>I1218/G1218</f>
        <v>0.13821179072221945</v>
      </c>
      <c r="S1218">
        <f>H1218/G1218</f>
        <v>0.33924712268181134</v>
      </c>
    </row>
    <row r="1219" spans="1:19" hidden="1" x14ac:dyDescent="0.2">
      <c r="A1219">
        <v>43</v>
      </c>
      <c r="B1219" t="s">
        <v>3414</v>
      </c>
      <c r="C1219">
        <v>0</v>
      </c>
      <c r="D1219">
        <v>5</v>
      </c>
      <c r="E1219">
        <v>1014</v>
      </c>
      <c r="F1219" t="b">
        <v>1</v>
      </c>
      <c r="G1219">
        <v>105.696</v>
      </c>
      <c r="H1219">
        <v>31</v>
      </c>
      <c r="I1219">
        <v>4</v>
      </c>
      <c r="J1219">
        <v>0.78</v>
      </c>
      <c r="K1219" t="s">
        <v>3676</v>
      </c>
      <c r="L1219">
        <v>0</v>
      </c>
      <c r="N1219" t="s">
        <v>3677</v>
      </c>
      <c r="O1219" t="s">
        <v>3678</v>
      </c>
      <c r="P1219" t="s">
        <v>20</v>
      </c>
      <c r="Q1219">
        <f>(VALUE(LEFT(SUBSTITUTE(O1219,"T"," "),23)) - VALUE(LEFT(SUBSTITUTE(N1219,"T"," "),23))) * 86400</f>
        <v>481.11299970187247</v>
      </c>
      <c r="R1219">
        <f>I1219/G1219</f>
        <v>3.7844383893430214E-2</v>
      </c>
      <c r="S1219">
        <f>H1219/G1219</f>
        <v>0.29329397517408418</v>
      </c>
    </row>
    <row r="1220" spans="1:19" hidden="1" x14ac:dyDescent="0.2">
      <c r="A1220">
        <v>44</v>
      </c>
      <c r="B1220" t="s">
        <v>25</v>
      </c>
      <c r="C1220">
        <v>0</v>
      </c>
      <c r="D1220">
        <v>5</v>
      </c>
      <c r="E1220">
        <v>1014</v>
      </c>
      <c r="F1220" t="b">
        <v>1</v>
      </c>
      <c r="G1220">
        <v>58.064</v>
      </c>
      <c r="H1220">
        <v>30</v>
      </c>
      <c r="I1220">
        <v>2</v>
      </c>
      <c r="J1220">
        <v>0.9</v>
      </c>
      <c r="K1220" t="s">
        <v>3679</v>
      </c>
      <c r="L1220">
        <v>0</v>
      </c>
      <c r="N1220" t="s">
        <v>3680</v>
      </c>
      <c r="O1220" t="s">
        <v>3681</v>
      </c>
      <c r="P1220" t="s">
        <v>20</v>
      </c>
      <c r="Q1220">
        <f>(VALUE(LEFT(SUBSTITUTE(O1220,"T"," "),23)) - VALUE(LEFT(SUBSTITUTE(N1220,"T"," "),23))) * 86400</f>
        <v>237.95899960678071</v>
      </c>
      <c r="R1220">
        <f>I1220/G1220</f>
        <v>3.4444750620005508E-2</v>
      </c>
      <c r="S1220">
        <f>H1220/G1220</f>
        <v>0.51667125930008262</v>
      </c>
    </row>
    <row r="1221" spans="1:19" hidden="1" x14ac:dyDescent="0.2">
      <c r="A1221">
        <v>17</v>
      </c>
      <c r="B1221" t="s">
        <v>2531</v>
      </c>
      <c r="C1221">
        <v>-1</v>
      </c>
      <c r="D1221">
        <v>3</v>
      </c>
      <c r="E1221">
        <v>1022</v>
      </c>
      <c r="F1221" t="b">
        <v>1</v>
      </c>
      <c r="G1221">
        <v>48.508000000000003</v>
      </c>
      <c r="H1221">
        <v>16</v>
      </c>
      <c r="I1221">
        <v>4</v>
      </c>
      <c r="J1221">
        <v>3.66</v>
      </c>
      <c r="K1221" t="s">
        <v>2820</v>
      </c>
      <c r="L1221">
        <v>0</v>
      </c>
      <c r="N1221" t="s">
        <v>2821</v>
      </c>
      <c r="O1221" t="s">
        <v>2822</v>
      </c>
      <c r="P1221" t="s">
        <v>20</v>
      </c>
      <c r="Q1221">
        <f>(VALUE(LEFT(SUBSTITUTE(O1221,"T"," "),23)) - VALUE(LEFT(SUBSTITUTE(N1221,"T"," "),23))) * 86400</f>
        <v>257.75500028394163</v>
      </c>
      <c r="R1221">
        <f>I1221/G1221</f>
        <v>8.2460625051537881E-2</v>
      </c>
      <c r="S1221">
        <f>H1221/G1221</f>
        <v>0.32984250020615152</v>
      </c>
    </row>
    <row r="1222" spans="1:19" hidden="1" x14ac:dyDescent="0.2">
      <c r="A1222">
        <v>28</v>
      </c>
      <c r="B1222" t="s">
        <v>16</v>
      </c>
      <c r="C1222">
        <v>-1</v>
      </c>
      <c r="D1222">
        <v>2</v>
      </c>
      <c r="E1222">
        <v>1008</v>
      </c>
      <c r="F1222" t="b">
        <v>1</v>
      </c>
      <c r="G1222">
        <v>69.963999999999999</v>
      </c>
      <c r="H1222">
        <v>23</v>
      </c>
      <c r="I1222">
        <v>9</v>
      </c>
      <c r="J1222">
        <v>12.12</v>
      </c>
      <c r="K1222" t="s">
        <v>1845</v>
      </c>
      <c r="L1222">
        <v>0</v>
      </c>
      <c r="N1222" t="s">
        <v>1846</v>
      </c>
      <c r="O1222" t="s">
        <v>1847</v>
      </c>
      <c r="P1222" t="s">
        <v>20</v>
      </c>
      <c r="Q1222">
        <f>(VALUE(LEFT(SUBSTITUTE(O1222,"T"," "),23)) - VALUE(LEFT(SUBSTITUTE(N1222,"T"," "),23))) * 86400</f>
        <v>139.53100049402565</v>
      </c>
      <c r="R1222">
        <f>I1222/G1222</f>
        <v>0.12863758504373679</v>
      </c>
      <c r="S1222">
        <f>H1222/G1222</f>
        <v>0.32874049511177178</v>
      </c>
    </row>
    <row r="1223" spans="1:19" hidden="1" x14ac:dyDescent="0.2">
      <c r="A1223">
        <v>3</v>
      </c>
      <c r="B1223" t="s">
        <v>3414</v>
      </c>
      <c r="C1223">
        <v>0</v>
      </c>
      <c r="D1223">
        <v>1</v>
      </c>
      <c r="E1223">
        <v>1020</v>
      </c>
      <c r="F1223" t="b">
        <v>1</v>
      </c>
      <c r="G1223">
        <v>55.024000000000001</v>
      </c>
      <c r="H1223">
        <v>29</v>
      </c>
      <c r="I1223">
        <v>0</v>
      </c>
      <c r="J1223">
        <v>0</v>
      </c>
      <c r="K1223" t="s">
        <v>3688</v>
      </c>
      <c r="L1223">
        <v>0</v>
      </c>
      <c r="N1223" t="s">
        <v>3689</v>
      </c>
      <c r="O1223" t="s">
        <v>3690</v>
      </c>
      <c r="P1223" t="s">
        <v>20</v>
      </c>
      <c r="Q1223">
        <f>(VALUE(LEFT(SUBSTITUTE(O1223,"T"," "),23)) - VALUE(LEFT(SUBSTITUTE(N1223,"T"," "),23))) * 86400</f>
        <v>274.70500012859702</v>
      </c>
      <c r="R1223">
        <f>I1223/G1223</f>
        <v>0</v>
      </c>
      <c r="S1223">
        <f>H1223/G1223</f>
        <v>0.52704274498400694</v>
      </c>
    </row>
    <row r="1224" spans="1:19" hidden="1" x14ac:dyDescent="0.2">
      <c r="A1224">
        <v>4</v>
      </c>
      <c r="B1224" t="s">
        <v>25</v>
      </c>
      <c r="C1224">
        <v>0</v>
      </c>
      <c r="D1224">
        <v>1</v>
      </c>
      <c r="E1224">
        <v>1020</v>
      </c>
      <c r="F1224" t="b">
        <v>1</v>
      </c>
      <c r="G1224">
        <v>76.2</v>
      </c>
      <c r="H1224">
        <v>28</v>
      </c>
      <c r="I1224">
        <v>2</v>
      </c>
      <c r="J1224">
        <v>0.78</v>
      </c>
      <c r="K1224" t="s">
        <v>3691</v>
      </c>
      <c r="L1224">
        <v>0</v>
      </c>
      <c r="N1224" t="s">
        <v>3692</v>
      </c>
      <c r="O1224" t="s">
        <v>3693</v>
      </c>
      <c r="P1224" t="s">
        <v>20</v>
      </c>
      <c r="Q1224">
        <f>(VALUE(LEFT(SUBSTITUTE(O1224,"T"," "),23)) - VALUE(LEFT(SUBSTITUTE(N1224,"T"," "),23))) * 86400</f>
        <v>297.95200049411505</v>
      </c>
      <c r="R1224">
        <f>I1224/G1224</f>
        <v>2.6246719160104987E-2</v>
      </c>
      <c r="S1224">
        <f>H1224/G1224</f>
        <v>0.36745406824146981</v>
      </c>
    </row>
    <row r="1225" spans="1:19" x14ac:dyDescent="0.2">
      <c r="A1225">
        <v>5</v>
      </c>
      <c r="B1225" t="s">
        <v>3414</v>
      </c>
      <c r="C1225">
        <v>2</v>
      </c>
      <c r="D1225">
        <v>1</v>
      </c>
      <c r="E1225">
        <v>1020</v>
      </c>
      <c r="F1225" t="b">
        <v>1</v>
      </c>
      <c r="G1225">
        <v>46.616</v>
      </c>
      <c r="H1225">
        <v>27</v>
      </c>
      <c r="I1225">
        <v>1</v>
      </c>
      <c r="J1225">
        <v>0.12</v>
      </c>
      <c r="K1225" t="s">
        <v>3694</v>
      </c>
      <c r="L1225">
        <v>0</v>
      </c>
      <c r="N1225" t="s">
        <v>3695</v>
      </c>
      <c r="O1225" t="s">
        <v>3696</v>
      </c>
      <c r="P1225" t="s">
        <v>20</v>
      </c>
      <c r="Q1225">
        <f>(VALUE(LEFT(SUBSTITUTE(O1225,"T"," "),23)) - VALUE(LEFT(SUBSTITUTE(N1225,"T"," "),23))) * 86400</f>
        <v>217.26500038057566</v>
      </c>
      <c r="R1225">
        <f>I1225/G1225</f>
        <v>2.1451862021623476E-2</v>
      </c>
      <c r="S1225">
        <f>H1225/G1225</f>
        <v>0.57920027458383383</v>
      </c>
    </row>
    <row r="1226" spans="1:19" x14ac:dyDescent="0.2">
      <c r="A1226">
        <v>6</v>
      </c>
      <c r="B1226" t="s">
        <v>25</v>
      </c>
      <c r="C1226">
        <v>2</v>
      </c>
      <c r="D1226">
        <v>1</v>
      </c>
      <c r="E1226">
        <v>1020</v>
      </c>
      <c r="F1226" t="b">
        <v>1</v>
      </c>
      <c r="G1226">
        <v>49.927999999999997</v>
      </c>
      <c r="H1226">
        <v>31</v>
      </c>
      <c r="I1226">
        <v>2</v>
      </c>
      <c r="J1226">
        <v>0.12</v>
      </c>
      <c r="K1226" t="s">
        <v>3697</v>
      </c>
      <c r="L1226">
        <v>0</v>
      </c>
      <c r="N1226" t="s">
        <v>3698</v>
      </c>
      <c r="O1226" t="s">
        <v>3699</v>
      </c>
      <c r="P1226" t="s">
        <v>20</v>
      </c>
      <c r="Q1226">
        <f>(VALUE(LEFT(SUBSTITUTE(O1226,"T"," "),23)) - VALUE(LEFT(SUBSTITUTE(N1226,"T"," "),23))) * 86400</f>
        <v>196.66699992958456</v>
      </c>
      <c r="R1226">
        <f>I1226/G1226</f>
        <v>4.0057683063611606E-2</v>
      </c>
      <c r="S1226">
        <f>H1226/G1226</f>
        <v>0.62089408748597985</v>
      </c>
    </row>
    <row r="1227" spans="1:19" hidden="1" x14ac:dyDescent="0.2">
      <c r="A1227">
        <v>7</v>
      </c>
      <c r="B1227" t="s">
        <v>3414</v>
      </c>
      <c r="C1227">
        <v>5</v>
      </c>
      <c r="D1227">
        <v>1</v>
      </c>
      <c r="E1227">
        <v>1020</v>
      </c>
      <c r="F1227" t="b">
        <v>1</v>
      </c>
      <c r="G1227">
        <v>59.351999999999997</v>
      </c>
      <c r="H1227">
        <v>26</v>
      </c>
      <c r="I1227">
        <v>3</v>
      </c>
      <c r="J1227">
        <v>0.54</v>
      </c>
      <c r="K1227" t="s">
        <v>3700</v>
      </c>
      <c r="L1227">
        <v>0</v>
      </c>
      <c r="N1227" t="s">
        <v>3701</v>
      </c>
      <c r="O1227" t="s">
        <v>3702</v>
      </c>
      <c r="P1227" t="s">
        <v>20</v>
      </c>
      <c r="Q1227">
        <f>(VALUE(LEFT(SUBSTITUTE(O1227,"T"," "),23)) - VALUE(LEFT(SUBSTITUTE(N1227,"T"," "),23))) * 86400</f>
        <v>273.00500054843724</v>
      </c>
      <c r="R1227">
        <f>I1227/G1227</f>
        <v>5.0545895673271335E-2</v>
      </c>
      <c r="S1227">
        <f>H1227/G1227</f>
        <v>0.43806442916835153</v>
      </c>
    </row>
    <row r="1228" spans="1:19" hidden="1" x14ac:dyDescent="0.2">
      <c r="A1228">
        <v>8</v>
      </c>
      <c r="B1228" t="s">
        <v>25</v>
      </c>
      <c r="C1228">
        <v>5</v>
      </c>
      <c r="D1228">
        <v>1</v>
      </c>
      <c r="E1228">
        <v>1020</v>
      </c>
      <c r="F1228" t="b">
        <v>1</v>
      </c>
      <c r="G1228">
        <v>48.131999999999998</v>
      </c>
      <c r="H1228">
        <v>29</v>
      </c>
      <c r="I1228">
        <v>2</v>
      </c>
      <c r="J1228">
        <v>0.12</v>
      </c>
      <c r="K1228" t="s">
        <v>3703</v>
      </c>
      <c r="L1228">
        <v>0</v>
      </c>
      <c r="N1228" t="s">
        <v>3704</v>
      </c>
      <c r="O1228" t="s">
        <v>3705</v>
      </c>
      <c r="P1228" t="s">
        <v>20</v>
      </c>
      <c r="Q1228">
        <f>(VALUE(LEFT(SUBSTITUTE(O1228,"T"," "),23)) - VALUE(LEFT(SUBSTITUTE(N1228,"T"," "),23))) * 86400</f>
        <v>195.68000002764165</v>
      </c>
      <c r="R1228">
        <f>I1228/G1228</f>
        <v>4.1552397573339984E-2</v>
      </c>
      <c r="S1228">
        <f>H1228/G1228</f>
        <v>0.60250976481342977</v>
      </c>
    </row>
    <row r="1229" spans="1:19" hidden="1" x14ac:dyDescent="0.2">
      <c r="A1229">
        <v>9</v>
      </c>
      <c r="B1229" t="s">
        <v>3414</v>
      </c>
      <c r="C1229">
        <v>10</v>
      </c>
      <c r="D1229">
        <v>1</v>
      </c>
      <c r="E1229">
        <v>1020</v>
      </c>
      <c r="F1229" t="b">
        <v>1</v>
      </c>
      <c r="G1229">
        <v>80.335999999999999</v>
      </c>
      <c r="H1229">
        <v>30</v>
      </c>
      <c r="I1229">
        <v>5</v>
      </c>
      <c r="J1229">
        <v>1.26</v>
      </c>
      <c r="K1229" t="s">
        <v>3706</v>
      </c>
      <c r="L1229">
        <v>0</v>
      </c>
      <c r="N1229" t="s">
        <v>3707</v>
      </c>
      <c r="O1229" t="s">
        <v>3708</v>
      </c>
      <c r="P1229" t="s">
        <v>20</v>
      </c>
      <c r="Q1229">
        <f>(VALUE(LEFT(SUBSTITUTE(O1229,"T"," "),23)) - VALUE(LEFT(SUBSTITUTE(N1229,"T"," "),23))) * 86400</f>
        <v>349.89199989940971</v>
      </c>
      <c r="R1229">
        <f>I1229/G1229</f>
        <v>6.2238597888866758E-2</v>
      </c>
      <c r="S1229">
        <f>H1229/G1229</f>
        <v>0.37343158733320059</v>
      </c>
    </row>
    <row r="1230" spans="1:19" hidden="1" x14ac:dyDescent="0.2">
      <c r="A1230">
        <v>10</v>
      </c>
      <c r="B1230" t="s">
        <v>25</v>
      </c>
      <c r="C1230">
        <v>10</v>
      </c>
      <c r="D1230">
        <v>1</v>
      </c>
      <c r="E1230">
        <v>1020</v>
      </c>
      <c r="F1230" t="b">
        <v>1</v>
      </c>
      <c r="G1230">
        <v>54.944000000000003</v>
      </c>
      <c r="H1230">
        <v>29</v>
      </c>
      <c r="I1230">
        <v>1</v>
      </c>
      <c r="J1230">
        <v>0.24</v>
      </c>
      <c r="K1230" t="s">
        <v>3709</v>
      </c>
      <c r="L1230">
        <v>0</v>
      </c>
      <c r="N1230" t="s">
        <v>3710</v>
      </c>
      <c r="O1230" t="s">
        <v>3711</v>
      </c>
      <c r="P1230" t="s">
        <v>20</v>
      </c>
      <c r="Q1230">
        <f>(VALUE(LEFT(SUBSTITUTE(O1230,"T"," "),23)) - VALUE(LEFT(SUBSTITUTE(N1230,"T"," "),23))) * 86400</f>
        <v>268.58199974521995</v>
      </c>
      <c r="R1230">
        <f>I1230/G1230</f>
        <v>1.8200349446709375E-2</v>
      </c>
      <c r="S1230">
        <f>H1230/G1230</f>
        <v>0.52781013395457188</v>
      </c>
    </row>
    <row r="1231" spans="1:19" hidden="1" x14ac:dyDescent="0.2">
      <c r="A1231">
        <v>56</v>
      </c>
      <c r="B1231" t="s">
        <v>21</v>
      </c>
      <c r="C1231">
        <v>-1</v>
      </c>
      <c r="D1231">
        <v>3</v>
      </c>
      <c r="E1231">
        <v>1019</v>
      </c>
      <c r="F1231" t="b">
        <v>1</v>
      </c>
      <c r="G1231">
        <v>70.436000000000007</v>
      </c>
      <c r="H1231">
        <v>23</v>
      </c>
      <c r="I1231">
        <v>7</v>
      </c>
      <c r="J1231">
        <v>5.0999999999999996</v>
      </c>
      <c r="K1231" t="s">
        <v>2156</v>
      </c>
      <c r="L1231">
        <v>0</v>
      </c>
      <c r="N1231" t="s">
        <v>2157</v>
      </c>
      <c r="O1231" t="s">
        <v>2158</v>
      </c>
      <c r="P1231" t="s">
        <v>20</v>
      </c>
      <c r="Q1231">
        <f>(VALUE(LEFT(SUBSTITUTE(O1231,"T"," "),23)) - VALUE(LEFT(SUBSTITUTE(N1231,"T"," "),23))) * 86400</f>
        <v>174.16199978906661</v>
      </c>
      <c r="R1231">
        <f>I1231/G1231</f>
        <v>9.9380998353114869E-2</v>
      </c>
      <c r="S1231">
        <f>H1231/G1231</f>
        <v>0.32653756601737743</v>
      </c>
    </row>
    <row r="1232" spans="1:19" hidden="1" x14ac:dyDescent="0.2">
      <c r="A1232">
        <v>2</v>
      </c>
      <c r="B1232" t="s">
        <v>21</v>
      </c>
      <c r="C1232">
        <v>-1</v>
      </c>
      <c r="D1232">
        <v>1</v>
      </c>
      <c r="E1232">
        <v>1017</v>
      </c>
      <c r="F1232" t="b">
        <v>1</v>
      </c>
      <c r="G1232">
        <v>83.364000000000004</v>
      </c>
      <c r="H1232">
        <v>27</v>
      </c>
      <c r="I1232">
        <v>7</v>
      </c>
      <c r="J1232">
        <v>7.68</v>
      </c>
      <c r="K1232" t="s">
        <v>1382</v>
      </c>
      <c r="L1232">
        <v>0</v>
      </c>
      <c r="N1232" t="s">
        <v>2009</v>
      </c>
      <c r="O1232" t="s">
        <v>2010</v>
      </c>
      <c r="P1232" t="s">
        <v>20</v>
      </c>
      <c r="Q1232">
        <f>(VALUE(LEFT(SUBSTITUTE(O1232,"T"," "),23)) - VALUE(LEFT(SUBSTITUTE(N1232,"T"," "),23))) * 86400</f>
        <v>345.20799983292818</v>
      </c>
      <c r="R1232">
        <f>I1232/G1232</f>
        <v>8.3969099371431308E-2</v>
      </c>
      <c r="S1232">
        <f>H1232/G1232</f>
        <v>0.32388081186123507</v>
      </c>
    </row>
    <row r="1233" spans="1:19" hidden="1" x14ac:dyDescent="0.2">
      <c r="A1233">
        <v>13</v>
      </c>
      <c r="B1233" t="s">
        <v>3414</v>
      </c>
      <c r="C1233">
        <v>0</v>
      </c>
      <c r="D1233">
        <v>2</v>
      </c>
      <c r="E1233">
        <v>1021</v>
      </c>
      <c r="F1233" t="b">
        <v>1</v>
      </c>
      <c r="G1233">
        <v>63.863999999999997</v>
      </c>
      <c r="H1233">
        <v>24</v>
      </c>
      <c r="I1233">
        <v>1</v>
      </c>
      <c r="J1233">
        <v>1.92</v>
      </c>
      <c r="K1233" t="s">
        <v>3718</v>
      </c>
      <c r="L1233">
        <v>0</v>
      </c>
      <c r="N1233" t="s">
        <v>3719</v>
      </c>
      <c r="O1233" t="s">
        <v>3720</v>
      </c>
      <c r="P1233" t="s">
        <v>20</v>
      </c>
      <c r="Q1233">
        <f>(VALUE(LEFT(SUBSTITUTE(O1233,"T"," "),23)) - VALUE(LEFT(SUBSTITUTE(N1233,"T"," "),23))) * 86400</f>
        <v>285.25199959985912</v>
      </c>
      <c r="R1233">
        <f>I1233/G1233</f>
        <v>1.5658273831892774E-2</v>
      </c>
      <c r="S1233">
        <f>H1233/G1233</f>
        <v>0.37579857196542654</v>
      </c>
    </row>
    <row r="1234" spans="1:19" hidden="1" x14ac:dyDescent="0.2">
      <c r="A1234">
        <v>14</v>
      </c>
      <c r="B1234" t="s">
        <v>25</v>
      </c>
      <c r="C1234">
        <v>0</v>
      </c>
      <c r="D1234">
        <v>2</v>
      </c>
      <c r="E1234">
        <v>1021</v>
      </c>
      <c r="F1234" t="b">
        <v>1</v>
      </c>
      <c r="G1234">
        <v>46.084000000000003</v>
      </c>
      <c r="H1234">
        <v>29</v>
      </c>
      <c r="I1234">
        <v>1</v>
      </c>
      <c r="J1234">
        <v>0.18</v>
      </c>
      <c r="K1234" t="s">
        <v>3721</v>
      </c>
      <c r="L1234">
        <v>0</v>
      </c>
      <c r="N1234" t="s">
        <v>3722</v>
      </c>
      <c r="O1234" t="s">
        <v>3723</v>
      </c>
      <c r="P1234" t="s">
        <v>20</v>
      </c>
      <c r="Q1234">
        <f>(VALUE(LEFT(SUBSTITUTE(O1234,"T"," "),23)) - VALUE(LEFT(SUBSTITUTE(N1234,"T"," "),23))) * 86400</f>
        <v>188.01099993288517</v>
      </c>
      <c r="R1234">
        <f>I1234/G1234</f>
        <v>2.1699505251280268E-2</v>
      </c>
      <c r="S1234">
        <f>H1234/G1234</f>
        <v>0.62928565228712785</v>
      </c>
    </row>
    <row r="1235" spans="1:19" x14ac:dyDescent="0.2">
      <c r="A1235">
        <v>15</v>
      </c>
      <c r="B1235" t="s">
        <v>3414</v>
      </c>
      <c r="C1235">
        <v>2</v>
      </c>
      <c r="D1235">
        <v>2</v>
      </c>
      <c r="E1235">
        <v>1021</v>
      </c>
      <c r="F1235" t="b">
        <v>1</v>
      </c>
      <c r="G1235">
        <v>62.027999999999999</v>
      </c>
      <c r="H1235">
        <v>26</v>
      </c>
      <c r="I1235">
        <v>3</v>
      </c>
      <c r="J1235">
        <v>2.2799999999999998</v>
      </c>
      <c r="K1235" t="s">
        <v>3724</v>
      </c>
      <c r="L1235">
        <v>0</v>
      </c>
      <c r="N1235" t="s">
        <v>3725</v>
      </c>
      <c r="O1235" t="s">
        <v>3726</v>
      </c>
      <c r="P1235" t="s">
        <v>20</v>
      </c>
      <c r="Q1235">
        <f>(VALUE(LEFT(SUBSTITUTE(O1235,"T"," "),23)) - VALUE(LEFT(SUBSTITUTE(N1235,"T"," "),23))) * 86400</f>
        <v>272.90100040845573</v>
      </c>
      <c r="R1235">
        <f>I1235/G1235</f>
        <v>4.836525440123815E-2</v>
      </c>
      <c r="S1235">
        <f>H1235/G1235</f>
        <v>0.41916553814406399</v>
      </c>
    </row>
    <row r="1236" spans="1:19" x14ac:dyDescent="0.2">
      <c r="A1236">
        <v>16</v>
      </c>
      <c r="B1236" t="s">
        <v>25</v>
      </c>
      <c r="C1236">
        <v>2</v>
      </c>
      <c r="D1236">
        <v>2</v>
      </c>
      <c r="E1236">
        <v>1021</v>
      </c>
      <c r="F1236" t="b">
        <v>1</v>
      </c>
      <c r="G1236">
        <v>62.031999999999996</v>
      </c>
      <c r="H1236">
        <v>28</v>
      </c>
      <c r="I1236">
        <v>4</v>
      </c>
      <c r="J1236">
        <v>0.9</v>
      </c>
      <c r="K1236" t="s">
        <v>3727</v>
      </c>
      <c r="L1236">
        <v>0</v>
      </c>
      <c r="N1236" t="s">
        <v>3728</v>
      </c>
      <c r="O1236" t="s">
        <v>3729</v>
      </c>
      <c r="P1236" t="s">
        <v>20</v>
      </c>
      <c r="Q1236">
        <f>(VALUE(LEFT(SUBSTITUTE(O1236,"T"," "),23)) - VALUE(LEFT(SUBSTITUTE(N1236,"T"," "),23))) * 86400</f>
        <v>243.63800031132996</v>
      </c>
      <c r="R1236">
        <f>I1236/G1236</f>
        <v>6.4482847562548365E-2</v>
      </c>
      <c r="S1236">
        <f>H1236/G1236</f>
        <v>0.45137993293783857</v>
      </c>
    </row>
    <row r="1237" spans="1:19" hidden="1" x14ac:dyDescent="0.2">
      <c r="A1237">
        <v>17</v>
      </c>
      <c r="B1237" t="s">
        <v>3414</v>
      </c>
      <c r="C1237">
        <v>5</v>
      </c>
      <c r="D1237">
        <v>2</v>
      </c>
      <c r="E1237">
        <v>1021</v>
      </c>
      <c r="F1237" t="b">
        <v>1</v>
      </c>
      <c r="G1237">
        <v>71.956000000000003</v>
      </c>
      <c r="H1237">
        <v>23</v>
      </c>
      <c r="I1237">
        <v>0</v>
      </c>
      <c r="J1237">
        <v>0</v>
      </c>
      <c r="K1237" t="s">
        <v>3730</v>
      </c>
      <c r="L1237">
        <v>0</v>
      </c>
      <c r="N1237" t="s">
        <v>3731</v>
      </c>
      <c r="O1237" t="s">
        <v>3732</v>
      </c>
      <c r="P1237" t="s">
        <v>20</v>
      </c>
      <c r="Q1237">
        <f>(VALUE(LEFT(SUBSTITUTE(O1237,"T"," "),23)) - VALUE(LEFT(SUBSTITUTE(N1237,"T"," "),23))) * 86400</f>
        <v>325.753000122495</v>
      </c>
      <c r="R1237">
        <f>I1237/G1237</f>
        <v>0</v>
      </c>
      <c r="S1237">
        <f>H1237/G1237</f>
        <v>0.31963977986547332</v>
      </c>
    </row>
    <row r="1238" spans="1:19" hidden="1" x14ac:dyDescent="0.2">
      <c r="A1238">
        <v>18</v>
      </c>
      <c r="B1238" t="s">
        <v>25</v>
      </c>
      <c r="C1238">
        <v>5</v>
      </c>
      <c r="D1238">
        <v>2</v>
      </c>
      <c r="E1238">
        <v>1021</v>
      </c>
      <c r="F1238" t="b">
        <v>1</v>
      </c>
      <c r="G1238">
        <v>60.34</v>
      </c>
      <c r="H1238">
        <v>28</v>
      </c>
      <c r="I1238">
        <v>0</v>
      </c>
      <c r="J1238">
        <v>0</v>
      </c>
      <c r="K1238" t="s">
        <v>3733</v>
      </c>
      <c r="L1238">
        <v>0</v>
      </c>
      <c r="N1238" t="s">
        <v>3734</v>
      </c>
      <c r="O1238" t="s">
        <v>3735</v>
      </c>
      <c r="P1238" t="s">
        <v>20</v>
      </c>
      <c r="Q1238">
        <f>(VALUE(LEFT(SUBSTITUTE(O1238,"T"," "),23)) - VALUE(LEFT(SUBSTITUTE(N1238,"T"," "),23))) * 86400</f>
        <v>238.33900031168014</v>
      </c>
      <c r="R1238">
        <f>I1238/G1238</f>
        <v>0</v>
      </c>
      <c r="S1238">
        <f>H1238/G1238</f>
        <v>0.46403712296983757</v>
      </c>
    </row>
    <row r="1239" spans="1:19" hidden="1" x14ac:dyDescent="0.2">
      <c r="A1239">
        <v>19</v>
      </c>
      <c r="B1239" t="s">
        <v>3414</v>
      </c>
      <c r="C1239">
        <v>10</v>
      </c>
      <c r="D1239">
        <v>2</v>
      </c>
      <c r="E1239">
        <v>1021</v>
      </c>
      <c r="F1239" t="b">
        <v>1</v>
      </c>
      <c r="G1239">
        <v>75.331999999999994</v>
      </c>
      <c r="H1239">
        <v>29</v>
      </c>
      <c r="I1239">
        <v>5</v>
      </c>
      <c r="J1239">
        <v>0.9</v>
      </c>
      <c r="K1239" t="s">
        <v>3736</v>
      </c>
      <c r="L1239">
        <v>0</v>
      </c>
      <c r="N1239" t="s">
        <v>3737</v>
      </c>
      <c r="O1239" t="s">
        <v>3738</v>
      </c>
      <c r="P1239" t="s">
        <v>20</v>
      </c>
      <c r="Q1239">
        <f>(VALUE(LEFT(SUBSTITUTE(O1239,"T"," "),23)) - VALUE(LEFT(SUBSTITUTE(N1239,"T"," "),23))) * 86400</f>
        <v>329.7290001064539</v>
      </c>
      <c r="R1239">
        <f>I1239/G1239</f>
        <v>6.6372856156746138E-2</v>
      </c>
      <c r="S1239">
        <f>H1239/G1239</f>
        <v>0.38496256570912762</v>
      </c>
    </row>
    <row r="1240" spans="1:19" hidden="1" x14ac:dyDescent="0.2">
      <c r="A1240">
        <v>20</v>
      </c>
      <c r="B1240" t="s">
        <v>25</v>
      </c>
      <c r="C1240">
        <v>10</v>
      </c>
      <c r="D1240">
        <v>2</v>
      </c>
      <c r="E1240">
        <v>1021</v>
      </c>
      <c r="F1240" t="b">
        <v>1</v>
      </c>
      <c r="G1240">
        <v>50.4</v>
      </c>
      <c r="H1240">
        <v>27</v>
      </c>
      <c r="I1240">
        <v>1</v>
      </c>
      <c r="J1240">
        <v>0.3</v>
      </c>
      <c r="K1240" t="s">
        <v>3739</v>
      </c>
      <c r="L1240">
        <v>0</v>
      </c>
      <c r="N1240" t="s">
        <v>3740</v>
      </c>
      <c r="O1240" t="s">
        <v>3741</v>
      </c>
      <c r="P1240" t="s">
        <v>20</v>
      </c>
      <c r="Q1240">
        <f>(VALUE(LEFT(SUBSTITUTE(O1240,"T"," "),23)) - VALUE(LEFT(SUBSTITUTE(N1240,"T"," "),23))) * 86400</f>
        <v>200.87300017476082</v>
      </c>
      <c r="R1240">
        <f>I1240/G1240</f>
        <v>1.984126984126984E-2</v>
      </c>
      <c r="S1240">
        <f>H1240/G1240</f>
        <v>0.5357142857142857</v>
      </c>
    </row>
    <row r="1241" spans="1:19" hidden="1" x14ac:dyDescent="0.2">
      <c r="A1241">
        <v>1</v>
      </c>
      <c r="B1241" t="s">
        <v>2476</v>
      </c>
      <c r="C1241">
        <v>-1</v>
      </c>
      <c r="D1241">
        <v>1</v>
      </c>
      <c r="E1241">
        <v>1017</v>
      </c>
      <c r="F1241" t="b">
        <v>1</v>
      </c>
      <c r="G1241">
        <v>86.548000000000002</v>
      </c>
      <c r="H1241">
        <v>27</v>
      </c>
      <c r="I1241">
        <v>10</v>
      </c>
      <c r="J1241">
        <v>15.42</v>
      </c>
      <c r="K1241" t="s">
        <v>2495</v>
      </c>
      <c r="L1241">
        <v>0</v>
      </c>
      <c r="N1241" t="s">
        <v>2496</v>
      </c>
      <c r="O1241" t="s">
        <v>2497</v>
      </c>
      <c r="P1241" t="s">
        <v>20</v>
      </c>
      <c r="Q1241">
        <f>(VALUE(LEFT(SUBSTITUTE(O1241,"T"," "),23)) - VALUE(LEFT(SUBSTITUTE(N1241,"T"," "),23))) * 86400</f>
        <v>342.53899964969605</v>
      </c>
      <c r="R1241">
        <f>I1241/G1241</f>
        <v>0.11554282016915468</v>
      </c>
      <c r="S1241">
        <f>H1241/G1241</f>
        <v>0.31196561445671767</v>
      </c>
    </row>
    <row r="1242" spans="1:19" hidden="1" x14ac:dyDescent="0.2">
      <c r="A1242">
        <v>29</v>
      </c>
      <c r="B1242" t="s">
        <v>21</v>
      </c>
      <c r="C1242">
        <v>-1</v>
      </c>
      <c r="D1242">
        <v>2</v>
      </c>
      <c r="E1242">
        <v>1008</v>
      </c>
      <c r="F1242" t="b">
        <v>1</v>
      </c>
      <c r="G1242">
        <v>78.043999999999997</v>
      </c>
      <c r="H1242">
        <v>24</v>
      </c>
      <c r="I1242">
        <v>9</v>
      </c>
      <c r="J1242">
        <v>9.36</v>
      </c>
      <c r="K1242" t="s">
        <v>1848</v>
      </c>
      <c r="L1242">
        <v>0</v>
      </c>
      <c r="N1242" t="s">
        <v>1849</v>
      </c>
      <c r="O1242" t="s">
        <v>1850</v>
      </c>
      <c r="P1242" t="s">
        <v>20</v>
      </c>
      <c r="Q1242">
        <f>(VALUE(LEFT(SUBSTITUTE(O1242,"T"," "),23)) - VALUE(LEFT(SUBSTITUTE(N1242,"T"," "),23))) * 86400</f>
        <v>247.0270001096651</v>
      </c>
      <c r="R1242">
        <f>I1242/G1242</f>
        <v>0.11531956332325355</v>
      </c>
      <c r="S1242">
        <f>H1242/G1242</f>
        <v>0.30751883552867615</v>
      </c>
    </row>
    <row r="1243" spans="1:19" hidden="1" x14ac:dyDescent="0.2">
      <c r="A1243">
        <v>23</v>
      </c>
      <c r="B1243" t="s">
        <v>3414</v>
      </c>
      <c r="C1243">
        <v>0</v>
      </c>
      <c r="D1243">
        <v>3</v>
      </c>
      <c r="E1243">
        <v>1022</v>
      </c>
      <c r="F1243" t="b">
        <v>1</v>
      </c>
      <c r="G1243">
        <v>49.887999999999998</v>
      </c>
      <c r="H1243">
        <v>22</v>
      </c>
      <c r="I1243">
        <v>1</v>
      </c>
      <c r="J1243">
        <v>0.18</v>
      </c>
      <c r="K1243" t="s">
        <v>3748</v>
      </c>
      <c r="L1243">
        <v>0</v>
      </c>
      <c r="N1243" t="s">
        <v>3749</v>
      </c>
      <c r="O1243" t="s">
        <v>3750</v>
      </c>
      <c r="P1243" t="s">
        <v>20</v>
      </c>
      <c r="Q1243">
        <f>(VALUE(LEFT(SUBSTITUTE(O1243,"T"," "),23)) - VALUE(LEFT(SUBSTITUTE(N1243,"T"," "),23))) * 86400</f>
        <v>225.85000020917505</v>
      </c>
      <c r="R1243">
        <f>I1243/G1243</f>
        <v>2.0044900577293138E-2</v>
      </c>
      <c r="S1243">
        <f>H1243/G1243</f>
        <v>0.44098781270044901</v>
      </c>
    </row>
    <row r="1244" spans="1:19" hidden="1" x14ac:dyDescent="0.2">
      <c r="A1244">
        <v>24</v>
      </c>
      <c r="B1244" t="s">
        <v>25</v>
      </c>
      <c r="C1244">
        <v>0</v>
      </c>
      <c r="D1244">
        <v>3</v>
      </c>
      <c r="E1244">
        <v>1022</v>
      </c>
      <c r="F1244" t="b">
        <v>1</v>
      </c>
      <c r="G1244">
        <v>48.932000000000002</v>
      </c>
      <c r="H1244">
        <v>23</v>
      </c>
      <c r="I1244">
        <v>1</v>
      </c>
      <c r="J1244">
        <v>0.12</v>
      </c>
      <c r="K1244" t="s">
        <v>3751</v>
      </c>
      <c r="L1244">
        <v>0</v>
      </c>
      <c r="N1244" t="s">
        <v>3752</v>
      </c>
      <c r="O1244" t="s">
        <v>3753</v>
      </c>
      <c r="P1244" t="s">
        <v>20</v>
      </c>
      <c r="Q1244">
        <f>(VALUE(LEFT(SUBSTITUTE(O1244,"T"," "),23)) - VALUE(LEFT(SUBSTITUTE(N1244,"T"," "),23))) * 86400</f>
        <v>195.15900041442364</v>
      </c>
      <c r="R1244">
        <f>I1244/G1244</f>
        <v>2.0436524155971553E-2</v>
      </c>
      <c r="S1244">
        <f>H1244/G1244</f>
        <v>0.47004005558734568</v>
      </c>
    </row>
    <row r="1245" spans="1:19" x14ac:dyDescent="0.2">
      <c r="A1245">
        <v>25</v>
      </c>
      <c r="B1245" t="s">
        <v>3414</v>
      </c>
      <c r="C1245">
        <v>2</v>
      </c>
      <c r="D1245">
        <v>3</v>
      </c>
      <c r="E1245">
        <v>1022</v>
      </c>
      <c r="F1245" t="b">
        <v>1</v>
      </c>
      <c r="G1245">
        <v>60.76</v>
      </c>
      <c r="H1245">
        <v>20</v>
      </c>
      <c r="I1245">
        <v>0</v>
      </c>
      <c r="J1245">
        <v>0</v>
      </c>
      <c r="K1245" t="s">
        <v>3754</v>
      </c>
      <c r="L1245">
        <v>0</v>
      </c>
      <c r="N1245" t="s">
        <v>3755</v>
      </c>
      <c r="O1245" t="s">
        <v>3756</v>
      </c>
      <c r="P1245" t="s">
        <v>20</v>
      </c>
      <c r="Q1245">
        <f>(VALUE(LEFT(SUBSTITUTE(O1245,"T"," "),23)) - VALUE(LEFT(SUBSTITUTE(N1245,"T"," "),23))) * 86400</f>
        <v>270.60000014025718</v>
      </c>
      <c r="R1245">
        <f>I1245/G1245</f>
        <v>0</v>
      </c>
      <c r="S1245">
        <f>H1245/G1245</f>
        <v>0.32916392363396973</v>
      </c>
    </row>
    <row r="1246" spans="1:19" x14ac:dyDescent="0.2">
      <c r="A1246">
        <v>26</v>
      </c>
      <c r="B1246" t="s">
        <v>25</v>
      </c>
      <c r="C1246">
        <v>2</v>
      </c>
      <c r="D1246">
        <v>3</v>
      </c>
      <c r="E1246">
        <v>1022</v>
      </c>
      <c r="F1246" t="b">
        <v>1</v>
      </c>
      <c r="G1246">
        <v>54.951999999999998</v>
      </c>
      <c r="H1246">
        <v>21</v>
      </c>
      <c r="I1246">
        <v>3</v>
      </c>
      <c r="J1246">
        <v>0.24</v>
      </c>
      <c r="K1246" t="s">
        <v>3757</v>
      </c>
      <c r="L1246">
        <v>0</v>
      </c>
      <c r="N1246" t="s">
        <v>3758</v>
      </c>
      <c r="O1246" t="s">
        <v>3759</v>
      </c>
      <c r="P1246" t="s">
        <v>20</v>
      </c>
      <c r="Q1246">
        <f>(VALUE(LEFT(SUBSTITUTE(O1246,"T"," "),23)) - VALUE(LEFT(SUBSTITUTE(N1246,"T"," "),23))) * 86400</f>
        <v>217.30499966070056</v>
      </c>
      <c r="R1246">
        <f>I1246/G1246</f>
        <v>5.459309943223177E-2</v>
      </c>
      <c r="S1246">
        <f>H1246/G1246</f>
        <v>0.38215169602562238</v>
      </c>
    </row>
    <row r="1247" spans="1:19" hidden="1" x14ac:dyDescent="0.2">
      <c r="A1247">
        <v>27</v>
      </c>
      <c r="B1247" t="s">
        <v>3414</v>
      </c>
      <c r="C1247">
        <v>5</v>
      </c>
      <c r="D1247">
        <v>3</v>
      </c>
      <c r="E1247">
        <v>1022</v>
      </c>
      <c r="F1247" t="b">
        <v>1</v>
      </c>
      <c r="G1247">
        <v>52.003999999999998</v>
      </c>
      <c r="H1247">
        <v>18</v>
      </c>
      <c r="I1247">
        <v>3</v>
      </c>
      <c r="J1247">
        <v>0.36</v>
      </c>
      <c r="K1247" t="s">
        <v>3760</v>
      </c>
      <c r="L1247">
        <v>0</v>
      </c>
      <c r="N1247" t="s">
        <v>3761</v>
      </c>
      <c r="O1247" t="s">
        <v>3762</v>
      </c>
      <c r="P1247" t="s">
        <v>20</v>
      </c>
      <c r="Q1247">
        <f>(VALUE(LEFT(SUBSTITUTE(O1247,"T"," "),23)) - VALUE(LEFT(SUBSTITUTE(N1247,"T"," "),23))) * 86400</f>
        <v>310.50799945369363</v>
      </c>
      <c r="R1247">
        <f>I1247/G1247</f>
        <v>5.7687870163833553E-2</v>
      </c>
      <c r="S1247">
        <f>H1247/G1247</f>
        <v>0.3461272209830013</v>
      </c>
    </row>
    <row r="1248" spans="1:19" hidden="1" x14ac:dyDescent="0.2">
      <c r="A1248">
        <v>28</v>
      </c>
      <c r="B1248" t="s">
        <v>25</v>
      </c>
      <c r="C1248">
        <v>5</v>
      </c>
      <c r="D1248">
        <v>3</v>
      </c>
      <c r="E1248">
        <v>1022</v>
      </c>
      <c r="F1248" t="b">
        <v>1</v>
      </c>
      <c r="G1248">
        <v>42.356000000000002</v>
      </c>
      <c r="H1248">
        <v>22</v>
      </c>
      <c r="I1248">
        <v>0</v>
      </c>
      <c r="J1248">
        <v>0</v>
      </c>
      <c r="K1248" t="s">
        <v>3763</v>
      </c>
      <c r="L1248">
        <v>0</v>
      </c>
      <c r="N1248" t="s">
        <v>3764</v>
      </c>
      <c r="O1248" t="s">
        <v>3765</v>
      </c>
      <c r="P1248" t="s">
        <v>20</v>
      </c>
      <c r="Q1248">
        <f>(VALUE(LEFT(SUBSTITUTE(O1248,"T"," "),23)) - VALUE(LEFT(SUBSTITUTE(N1248,"T"," "),23))) * 86400</f>
        <v>183.92600021325052</v>
      </c>
      <c r="R1248">
        <f>I1248/G1248</f>
        <v>0</v>
      </c>
      <c r="S1248">
        <f>H1248/G1248</f>
        <v>0.51940693172159791</v>
      </c>
    </row>
    <row r="1249" spans="1:19" hidden="1" x14ac:dyDescent="0.2">
      <c r="A1249">
        <v>29</v>
      </c>
      <c r="B1249" t="s">
        <v>3414</v>
      </c>
      <c r="C1249">
        <v>10</v>
      </c>
      <c r="D1249">
        <v>3</v>
      </c>
      <c r="E1249">
        <v>1022</v>
      </c>
      <c r="F1249" t="b">
        <v>1</v>
      </c>
      <c r="G1249">
        <v>56.744</v>
      </c>
      <c r="H1249">
        <v>16</v>
      </c>
      <c r="I1249">
        <v>6</v>
      </c>
      <c r="J1249">
        <v>1.26</v>
      </c>
      <c r="K1249" t="s">
        <v>3766</v>
      </c>
      <c r="L1249">
        <v>0</v>
      </c>
      <c r="N1249" t="s">
        <v>3767</v>
      </c>
      <c r="O1249" t="s">
        <v>3768</v>
      </c>
      <c r="P1249" t="s">
        <v>20</v>
      </c>
      <c r="Q1249">
        <f>(VALUE(LEFT(SUBSTITUTE(O1249,"T"," "),23)) - VALUE(LEFT(SUBSTITUTE(N1249,"T"," "),23))) * 86400</f>
        <v>265.23600036744028</v>
      </c>
      <c r="R1249">
        <f>I1249/G1249</f>
        <v>0.10573805160016918</v>
      </c>
      <c r="S1249">
        <f>H1249/G1249</f>
        <v>0.28196813760045114</v>
      </c>
    </row>
    <row r="1250" spans="1:19" hidden="1" x14ac:dyDescent="0.2">
      <c r="A1250">
        <v>30</v>
      </c>
      <c r="B1250" t="s">
        <v>25</v>
      </c>
      <c r="C1250">
        <v>10</v>
      </c>
      <c r="D1250">
        <v>3</v>
      </c>
      <c r="E1250">
        <v>1022</v>
      </c>
      <c r="F1250" t="b">
        <v>1</v>
      </c>
      <c r="G1250">
        <v>37.496000000000002</v>
      </c>
      <c r="H1250">
        <v>23</v>
      </c>
      <c r="I1250">
        <v>2</v>
      </c>
      <c r="J1250">
        <v>0.36</v>
      </c>
      <c r="K1250" t="s">
        <v>3769</v>
      </c>
      <c r="L1250">
        <v>0</v>
      </c>
      <c r="N1250" t="s">
        <v>3770</v>
      </c>
      <c r="O1250" t="s">
        <v>3771</v>
      </c>
      <c r="P1250" t="s">
        <v>20</v>
      </c>
      <c r="Q1250">
        <f>(VALUE(LEFT(SUBSTITUTE(O1250,"T"," "),23)) - VALUE(LEFT(SUBSTITUTE(N1250,"T"," "),23))) * 86400</f>
        <v>150.68599996156991</v>
      </c>
      <c r="R1250">
        <f>I1250/G1250</f>
        <v>5.3339022829101766E-2</v>
      </c>
      <c r="S1250">
        <f>H1250/G1250</f>
        <v>0.61339876253467029</v>
      </c>
    </row>
    <row r="1251" spans="1:19" hidden="1" x14ac:dyDescent="0.2">
      <c r="A1251">
        <v>109</v>
      </c>
      <c r="B1251" t="s">
        <v>16</v>
      </c>
      <c r="C1251">
        <v>-1</v>
      </c>
      <c r="D1251">
        <v>5</v>
      </c>
      <c r="E1251">
        <v>1016</v>
      </c>
      <c r="F1251" t="b">
        <v>1</v>
      </c>
      <c r="G1251">
        <v>84.691999999999993</v>
      </c>
      <c r="H1251">
        <v>25</v>
      </c>
      <c r="I1251">
        <v>12</v>
      </c>
      <c r="J1251">
        <v>9.7799999999999994</v>
      </c>
      <c r="K1251" t="s">
        <v>1300</v>
      </c>
      <c r="L1251">
        <v>0</v>
      </c>
      <c r="N1251" t="s">
        <v>1301</v>
      </c>
      <c r="O1251" t="s">
        <v>1302</v>
      </c>
      <c r="P1251" t="s">
        <v>20</v>
      </c>
      <c r="Q1251">
        <f>(VALUE(LEFT(SUBSTITUTE(O1251,"T"," "),23)) - VALUE(LEFT(SUBSTITUTE(N1251,"T"," "),23))) * 86400</f>
        <v>355.97800025716424</v>
      </c>
      <c r="R1251">
        <f>I1251/G1251</f>
        <v>0.14168988806498845</v>
      </c>
      <c r="S1251">
        <f>H1251/G1251</f>
        <v>0.29518726680205926</v>
      </c>
    </row>
    <row r="1252" spans="1:19" hidden="1" x14ac:dyDescent="0.2">
      <c r="A1252">
        <v>136</v>
      </c>
      <c r="B1252" t="s">
        <v>16</v>
      </c>
      <c r="C1252">
        <v>-1</v>
      </c>
      <c r="D1252">
        <v>6</v>
      </c>
      <c r="E1252">
        <v>1007</v>
      </c>
      <c r="F1252" t="b">
        <v>1</v>
      </c>
      <c r="G1252">
        <v>83.02</v>
      </c>
      <c r="H1252">
        <v>24</v>
      </c>
      <c r="I1252">
        <v>13</v>
      </c>
      <c r="J1252">
        <v>14.28</v>
      </c>
      <c r="K1252" t="s">
        <v>938</v>
      </c>
      <c r="L1252">
        <v>0</v>
      </c>
      <c r="N1252" t="s">
        <v>939</v>
      </c>
      <c r="O1252" t="s">
        <v>940</v>
      </c>
      <c r="P1252" t="s">
        <v>20</v>
      </c>
      <c r="Q1252">
        <f>(VALUE(LEFT(SUBSTITUTE(O1252,"T"," "),23)) - VALUE(LEFT(SUBSTITUTE(N1252,"T"," "),23))) * 86400</f>
        <v>269.38400014769286</v>
      </c>
      <c r="R1252">
        <f>I1252/G1252</f>
        <v>0.15658877378944833</v>
      </c>
      <c r="S1252">
        <f>H1252/G1252</f>
        <v>0.28908696699590464</v>
      </c>
    </row>
    <row r="1253" spans="1:19" hidden="1" x14ac:dyDescent="0.2">
      <c r="A1253">
        <v>33</v>
      </c>
      <c r="B1253" t="s">
        <v>3414</v>
      </c>
      <c r="C1253">
        <v>0</v>
      </c>
      <c r="D1253">
        <v>4</v>
      </c>
      <c r="E1253">
        <v>1023</v>
      </c>
      <c r="F1253" t="b">
        <v>1</v>
      </c>
      <c r="G1253">
        <v>57.043999999999997</v>
      </c>
      <c r="H1253">
        <v>25</v>
      </c>
      <c r="I1253">
        <v>3</v>
      </c>
      <c r="J1253">
        <v>1.1399999999999999</v>
      </c>
      <c r="K1253" t="s">
        <v>3778</v>
      </c>
      <c r="L1253">
        <v>0</v>
      </c>
      <c r="N1253" t="s">
        <v>3779</v>
      </c>
      <c r="O1253" t="s">
        <v>3780</v>
      </c>
      <c r="P1253" t="s">
        <v>20</v>
      </c>
      <c r="Q1253">
        <f>(VALUE(LEFT(SUBSTITUTE(O1253,"T"," "),23)) - VALUE(LEFT(SUBSTITUTE(N1253,"T"," "),23))) * 86400</f>
        <v>254.27300033625215</v>
      </c>
      <c r="R1253">
        <f>I1253/G1253</f>
        <v>5.2590982399551227E-2</v>
      </c>
      <c r="S1253">
        <f>H1253/G1253</f>
        <v>0.43825818666292687</v>
      </c>
    </row>
    <row r="1254" spans="1:19" hidden="1" x14ac:dyDescent="0.2">
      <c r="A1254">
        <v>34</v>
      </c>
      <c r="B1254" t="s">
        <v>25</v>
      </c>
      <c r="C1254">
        <v>0</v>
      </c>
      <c r="D1254">
        <v>4</v>
      </c>
      <c r="E1254">
        <v>1023</v>
      </c>
      <c r="F1254" t="b">
        <v>1</v>
      </c>
      <c r="G1254">
        <v>42.847999999999999</v>
      </c>
      <c r="H1254">
        <v>29</v>
      </c>
      <c r="I1254">
        <v>0</v>
      </c>
      <c r="J1254">
        <v>0</v>
      </c>
      <c r="K1254" t="s">
        <v>3781</v>
      </c>
      <c r="L1254">
        <v>0</v>
      </c>
      <c r="N1254" t="s">
        <v>3782</v>
      </c>
      <c r="O1254" t="s">
        <v>3783</v>
      </c>
      <c r="P1254" t="s">
        <v>20</v>
      </c>
      <c r="Q1254">
        <f>(VALUE(LEFT(SUBSTITUTE(O1254,"T"," "),23)) - VALUE(LEFT(SUBSTITUTE(N1254,"T"," "),23))) * 86400</f>
        <v>173.16900012083352</v>
      </c>
      <c r="R1254">
        <f>I1254/G1254</f>
        <v>0</v>
      </c>
      <c r="S1254">
        <f>H1254/G1254</f>
        <v>0.67681105302464528</v>
      </c>
    </row>
    <row r="1255" spans="1:19" x14ac:dyDescent="0.2">
      <c r="A1255">
        <v>35</v>
      </c>
      <c r="B1255" t="s">
        <v>3414</v>
      </c>
      <c r="C1255">
        <v>2</v>
      </c>
      <c r="D1255">
        <v>4</v>
      </c>
      <c r="E1255">
        <v>1023</v>
      </c>
      <c r="F1255" t="b">
        <v>1</v>
      </c>
      <c r="G1255">
        <v>62.444000000000003</v>
      </c>
      <c r="H1255">
        <v>27</v>
      </c>
      <c r="I1255">
        <v>1</v>
      </c>
      <c r="J1255">
        <v>0.12</v>
      </c>
      <c r="K1255" t="s">
        <v>3784</v>
      </c>
      <c r="L1255">
        <v>0</v>
      </c>
      <c r="N1255" t="s">
        <v>3785</v>
      </c>
      <c r="O1255" t="s">
        <v>3786</v>
      </c>
      <c r="P1255" t="s">
        <v>20</v>
      </c>
      <c r="Q1255">
        <f>(VALUE(LEFT(SUBSTITUTE(O1255,"T"," "),23)) - VALUE(LEFT(SUBSTITUTE(N1255,"T"," "),23))) * 86400</f>
        <v>277.34900044742972</v>
      </c>
      <c r="R1255">
        <f>I1255/G1255</f>
        <v>1.6014348856575492E-2</v>
      </c>
      <c r="S1255">
        <f>H1255/G1255</f>
        <v>0.43238741912753825</v>
      </c>
    </row>
    <row r="1256" spans="1:19" x14ac:dyDescent="0.2">
      <c r="A1256">
        <v>36</v>
      </c>
      <c r="B1256" t="s">
        <v>25</v>
      </c>
      <c r="C1256">
        <v>2</v>
      </c>
      <c r="D1256">
        <v>4</v>
      </c>
      <c r="E1256">
        <v>1023</v>
      </c>
      <c r="F1256" t="b">
        <v>1</v>
      </c>
      <c r="G1256">
        <v>46.351999999999997</v>
      </c>
      <c r="H1256">
        <v>28</v>
      </c>
      <c r="I1256">
        <v>1</v>
      </c>
      <c r="J1256">
        <v>0.78</v>
      </c>
      <c r="K1256" t="s">
        <v>3787</v>
      </c>
      <c r="L1256">
        <v>0</v>
      </c>
      <c r="N1256" t="s">
        <v>3788</v>
      </c>
      <c r="O1256" t="s">
        <v>3789</v>
      </c>
      <c r="P1256" t="s">
        <v>20</v>
      </c>
      <c r="Q1256">
        <f>(VALUE(LEFT(SUBSTITUTE(O1256,"T"," "),23)) - VALUE(LEFT(SUBSTITUTE(N1256,"T"," "),23))) * 86400</f>
        <v>189.01299987919629</v>
      </c>
      <c r="R1256">
        <f>I1256/G1256</f>
        <v>2.1574042112530206E-2</v>
      </c>
      <c r="S1256">
        <f>H1256/G1256</f>
        <v>0.6040731791508458</v>
      </c>
    </row>
    <row r="1257" spans="1:19" hidden="1" x14ac:dyDescent="0.2">
      <c r="A1257">
        <v>37</v>
      </c>
      <c r="B1257" t="s">
        <v>3414</v>
      </c>
      <c r="C1257">
        <v>5</v>
      </c>
      <c r="D1257">
        <v>4</v>
      </c>
      <c r="E1257">
        <v>1023</v>
      </c>
      <c r="F1257" t="b">
        <v>1</v>
      </c>
      <c r="G1257">
        <v>82.144000000000005</v>
      </c>
      <c r="H1257">
        <v>26</v>
      </c>
      <c r="I1257">
        <v>4</v>
      </c>
      <c r="J1257">
        <v>0.48</v>
      </c>
      <c r="K1257" t="s">
        <v>3790</v>
      </c>
      <c r="L1257">
        <v>0</v>
      </c>
      <c r="N1257" t="s">
        <v>3791</v>
      </c>
      <c r="O1257" t="s">
        <v>3792</v>
      </c>
      <c r="P1257" t="s">
        <v>20</v>
      </c>
      <c r="Q1257">
        <f>(VALUE(LEFT(SUBSTITUTE(O1257,"T"," "),23)) - VALUE(LEFT(SUBSTITUTE(N1257,"T"," "),23))) * 86400</f>
        <v>364.7379997652024</v>
      </c>
      <c r="R1257">
        <f>I1257/G1257</f>
        <v>4.8694974678613161E-2</v>
      </c>
      <c r="S1257">
        <f>H1257/G1257</f>
        <v>0.31651733541098559</v>
      </c>
    </row>
    <row r="1258" spans="1:19" hidden="1" x14ac:dyDescent="0.2">
      <c r="A1258">
        <v>38</v>
      </c>
      <c r="B1258" t="s">
        <v>25</v>
      </c>
      <c r="C1258">
        <v>5</v>
      </c>
      <c r="D1258">
        <v>4</v>
      </c>
      <c r="E1258">
        <v>1023</v>
      </c>
      <c r="F1258" t="b">
        <v>1</v>
      </c>
      <c r="G1258">
        <v>47.26</v>
      </c>
      <c r="H1258">
        <v>28</v>
      </c>
      <c r="I1258">
        <v>1</v>
      </c>
      <c r="J1258">
        <v>0.66</v>
      </c>
      <c r="K1258" t="s">
        <v>3793</v>
      </c>
      <c r="L1258">
        <v>0</v>
      </c>
      <c r="N1258" t="s">
        <v>3794</v>
      </c>
      <c r="O1258" t="s">
        <v>3795</v>
      </c>
      <c r="P1258" t="s">
        <v>20</v>
      </c>
      <c r="Q1258">
        <f>(VALUE(LEFT(SUBSTITUTE(O1258,"T"," "),23)) - VALUE(LEFT(SUBSTITUTE(N1258,"T"," "),23))) * 86400</f>
        <v>190.41499954182655</v>
      </c>
      <c r="R1258">
        <f>I1258/G1258</f>
        <v>2.1159542953872196E-2</v>
      </c>
      <c r="S1258">
        <f>H1258/G1258</f>
        <v>0.59246720270842157</v>
      </c>
    </row>
    <row r="1259" spans="1:19" hidden="1" x14ac:dyDescent="0.2">
      <c r="A1259">
        <v>39</v>
      </c>
      <c r="B1259" t="s">
        <v>3414</v>
      </c>
      <c r="C1259">
        <v>10</v>
      </c>
      <c r="D1259">
        <v>4</v>
      </c>
      <c r="E1259">
        <v>1023</v>
      </c>
      <c r="F1259" t="b">
        <v>1</v>
      </c>
      <c r="G1259">
        <v>44.84</v>
      </c>
      <c r="H1259">
        <v>29</v>
      </c>
      <c r="I1259">
        <v>1</v>
      </c>
      <c r="J1259">
        <v>0.12</v>
      </c>
      <c r="K1259" t="s">
        <v>3796</v>
      </c>
      <c r="L1259">
        <v>0</v>
      </c>
      <c r="N1259" t="s">
        <v>3797</v>
      </c>
      <c r="O1259" t="s">
        <v>3798</v>
      </c>
      <c r="P1259" t="s">
        <v>20</v>
      </c>
      <c r="Q1259">
        <f>(VALUE(LEFT(SUBSTITUTE(O1259,"T"," "),23)) - VALUE(LEFT(SUBSTITUTE(N1259,"T"," "),23))) * 86400</f>
        <v>211.2799996510148</v>
      </c>
      <c r="R1259">
        <f>I1259/G1259</f>
        <v>2.2301516503122211E-2</v>
      </c>
      <c r="S1259">
        <f>H1259/G1259</f>
        <v>0.64674397859054411</v>
      </c>
    </row>
    <row r="1260" spans="1:19" hidden="1" x14ac:dyDescent="0.2">
      <c r="A1260">
        <v>40</v>
      </c>
      <c r="B1260" t="s">
        <v>25</v>
      </c>
      <c r="C1260">
        <v>10</v>
      </c>
      <c r="D1260">
        <v>4</v>
      </c>
      <c r="E1260">
        <v>1023</v>
      </c>
      <c r="F1260" t="b">
        <v>1</v>
      </c>
      <c r="G1260">
        <v>44.712000000000003</v>
      </c>
      <c r="H1260">
        <v>31</v>
      </c>
      <c r="I1260">
        <v>0</v>
      </c>
      <c r="J1260">
        <v>0</v>
      </c>
      <c r="K1260" t="s">
        <v>3799</v>
      </c>
      <c r="L1260">
        <v>0</v>
      </c>
      <c r="N1260" t="s">
        <v>3800</v>
      </c>
      <c r="O1260" t="s">
        <v>3801</v>
      </c>
      <c r="P1260" t="s">
        <v>20</v>
      </c>
      <c r="Q1260">
        <f>(VALUE(LEFT(SUBSTITUTE(O1260,"T"," "),23)) - VALUE(LEFT(SUBSTITUTE(N1260,"T"," "),23))) * 86400</f>
        <v>181.39000008814037</v>
      </c>
      <c r="R1260">
        <f>I1260/G1260</f>
        <v>0</v>
      </c>
      <c r="S1260">
        <f>H1260/G1260</f>
        <v>0.69332617641796379</v>
      </c>
    </row>
    <row r="1261" spans="1:19" hidden="1" x14ac:dyDescent="0.2">
      <c r="A1261">
        <v>1</v>
      </c>
      <c r="B1261" t="s">
        <v>16</v>
      </c>
      <c r="C1261">
        <v>-1</v>
      </c>
      <c r="D1261">
        <v>1</v>
      </c>
      <c r="E1261">
        <v>1022</v>
      </c>
      <c r="F1261" t="b">
        <v>1</v>
      </c>
      <c r="G1261">
        <v>69.896000000000001</v>
      </c>
      <c r="H1261">
        <v>17</v>
      </c>
      <c r="I1261">
        <v>8</v>
      </c>
      <c r="J1261">
        <v>6.78</v>
      </c>
      <c r="K1261" t="s">
        <v>1397</v>
      </c>
      <c r="L1261">
        <v>0</v>
      </c>
      <c r="N1261" t="s">
        <v>1398</v>
      </c>
      <c r="O1261" t="s">
        <v>1399</v>
      </c>
      <c r="P1261" t="s">
        <v>20</v>
      </c>
      <c r="Q1261">
        <f>(VALUE(LEFT(SUBSTITUTE(O1261,"T"," "),23)) - VALUE(LEFT(SUBSTITUTE(N1261,"T"," "),23))) * 86400</f>
        <v>248.91899975482374</v>
      </c>
      <c r="R1261">
        <f>I1261/G1261</f>
        <v>0.11445576284765938</v>
      </c>
      <c r="S1261">
        <f>H1261/G1261</f>
        <v>0.24321849605127618</v>
      </c>
    </row>
    <row r="1262" spans="1:19" hidden="1" x14ac:dyDescent="0.2">
      <c r="A1262">
        <v>1</v>
      </c>
      <c r="B1262" t="s">
        <v>3414</v>
      </c>
      <c r="C1262">
        <v>-1</v>
      </c>
      <c r="D1262">
        <v>1</v>
      </c>
      <c r="E1262">
        <v>1020</v>
      </c>
      <c r="F1262" t="b">
        <v>1</v>
      </c>
      <c r="G1262">
        <v>180</v>
      </c>
      <c r="H1262">
        <v>30</v>
      </c>
      <c r="I1262">
        <v>33</v>
      </c>
      <c r="J1262">
        <v>44.16</v>
      </c>
      <c r="K1262" t="s">
        <v>3682</v>
      </c>
      <c r="L1262">
        <v>0</v>
      </c>
      <c r="N1262" t="s">
        <v>3683</v>
      </c>
      <c r="O1262" t="s">
        <v>3684</v>
      </c>
      <c r="P1262" t="s">
        <v>20</v>
      </c>
      <c r="Q1262">
        <f>(VALUE(LEFT(SUBSTITUTE(O1262,"T"," "),23)) - VALUE(LEFT(SUBSTITUTE(N1262,"T"," "),23))) * 86400</f>
        <v>780.78399987425655</v>
      </c>
      <c r="R1262">
        <f>I1262/G1262</f>
        <v>0.18333333333333332</v>
      </c>
      <c r="S1262">
        <f>H1262/G1262</f>
        <v>0.16666666666666666</v>
      </c>
    </row>
    <row r="1263" spans="1:19" hidden="1" x14ac:dyDescent="0.2">
      <c r="A1263">
        <v>43</v>
      </c>
      <c r="B1263" t="s">
        <v>3414</v>
      </c>
      <c r="C1263">
        <v>0</v>
      </c>
      <c r="D1263">
        <v>5</v>
      </c>
      <c r="E1263">
        <v>1024</v>
      </c>
      <c r="F1263" t="b">
        <v>1</v>
      </c>
      <c r="G1263">
        <v>44.96</v>
      </c>
      <c r="H1263">
        <v>29</v>
      </c>
      <c r="I1263">
        <v>1</v>
      </c>
      <c r="J1263">
        <v>0.78</v>
      </c>
      <c r="K1263" t="s">
        <v>3808</v>
      </c>
      <c r="L1263">
        <v>0</v>
      </c>
      <c r="N1263" t="s">
        <v>3809</v>
      </c>
      <c r="O1263" t="s">
        <v>3810</v>
      </c>
      <c r="P1263" t="s">
        <v>20</v>
      </c>
      <c r="Q1263">
        <f t="shared" ref="Q1260:Q1264" si="0">(VALUE(LEFT(SUBSTITUTE(O1263,"T"," "),23)) - VALUE(LEFT(SUBSTITUTE(N1263,"T"," "),23))) * 86400</f>
        <v>213.59099973924458</v>
      </c>
      <c r="R1263">
        <f t="shared" ref="R1260:R1264" si="1">I1263/G1263</f>
        <v>2.2241992882562279E-2</v>
      </c>
      <c r="S1263">
        <f t="shared" ref="S1260:S1264" si="2">H1263/G1263</f>
        <v>0.645017793594306</v>
      </c>
    </row>
    <row r="1264" spans="1:19" hidden="1" x14ac:dyDescent="0.2">
      <c r="A1264">
        <v>44</v>
      </c>
      <c r="B1264" t="s">
        <v>25</v>
      </c>
      <c r="C1264">
        <v>0</v>
      </c>
      <c r="D1264">
        <v>5</v>
      </c>
      <c r="E1264">
        <v>1024</v>
      </c>
      <c r="F1264" t="b">
        <v>1</v>
      </c>
      <c r="G1264">
        <v>45.508000000000003</v>
      </c>
      <c r="H1264">
        <v>27</v>
      </c>
      <c r="I1264">
        <v>0</v>
      </c>
      <c r="J1264">
        <v>0</v>
      </c>
      <c r="K1264" t="s">
        <v>3811</v>
      </c>
      <c r="L1264">
        <v>0</v>
      </c>
      <c r="N1264" t="s">
        <v>3812</v>
      </c>
      <c r="O1264" t="s">
        <v>3813</v>
      </c>
      <c r="P1264" t="s">
        <v>20</v>
      </c>
      <c r="Q1264">
        <f t="shared" si="0"/>
        <v>189.92800007108599</v>
      </c>
      <c r="R1264">
        <f t="shared" si="1"/>
        <v>0</v>
      </c>
      <c r="S1264">
        <f t="shared" si="2"/>
        <v>0.59330227652280909</v>
      </c>
    </row>
  </sheetData>
  <autoFilter ref="B1:E1264" xr:uid="{E4514B18-3D81-5A48-9BE5-09FFF423584D}">
    <filterColumn colId="1">
      <filters>
        <filter val="2"/>
      </filters>
    </filterColumn>
  </autoFilter>
  <sortState xmlns:xlrd2="http://schemas.microsoft.com/office/spreadsheetml/2017/richdata2" ref="A2:S1262">
    <sortCondition descending="1" ref="S1:S126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Yucong Cao</dc:creator>
  <cp:lastModifiedBy>Yucong Cao</cp:lastModifiedBy>
  <dcterms:created xsi:type="dcterms:W3CDTF">2026-02-18T09:20:51Z</dcterms:created>
  <dcterms:modified xsi:type="dcterms:W3CDTF">2026-02-20T22:02:00Z</dcterms:modified>
</cp:coreProperties>
</file>