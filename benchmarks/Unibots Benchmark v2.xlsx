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yucong/Desktop/Unibots/OxbotsSimulator/benchmarks/"/>
    </mc:Choice>
  </mc:AlternateContent>
  <xr:revisionPtr revIDLastSave="0" documentId="13_ncr:1_{E5797724-A81B-1B48-B3ED-8BC4E9D44AE5}" xr6:coauthVersionLast="47" xr6:coauthVersionMax="47" xr10:uidLastSave="{00000000-0000-0000-0000-000000000000}"/>
  <bookViews>
    <workbookView xWindow="0" yWindow="600" windowWidth="28800" windowHeight="16200" xr2:uid="{210F518A-98AC-BC40-82F3-DBF076186F0B}"/>
  </bookViews>
  <sheets>
    <sheet name="benchmark_merged_all" sheetId="1" r:id="rId1"/>
  </sheets>
  <definedNames>
    <definedName name="_xlnm._FilterDatabase" localSheetId="0" hidden="1">benchmark_merged_all!$B$1:$E$561</definedName>
    <definedName name="_xlchart.v1.0" hidden="1">benchmark_merged_all!$C$2:$C$1854</definedName>
    <definedName name="_xlchart.v1.1" hidden="1">benchmark_merged_all!$H$1</definedName>
    <definedName name="_xlchart.v1.10" hidden="1">benchmark_merged_all!$S$1</definedName>
    <definedName name="_xlchart.v1.11" hidden="1">benchmark_merged_all!$S$2:$S$2898</definedName>
    <definedName name="_xlchart.v1.12" hidden="1">benchmark_merged_all!$B$2:$B$873</definedName>
    <definedName name="_xlchart.v1.13" hidden="1">benchmark_merged_all!$Q$1</definedName>
    <definedName name="_xlchart.v1.14" hidden="1">benchmark_merged_all!$Q$2:$Q$873</definedName>
    <definedName name="_xlchart.v1.15" hidden="1">benchmark_merged_all!$B$2:$B$719</definedName>
    <definedName name="_xlchart.v1.16" hidden="1">benchmark_merged_all!$H$1</definedName>
    <definedName name="_xlchart.v1.17" hidden="1">benchmark_merged_all!$H$2:$H$719</definedName>
    <definedName name="_xlchart.v1.2" hidden="1">benchmark_merged_all!$H$2:$H$1854</definedName>
    <definedName name="_xlchart.v1.3" hidden="1">benchmark_merged_all!$C$2:$C$2519</definedName>
    <definedName name="_xlchart.v1.4" hidden="1">benchmark_merged_all!$Q$1</definedName>
    <definedName name="_xlchart.v1.5" hidden="1">benchmark_merged_all!$Q$2:$Q$2519</definedName>
    <definedName name="_xlchart.v1.6" hidden="1">benchmark_merged_all!$C$2:$C$1494</definedName>
    <definedName name="_xlchart.v1.7" hidden="1">benchmark_merged_all!$R$1</definedName>
    <definedName name="_xlchart.v1.8" hidden="1">benchmark_merged_all!$R$2:$R$1494</definedName>
    <definedName name="_xlchart.v1.9" hidden="1">benchmark_merged_all!$C$2:$C$2898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S3" i="1" s="1"/>
  <c r="Q5" i="1"/>
  <c r="R5" i="1"/>
  <c r="S5" i="1" s="1"/>
  <c r="Q7" i="1"/>
  <c r="R7" i="1"/>
  <c r="S7" i="1" s="1"/>
  <c r="Q9" i="1"/>
  <c r="R9" i="1"/>
  <c r="S9" i="1" s="1"/>
  <c r="Q11" i="1"/>
  <c r="R11" i="1"/>
  <c r="S11" i="1" s="1"/>
  <c r="Q13" i="1"/>
  <c r="R13" i="1"/>
  <c r="S13" i="1" s="1"/>
  <c r="Q15" i="1"/>
  <c r="R15" i="1"/>
  <c r="S15" i="1" s="1"/>
  <c r="Q17" i="1"/>
  <c r="R17" i="1"/>
  <c r="S17" i="1" s="1"/>
  <c r="Q19" i="1"/>
  <c r="R19" i="1"/>
  <c r="S19" i="1" s="1"/>
  <c r="Q21" i="1"/>
  <c r="R21" i="1"/>
  <c r="S21" i="1" s="1"/>
  <c r="Q23" i="1"/>
  <c r="R23" i="1"/>
  <c r="S23" i="1" s="1"/>
  <c r="Q25" i="1"/>
  <c r="R25" i="1"/>
  <c r="S25" i="1" s="1"/>
  <c r="Q27" i="1"/>
  <c r="R27" i="1"/>
  <c r="S27" i="1" s="1"/>
  <c r="Q29" i="1"/>
  <c r="R29" i="1"/>
  <c r="S29" i="1" s="1"/>
  <c r="Q31" i="1"/>
  <c r="R31" i="1"/>
  <c r="S31" i="1" s="1"/>
  <c r="Q33" i="1"/>
  <c r="R33" i="1"/>
  <c r="S33" i="1" s="1"/>
  <c r="Q35" i="1"/>
  <c r="R35" i="1"/>
  <c r="S35" i="1" s="1"/>
  <c r="Q37" i="1"/>
  <c r="R37" i="1"/>
  <c r="S37" i="1" s="1"/>
  <c r="Q39" i="1"/>
  <c r="R39" i="1"/>
  <c r="S39" i="1" s="1"/>
  <c r="Q41" i="1"/>
  <c r="R41" i="1"/>
  <c r="S41" i="1" s="1"/>
  <c r="Q43" i="1"/>
  <c r="R43" i="1"/>
  <c r="S43" i="1" s="1"/>
  <c r="Q45" i="1"/>
  <c r="R45" i="1"/>
  <c r="S45" i="1" s="1"/>
  <c r="Q47" i="1"/>
  <c r="R47" i="1"/>
  <c r="S47" i="1" s="1"/>
  <c r="Q49" i="1"/>
  <c r="R49" i="1"/>
  <c r="S49" i="1" s="1"/>
  <c r="Q51" i="1"/>
  <c r="R51" i="1"/>
  <c r="S51" i="1" s="1"/>
  <c r="Q53" i="1"/>
  <c r="R53" i="1"/>
  <c r="S53" i="1" s="1"/>
  <c r="Q55" i="1"/>
  <c r="R55" i="1"/>
  <c r="S55" i="1" s="1"/>
  <c r="Q57" i="1"/>
  <c r="R57" i="1"/>
  <c r="S57" i="1" s="1"/>
  <c r="Q60" i="1"/>
  <c r="R60" i="1"/>
  <c r="S60" i="1" s="1"/>
  <c r="Q62" i="1"/>
  <c r="R62" i="1"/>
  <c r="S62" i="1" s="1"/>
  <c r="Q64" i="1"/>
  <c r="R64" i="1"/>
  <c r="S64" i="1" s="1"/>
  <c r="Q66" i="1"/>
  <c r="R66" i="1"/>
  <c r="S66" i="1" s="1"/>
  <c r="Q72" i="1"/>
  <c r="R72" i="1"/>
  <c r="S72" i="1" s="1"/>
  <c r="Q68" i="1"/>
  <c r="R68" i="1"/>
  <c r="S68" i="1" s="1"/>
  <c r="Q74" i="1"/>
  <c r="R74" i="1"/>
  <c r="S74" i="1" s="1"/>
  <c r="Q77" i="1"/>
  <c r="R77" i="1"/>
  <c r="S77" i="1" s="1"/>
  <c r="Q79" i="1"/>
  <c r="R79" i="1"/>
  <c r="S79" i="1" s="1"/>
  <c r="Q81" i="1"/>
  <c r="R81" i="1"/>
  <c r="S81" i="1" s="1"/>
  <c r="Q83" i="1"/>
  <c r="R83" i="1"/>
  <c r="S83" i="1" s="1"/>
  <c r="Q87" i="1"/>
  <c r="R87" i="1"/>
  <c r="S87" i="1" s="1"/>
  <c r="Q90" i="1"/>
  <c r="R90" i="1"/>
  <c r="S90" i="1" s="1"/>
  <c r="Q93" i="1"/>
  <c r="R93" i="1"/>
  <c r="S93" i="1" s="1"/>
  <c r="Q95" i="1"/>
  <c r="R95" i="1"/>
  <c r="S95" i="1" s="1"/>
  <c r="Q97" i="1"/>
  <c r="R97" i="1"/>
  <c r="S97" i="1" s="1"/>
  <c r="Q99" i="1"/>
  <c r="R99" i="1"/>
  <c r="S99" i="1" s="1"/>
  <c r="Q101" i="1"/>
  <c r="R101" i="1"/>
  <c r="S101" i="1" s="1"/>
  <c r="Q103" i="1"/>
  <c r="R103" i="1"/>
  <c r="S103" i="1" s="1"/>
  <c r="Q105" i="1"/>
  <c r="R105" i="1"/>
  <c r="S105" i="1" s="1"/>
  <c r="Q107" i="1"/>
  <c r="R107" i="1"/>
  <c r="S107" i="1" s="1"/>
  <c r="Q109" i="1"/>
  <c r="R109" i="1"/>
  <c r="S109" i="1" s="1"/>
  <c r="Q111" i="1"/>
  <c r="R111" i="1"/>
  <c r="S111" i="1" s="1"/>
  <c r="Q113" i="1"/>
  <c r="R113" i="1"/>
  <c r="S113" i="1" s="1"/>
  <c r="Q118" i="1"/>
  <c r="R118" i="1"/>
  <c r="S118" i="1" s="1"/>
  <c r="Q120" i="1"/>
  <c r="R120" i="1"/>
  <c r="S120" i="1" s="1"/>
  <c r="Q123" i="1"/>
  <c r="R123" i="1"/>
  <c r="S123" i="1" s="1"/>
  <c r="Q126" i="1"/>
  <c r="R126" i="1"/>
  <c r="S126" i="1" s="1"/>
  <c r="Q130" i="1"/>
  <c r="R130" i="1"/>
  <c r="S130" i="1" s="1"/>
  <c r="Q132" i="1"/>
  <c r="R132" i="1"/>
  <c r="S132" i="1" s="1"/>
  <c r="Q134" i="1"/>
  <c r="R134" i="1"/>
  <c r="S134" i="1" s="1"/>
  <c r="Q138" i="1"/>
  <c r="R138" i="1"/>
  <c r="S138" i="1" s="1"/>
  <c r="Q142" i="1"/>
  <c r="R142" i="1"/>
  <c r="S142" i="1" s="1"/>
  <c r="Q145" i="1"/>
  <c r="R145" i="1"/>
  <c r="S145" i="1" s="1"/>
  <c r="Q148" i="1"/>
  <c r="R148" i="1"/>
  <c r="S148" i="1" s="1"/>
  <c r="Q150" i="1"/>
  <c r="R150" i="1"/>
  <c r="S150" i="1" s="1"/>
  <c r="Q162" i="1"/>
  <c r="R162" i="1"/>
  <c r="S162" i="1" s="1"/>
  <c r="Q158" i="1"/>
  <c r="R158" i="1"/>
  <c r="S158" i="1" s="1"/>
  <c r="Q164" i="1"/>
  <c r="R164" i="1"/>
  <c r="S164" i="1" s="1"/>
  <c r="Q165" i="1"/>
  <c r="R165" i="1"/>
  <c r="S165" i="1" s="1"/>
  <c r="Q171" i="1"/>
  <c r="R171" i="1"/>
  <c r="S171" i="1" s="1"/>
  <c r="Q174" i="1"/>
  <c r="R174" i="1"/>
  <c r="S174" i="1" s="1"/>
  <c r="Q179" i="1"/>
  <c r="R179" i="1"/>
  <c r="S179" i="1" s="1"/>
  <c r="Q186" i="1"/>
  <c r="R186" i="1"/>
  <c r="S186" i="1" s="1"/>
  <c r="Q189" i="1"/>
  <c r="R189" i="1"/>
  <c r="S189" i="1" s="1"/>
  <c r="Q196" i="1"/>
  <c r="R196" i="1"/>
  <c r="S196" i="1" s="1"/>
  <c r="Q199" i="1"/>
  <c r="R199" i="1"/>
  <c r="S199" i="1" s="1"/>
  <c r="Q216" i="1"/>
  <c r="R216" i="1"/>
  <c r="S216" i="1" s="1"/>
  <c r="Q227" i="1"/>
  <c r="R227" i="1"/>
  <c r="S227" i="1" s="1"/>
  <c r="Q230" i="1"/>
  <c r="R230" i="1"/>
  <c r="S230" i="1" s="1"/>
  <c r="Q243" i="1"/>
  <c r="R243" i="1"/>
  <c r="S243" i="1" s="1"/>
  <c r="Q250" i="1"/>
  <c r="R250" i="1"/>
  <c r="S250" i="1" s="1"/>
  <c r="Q2" i="1"/>
  <c r="R2" i="1"/>
  <c r="S2" i="1" s="1"/>
  <c r="Q184" i="1"/>
  <c r="R184" i="1"/>
  <c r="S184" i="1" s="1"/>
  <c r="Q245" i="1"/>
  <c r="R245" i="1"/>
  <c r="S245" i="1" s="1"/>
  <c r="Q289" i="1"/>
  <c r="R289" i="1"/>
  <c r="S289" i="1" s="1"/>
  <c r="Q181" i="1"/>
  <c r="R181" i="1"/>
  <c r="S181" i="1" s="1"/>
  <c r="Q477" i="1"/>
  <c r="R477" i="1"/>
  <c r="S477" i="1" s="1"/>
  <c r="Q4" i="1"/>
  <c r="R4" i="1"/>
  <c r="S4" i="1" s="1"/>
  <c r="Q324" i="1"/>
  <c r="R324" i="1"/>
  <c r="S324" i="1" s="1"/>
  <c r="Q550" i="1"/>
  <c r="R550" i="1"/>
  <c r="S550" i="1" s="1"/>
  <c r="Q411" i="1"/>
  <c r="R411" i="1"/>
  <c r="S411" i="1" s="1"/>
  <c r="Q456" i="1"/>
  <c r="R456" i="1"/>
  <c r="S456" i="1" s="1"/>
  <c r="Q310" i="1"/>
  <c r="R310" i="1"/>
  <c r="S310" i="1" s="1"/>
  <c r="Q6" i="1"/>
  <c r="R6" i="1"/>
  <c r="S6" i="1" s="1"/>
  <c r="Q330" i="1"/>
  <c r="R330" i="1"/>
  <c r="S330" i="1" s="1"/>
  <c r="Q407" i="1"/>
  <c r="R407" i="1"/>
  <c r="S407" i="1" s="1"/>
  <c r="Q349" i="1"/>
  <c r="R349" i="1"/>
  <c r="S349" i="1" s="1"/>
  <c r="Q342" i="1"/>
  <c r="R342" i="1"/>
  <c r="S342" i="1" s="1"/>
  <c r="Q300" i="1"/>
  <c r="R300" i="1"/>
  <c r="S300" i="1" s="1"/>
  <c r="Q8" i="1"/>
  <c r="R8" i="1"/>
  <c r="S8" i="1" s="1"/>
  <c r="Q338" i="1"/>
  <c r="R338" i="1"/>
  <c r="S338" i="1" s="1"/>
  <c r="Q466" i="1"/>
  <c r="R466" i="1"/>
  <c r="S466" i="1" s="1"/>
  <c r="Q449" i="1"/>
  <c r="R449" i="1"/>
  <c r="S449" i="1" s="1"/>
  <c r="Q516" i="1"/>
  <c r="R516" i="1"/>
  <c r="S516" i="1" s="1"/>
  <c r="Q320" i="1"/>
  <c r="R320" i="1"/>
  <c r="S320" i="1" s="1"/>
  <c r="Q10" i="1"/>
  <c r="R10" i="1"/>
  <c r="S10" i="1" s="1"/>
  <c r="Q446" i="1"/>
  <c r="R446" i="1"/>
  <c r="S446" i="1" s="1"/>
  <c r="Q479" i="1"/>
  <c r="R479" i="1"/>
  <c r="S479" i="1" s="1"/>
  <c r="Q433" i="1"/>
  <c r="R433" i="1"/>
  <c r="S433" i="1" s="1"/>
  <c r="Q208" i="1"/>
  <c r="R208" i="1"/>
  <c r="S208" i="1" s="1"/>
  <c r="Q472" i="1"/>
  <c r="R472" i="1"/>
  <c r="S472" i="1" s="1"/>
  <c r="Q12" i="1"/>
  <c r="R12" i="1"/>
  <c r="S12" i="1" s="1"/>
  <c r="Q316" i="1"/>
  <c r="R316" i="1"/>
  <c r="S316" i="1" s="1"/>
  <c r="Q335" i="1"/>
  <c r="R335" i="1"/>
  <c r="S335" i="1" s="1"/>
  <c r="Q457" i="1"/>
  <c r="R457" i="1"/>
  <c r="S457" i="1" s="1"/>
  <c r="Q367" i="1"/>
  <c r="R367" i="1"/>
  <c r="S367" i="1" s="1"/>
  <c r="Q517" i="1"/>
  <c r="R517" i="1"/>
  <c r="S517" i="1" s="1"/>
  <c r="Q14" i="1"/>
  <c r="R14" i="1"/>
  <c r="S14" i="1" s="1"/>
  <c r="Q281" i="1"/>
  <c r="R281" i="1"/>
  <c r="S281" i="1" s="1"/>
  <c r="Q403" i="1"/>
  <c r="R403" i="1"/>
  <c r="S403" i="1" s="1"/>
  <c r="Q298" i="1"/>
  <c r="R298" i="1"/>
  <c r="S298" i="1" s="1"/>
  <c r="Q195" i="1"/>
  <c r="R195" i="1"/>
  <c r="S195" i="1" s="1"/>
  <c r="Q173" i="1"/>
  <c r="R173" i="1"/>
  <c r="S173" i="1" s="1"/>
  <c r="Q16" i="1"/>
  <c r="R16" i="1"/>
  <c r="S16" i="1" s="1"/>
  <c r="Q401" i="1"/>
  <c r="R401" i="1"/>
  <c r="S401" i="1" s="1"/>
  <c r="Q425" i="1"/>
  <c r="R425" i="1"/>
  <c r="S425" i="1" s="1"/>
  <c r="Q312" i="1"/>
  <c r="R312" i="1"/>
  <c r="S312" i="1" s="1"/>
  <c r="Q354" i="1"/>
  <c r="R354" i="1"/>
  <c r="S354" i="1" s="1"/>
  <c r="Q545" i="1"/>
  <c r="R545" i="1"/>
  <c r="S545" i="1" s="1"/>
  <c r="Q18" i="1"/>
  <c r="R18" i="1"/>
  <c r="S18" i="1" s="1"/>
  <c r="Q363" i="1"/>
  <c r="R363" i="1"/>
  <c r="S363" i="1" s="1"/>
  <c r="Q404" i="1"/>
  <c r="R404" i="1"/>
  <c r="S404" i="1" s="1"/>
  <c r="Q246" i="1"/>
  <c r="R246" i="1"/>
  <c r="S246" i="1" s="1"/>
  <c r="Q185" i="1"/>
  <c r="R185" i="1"/>
  <c r="S185" i="1" s="1"/>
  <c r="Q211" i="1"/>
  <c r="R211" i="1"/>
  <c r="S211" i="1" s="1"/>
  <c r="Q20" i="1"/>
  <c r="R20" i="1"/>
  <c r="S20" i="1" s="1"/>
  <c r="Q128" i="1"/>
  <c r="R128" i="1"/>
  <c r="S128" i="1" s="1"/>
  <c r="Q382" i="1"/>
  <c r="R382" i="1"/>
  <c r="S382" i="1" s="1"/>
  <c r="Q506" i="1"/>
  <c r="R506" i="1"/>
  <c r="S506" i="1" s="1"/>
  <c r="Q524" i="1"/>
  <c r="R524" i="1"/>
  <c r="S524" i="1" s="1"/>
  <c r="Q322" i="1"/>
  <c r="R322" i="1"/>
  <c r="S322" i="1" s="1"/>
  <c r="Q22" i="1"/>
  <c r="R22" i="1"/>
  <c r="S22" i="1" s="1"/>
  <c r="Q182" i="1"/>
  <c r="R182" i="1"/>
  <c r="S182" i="1" s="1"/>
  <c r="Q521" i="1"/>
  <c r="R521" i="1"/>
  <c r="S521" i="1" s="1"/>
  <c r="Q286" i="1"/>
  <c r="R286" i="1"/>
  <c r="S286" i="1" s="1"/>
  <c r="Q233" i="1"/>
  <c r="R233" i="1"/>
  <c r="S233" i="1" s="1"/>
  <c r="Q292" i="1"/>
  <c r="R292" i="1"/>
  <c r="S292" i="1" s="1"/>
  <c r="Q24" i="1"/>
  <c r="R24" i="1"/>
  <c r="S24" i="1" s="1"/>
  <c r="Q453" i="1"/>
  <c r="R453" i="1"/>
  <c r="S453" i="1" s="1"/>
  <c r="Q527" i="1"/>
  <c r="R527" i="1"/>
  <c r="S527" i="1" s="1"/>
  <c r="Q525" i="1"/>
  <c r="R525" i="1"/>
  <c r="S525" i="1" s="1"/>
  <c r="Q533" i="1"/>
  <c r="R533" i="1"/>
  <c r="S533" i="1" s="1"/>
  <c r="Q309" i="1"/>
  <c r="R309" i="1"/>
  <c r="S309" i="1" s="1"/>
  <c r="Q26" i="1"/>
  <c r="R26" i="1"/>
  <c r="S26" i="1" s="1"/>
  <c r="Q166" i="1"/>
  <c r="R166" i="1"/>
  <c r="S166" i="1" s="1"/>
  <c r="Q210" i="1"/>
  <c r="R210" i="1"/>
  <c r="S210" i="1" s="1"/>
  <c r="Q218" i="1"/>
  <c r="R218" i="1"/>
  <c r="S218" i="1" s="1"/>
  <c r="Q273" i="1"/>
  <c r="R273" i="1"/>
  <c r="S273" i="1" s="1"/>
  <c r="Q209" i="1"/>
  <c r="R209" i="1"/>
  <c r="S209" i="1" s="1"/>
  <c r="Q28" i="1"/>
  <c r="R28" i="1"/>
  <c r="S28" i="1" s="1"/>
  <c r="Q288" i="1"/>
  <c r="R288" i="1"/>
  <c r="S288" i="1" s="1"/>
  <c r="Q549" i="1"/>
  <c r="R549" i="1"/>
  <c r="S549" i="1" s="1"/>
  <c r="Q462" i="1"/>
  <c r="R462" i="1"/>
  <c r="S462" i="1" s="1"/>
  <c r="Q559" i="1"/>
  <c r="R559" i="1"/>
  <c r="S559" i="1" s="1"/>
  <c r="Q435" i="1"/>
  <c r="R435" i="1"/>
  <c r="S435" i="1" s="1"/>
  <c r="Q30" i="1"/>
  <c r="R30" i="1"/>
  <c r="S30" i="1" s="1"/>
  <c r="Q331" i="1"/>
  <c r="R331" i="1"/>
  <c r="S331" i="1" s="1"/>
  <c r="Q424" i="1"/>
  <c r="R424" i="1"/>
  <c r="S424" i="1" s="1"/>
  <c r="Q471" i="1"/>
  <c r="R471" i="1"/>
  <c r="S471" i="1" s="1"/>
  <c r="Q241" i="1"/>
  <c r="R241" i="1"/>
  <c r="S241" i="1" s="1"/>
  <c r="Q193" i="1"/>
  <c r="R193" i="1"/>
  <c r="S193" i="1" s="1"/>
  <c r="Q32" i="1"/>
  <c r="R32" i="1"/>
  <c r="S32" i="1" s="1"/>
  <c r="Q321" i="1"/>
  <c r="R321" i="1"/>
  <c r="S321" i="1" s="1"/>
  <c r="Q296" i="1"/>
  <c r="R296" i="1"/>
  <c r="S296" i="1" s="1"/>
  <c r="Q427" i="1"/>
  <c r="R427" i="1"/>
  <c r="S427" i="1" s="1"/>
  <c r="Q283" i="1"/>
  <c r="R283" i="1"/>
  <c r="S283" i="1" s="1"/>
  <c r="Q287" i="1"/>
  <c r="R287" i="1"/>
  <c r="S287" i="1" s="1"/>
  <c r="Q34" i="1"/>
  <c r="R34" i="1"/>
  <c r="S34" i="1" s="1"/>
  <c r="Q351" i="1"/>
  <c r="R351" i="1"/>
  <c r="S351" i="1" s="1"/>
  <c r="Q458" i="1"/>
  <c r="R458" i="1"/>
  <c r="S458" i="1" s="1"/>
  <c r="Q256" i="1"/>
  <c r="R256" i="1"/>
  <c r="S256" i="1" s="1"/>
  <c r="Q121" i="1"/>
  <c r="R121" i="1"/>
  <c r="S121" i="1" s="1"/>
  <c r="Q306" i="1"/>
  <c r="R306" i="1"/>
  <c r="S306" i="1" s="1"/>
  <c r="Q36" i="1"/>
  <c r="R36" i="1"/>
  <c r="S36" i="1" s="1"/>
  <c r="Q388" i="1"/>
  <c r="R388" i="1"/>
  <c r="S388" i="1" s="1"/>
  <c r="Q494" i="1"/>
  <c r="R494" i="1"/>
  <c r="S494" i="1" s="1"/>
  <c r="Q538" i="1"/>
  <c r="R538" i="1"/>
  <c r="S538" i="1" s="1"/>
  <c r="Q534" i="1"/>
  <c r="R534" i="1"/>
  <c r="S534" i="1" s="1"/>
  <c r="Q492" i="1"/>
  <c r="R492" i="1"/>
  <c r="S492" i="1" s="1"/>
  <c r="Q38" i="1"/>
  <c r="R38" i="1"/>
  <c r="S38" i="1" s="1"/>
  <c r="Q146" i="1"/>
  <c r="R146" i="1"/>
  <c r="S146" i="1" s="1"/>
  <c r="Q448" i="1"/>
  <c r="R448" i="1"/>
  <c r="S448" i="1" s="1"/>
  <c r="Q434" i="1"/>
  <c r="R434" i="1"/>
  <c r="S434" i="1" s="1"/>
  <c r="Q203" i="1"/>
  <c r="R203" i="1"/>
  <c r="S203" i="1" s="1"/>
  <c r="Q378" i="1"/>
  <c r="R378" i="1"/>
  <c r="S378" i="1" s="1"/>
  <c r="Q40" i="1"/>
  <c r="R40" i="1"/>
  <c r="S40" i="1" s="1"/>
  <c r="Q438" i="1"/>
  <c r="R438" i="1"/>
  <c r="S438" i="1" s="1"/>
  <c r="Q278" i="1"/>
  <c r="R278" i="1"/>
  <c r="S278" i="1" s="1"/>
  <c r="Q551" i="1"/>
  <c r="R551" i="1"/>
  <c r="S551" i="1" s="1"/>
  <c r="Q437" i="1"/>
  <c r="R437" i="1"/>
  <c r="S437" i="1" s="1"/>
  <c r="Q518" i="1"/>
  <c r="R518" i="1"/>
  <c r="S518" i="1" s="1"/>
  <c r="Q42" i="1"/>
  <c r="R42" i="1"/>
  <c r="S42" i="1" s="1"/>
  <c r="Q178" i="1"/>
  <c r="R178" i="1"/>
  <c r="S178" i="1" s="1"/>
  <c r="Q204" i="1"/>
  <c r="R204" i="1"/>
  <c r="S204" i="1" s="1"/>
  <c r="Q75" i="1"/>
  <c r="R75" i="1"/>
  <c r="S75" i="1" s="1"/>
  <c r="Q124" i="1"/>
  <c r="R124" i="1"/>
  <c r="S124" i="1" s="1"/>
  <c r="Q507" i="1"/>
  <c r="R507" i="1"/>
  <c r="S507" i="1" s="1"/>
  <c r="Q44" i="1"/>
  <c r="R44" i="1"/>
  <c r="S44" i="1" s="1"/>
  <c r="Q337" i="1"/>
  <c r="R337" i="1"/>
  <c r="S337" i="1" s="1"/>
  <c r="Q555" i="1"/>
  <c r="R555" i="1"/>
  <c r="S555" i="1" s="1"/>
  <c r="Q167" i="1"/>
  <c r="R167" i="1"/>
  <c r="S167" i="1" s="1"/>
  <c r="Q212" i="1"/>
  <c r="R212" i="1"/>
  <c r="S212" i="1" s="1"/>
  <c r="Q188" i="1"/>
  <c r="R188" i="1"/>
  <c r="S188" i="1" s="1"/>
  <c r="Q46" i="1"/>
  <c r="R46" i="1"/>
  <c r="S46" i="1" s="1"/>
  <c r="Q88" i="1"/>
  <c r="R88" i="1"/>
  <c r="S88" i="1" s="1"/>
  <c r="Q168" i="1"/>
  <c r="R168" i="1"/>
  <c r="S168" i="1" s="1"/>
  <c r="Q323" i="1"/>
  <c r="R323" i="1"/>
  <c r="S323" i="1" s="1"/>
  <c r="Q291" i="1"/>
  <c r="R291" i="1"/>
  <c r="S291" i="1" s="1"/>
  <c r="Q92" i="1"/>
  <c r="R92" i="1"/>
  <c r="S92" i="1" s="1"/>
  <c r="Q48" i="1"/>
  <c r="R48" i="1"/>
  <c r="S48" i="1" s="1"/>
  <c r="Q532" i="1"/>
  <c r="R532" i="1"/>
  <c r="S532" i="1" s="1"/>
  <c r="Q392" i="1"/>
  <c r="R392" i="1"/>
  <c r="S392" i="1" s="1"/>
  <c r="Q350" i="1"/>
  <c r="R350" i="1"/>
  <c r="S350" i="1" s="1"/>
  <c r="Q257" i="1"/>
  <c r="R257" i="1"/>
  <c r="S257" i="1" s="1"/>
  <c r="Q486" i="1"/>
  <c r="R486" i="1"/>
  <c r="S486" i="1" s="1"/>
  <c r="Q50" i="1"/>
  <c r="R50" i="1"/>
  <c r="S50" i="1" s="1"/>
  <c r="Q176" i="1"/>
  <c r="R176" i="1"/>
  <c r="S176" i="1" s="1"/>
  <c r="Q280" i="1"/>
  <c r="R280" i="1"/>
  <c r="S280" i="1" s="1"/>
  <c r="Q236" i="1"/>
  <c r="R236" i="1"/>
  <c r="S236" i="1" s="1"/>
  <c r="Q161" i="1"/>
  <c r="R161" i="1"/>
  <c r="S161" i="1" s="1"/>
  <c r="Q317" i="1"/>
  <c r="R317" i="1"/>
  <c r="S317" i="1" s="1"/>
  <c r="Q52" i="1"/>
  <c r="R52" i="1"/>
  <c r="S52" i="1" s="1"/>
  <c r="Q493" i="1"/>
  <c r="R493" i="1"/>
  <c r="S493" i="1" s="1"/>
  <c r="Q473" i="1"/>
  <c r="R473" i="1"/>
  <c r="S473" i="1" s="1"/>
  <c r="Q155" i="1"/>
  <c r="R155" i="1"/>
  <c r="S155" i="1" s="1"/>
  <c r="Q156" i="1"/>
  <c r="R156" i="1"/>
  <c r="S156" i="1" s="1"/>
  <c r="Q398" i="1"/>
  <c r="R398" i="1"/>
  <c r="S398" i="1" s="1"/>
  <c r="Q54" i="1"/>
  <c r="R54" i="1"/>
  <c r="S54" i="1" s="1"/>
  <c r="Q440" i="1"/>
  <c r="R440" i="1"/>
  <c r="S440" i="1" s="1"/>
  <c r="Q421" i="1"/>
  <c r="R421" i="1"/>
  <c r="S421" i="1" s="1"/>
  <c r="Q470" i="1"/>
  <c r="R470" i="1"/>
  <c r="S470" i="1" s="1"/>
  <c r="Q399" i="1"/>
  <c r="R399" i="1"/>
  <c r="S399" i="1" s="1"/>
  <c r="Q336" i="1"/>
  <c r="R336" i="1"/>
  <c r="S336" i="1" s="1"/>
  <c r="Q56" i="1"/>
  <c r="R56" i="1"/>
  <c r="S56" i="1" s="1"/>
  <c r="Q542" i="1"/>
  <c r="R542" i="1"/>
  <c r="S542" i="1" s="1"/>
  <c r="Q468" i="1"/>
  <c r="R468" i="1"/>
  <c r="S468" i="1" s="1"/>
  <c r="Q539" i="1"/>
  <c r="R539" i="1"/>
  <c r="S539" i="1" s="1"/>
  <c r="Q444" i="1"/>
  <c r="R444" i="1"/>
  <c r="S444" i="1" s="1"/>
  <c r="Q512" i="1"/>
  <c r="R512" i="1"/>
  <c r="S512" i="1" s="1"/>
  <c r="Q58" i="1"/>
  <c r="R58" i="1"/>
  <c r="S58" i="1" s="1"/>
  <c r="Q268" i="1"/>
  <c r="R268" i="1"/>
  <c r="S268" i="1" s="1"/>
  <c r="Q247" i="1"/>
  <c r="R247" i="1"/>
  <c r="S247" i="1" s="1"/>
  <c r="Q474" i="1"/>
  <c r="R474" i="1"/>
  <c r="S474" i="1" s="1"/>
  <c r="Q361" i="1"/>
  <c r="R361" i="1"/>
  <c r="S361" i="1" s="1"/>
  <c r="Q319" i="1"/>
  <c r="R319" i="1"/>
  <c r="S319" i="1" s="1"/>
  <c r="Q61" i="1"/>
  <c r="R61" i="1"/>
  <c r="S61" i="1" s="1"/>
  <c r="Q221" i="1"/>
  <c r="R221" i="1"/>
  <c r="S221" i="1" s="1"/>
  <c r="Q417" i="1"/>
  <c r="R417" i="1"/>
  <c r="S417" i="1" s="1"/>
  <c r="Q447" i="1"/>
  <c r="R447" i="1"/>
  <c r="S447" i="1" s="1"/>
  <c r="Q415" i="1"/>
  <c r="R415" i="1"/>
  <c r="S415" i="1" s="1"/>
  <c r="Q365" i="1"/>
  <c r="R365" i="1"/>
  <c r="S365" i="1" s="1"/>
  <c r="Q63" i="1"/>
  <c r="R63" i="1"/>
  <c r="S63" i="1" s="1"/>
  <c r="Q469" i="1"/>
  <c r="R469" i="1"/>
  <c r="S469" i="1" s="1"/>
  <c r="Q304" i="1"/>
  <c r="R304" i="1"/>
  <c r="S304" i="1" s="1"/>
  <c r="Q369" i="1"/>
  <c r="R369" i="1"/>
  <c r="S369" i="1" s="1"/>
  <c r="Q177" i="1"/>
  <c r="R177" i="1"/>
  <c r="S177" i="1" s="1"/>
  <c r="Q303" i="1"/>
  <c r="R303" i="1"/>
  <c r="S303" i="1" s="1"/>
  <c r="Q65" i="1"/>
  <c r="R65" i="1"/>
  <c r="S65" i="1" s="1"/>
  <c r="Q500" i="1"/>
  <c r="R500" i="1"/>
  <c r="S500" i="1" s="1"/>
  <c r="Q556" i="1"/>
  <c r="R556" i="1"/>
  <c r="S556" i="1" s="1"/>
  <c r="Q362" i="1"/>
  <c r="R362" i="1"/>
  <c r="S362" i="1" s="1"/>
  <c r="Q284" i="1"/>
  <c r="R284" i="1"/>
  <c r="S284" i="1" s="1"/>
  <c r="Q544" i="1"/>
  <c r="R544" i="1"/>
  <c r="S544" i="1" s="1"/>
  <c r="Q71" i="1"/>
  <c r="R71" i="1"/>
  <c r="S71" i="1" s="1"/>
  <c r="Q377" i="1"/>
  <c r="R377" i="1"/>
  <c r="S377" i="1" s="1"/>
  <c r="Q436" i="1"/>
  <c r="R436" i="1"/>
  <c r="S436" i="1" s="1"/>
  <c r="Q314" i="1"/>
  <c r="R314" i="1"/>
  <c r="S314" i="1" s="1"/>
  <c r="Q413" i="1"/>
  <c r="R413" i="1"/>
  <c r="S413" i="1" s="1"/>
  <c r="Q266" i="1"/>
  <c r="R266" i="1"/>
  <c r="S266" i="1" s="1"/>
  <c r="Q67" i="1"/>
  <c r="R67" i="1"/>
  <c r="S67" i="1" s="1"/>
  <c r="Q426" i="1"/>
  <c r="R426" i="1"/>
  <c r="S426" i="1" s="1"/>
  <c r="Q515" i="1"/>
  <c r="R515" i="1"/>
  <c r="S515" i="1" s="1"/>
  <c r="Q318" i="1"/>
  <c r="R318" i="1"/>
  <c r="S318" i="1" s="1"/>
  <c r="Q360" i="1"/>
  <c r="R360" i="1"/>
  <c r="S360" i="1" s="1"/>
  <c r="Q265" i="1"/>
  <c r="R265" i="1"/>
  <c r="S265" i="1" s="1"/>
  <c r="Q73" i="1"/>
  <c r="R73" i="1"/>
  <c r="S73" i="1" s="1"/>
  <c r="Q270" i="1"/>
  <c r="R270" i="1"/>
  <c r="S270" i="1" s="1"/>
  <c r="Q476" i="1"/>
  <c r="R476" i="1"/>
  <c r="S476" i="1" s="1"/>
  <c r="Q274" i="1"/>
  <c r="R274" i="1"/>
  <c r="S274" i="1" s="1"/>
  <c r="Q340" i="1"/>
  <c r="R340" i="1"/>
  <c r="S340" i="1" s="1"/>
  <c r="Q352" i="1"/>
  <c r="R352" i="1"/>
  <c r="S352" i="1" s="1"/>
  <c r="Q76" i="1"/>
  <c r="R76" i="1"/>
  <c r="S76" i="1" s="1"/>
  <c r="Q235" i="1"/>
  <c r="R235" i="1"/>
  <c r="S235" i="1" s="1"/>
  <c r="Q489" i="1"/>
  <c r="R489" i="1"/>
  <c r="S489" i="1" s="1"/>
  <c r="Q191" i="1"/>
  <c r="R191" i="1"/>
  <c r="S191" i="1" s="1"/>
  <c r="Q192" i="1"/>
  <c r="R192" i="1"/>
  <c r="S192" i="1" s="1"/>
  <c r="Q535" i="1"/>
  <c r="R535" i="1"/>
  <c r="S535" i="1" s="1"/>
  <c r="Q78" i="1"/>
  <c r="R78" i="1"/>
  <c r="S78" i="1" s="1"/>
  <c r="Q213" i="1"/>
  <c r="R213" i="1"/>
  <c r="S213" i="1" s="1"/>
  <c r="Q420" i="1"/>
  <c r="R420" i="1"/>
  <c r="S420" i="1" s="1"/>
  <c r="Q344" i="1"/>
  <c r="R344" i="1"/>
  <c r="S344" i="1" s="1"/>
  <c r="Q232" i="1"/>
  <c r="R232" i="1"/>
  <c r="S232" i="1" s="1"/>
  <c r="Q194" i="1"/>
  <c r="R194" i="1"/>
  <c r="S194" i="1" s="1"/>
  <c r="Q80" i="1"/>
  <c r="R80" i="1"/>
  <c r="S80" i="1" s="1"/>
  <c r="Q463" i="1"/>
  <c r="R463" i="1"/>
  <c r="S463" i="1" s="1"/>
  <c r="Q445" i="1"/>
  <c r="R445" i="1"/>
  <c r="S445" i="1" s="1"/>
  <c r="Q389" i="1"/>
  <c r="R389" i="1"/>
  <c r="S389" i="1" s="1"/>
  <c r="Q372" i="1"/>
  <c r="R372" i="1"/>
  <c r="S372" i="1" s="1"/>
  <c r="Q259" i="1"/>
  <c r="R259" i="1"/>
  <c r="S259" i="1" s="1"/>
  <c r="Q82" i="1"/>
  <c r="R82" i="1"/>
  <c r="S82" i="1" s="1"/>
  <c r="Q294" i="1"/>
  <c r="R294" i="1"/>
  <c r="S294" i="1" s="1"/>
  <c r="Q311" i="1"/>
  <c r="R311" i="1"/>
  <c r="S311" i="1" s="1"/>
  <c r="Q254" i="1"/>
  <c r="R254" i="1"/>
  <c r="S254" i="1" s="1"/>
  <c r="Q205" i="1"/>
  <c r="R205" i="1"/>
  <c r="S205" i="1" s="1"/>
  <c r="Q332" i="1"/>
  <c r="R332" i="1"/>
  <c r="S332" i="1" s="1"/>
  <c r="Q86" i="1"/>
  <c r="R86" i="1"/>
  <c r="S86" i="1" s="1"/>
  <c r="Q499" i="1"/>
  <c r="R499" i="1"/>
  <c r="S499" i="1" s="1"/>
  <c r="Q443" i="1"/>
  <c r="R443" i="1"/>
  <c r="S443" i="1" s="1"/>
  <c r="Q384" i="1"/>
  <c r="R384" i="1"/>
  <c r="S384" i="1" s="1"/>
  <c r="Q381" i="1"/>
  <c r="R381" i="1"/>
  <c r="S381" i="1" s="1"/>
  <c r="Q373" i="1"/>
  <c r="R373" i="1"/>
  <c r="S373" i="1" s="1"/>
  <c r="Q89" i="1"/>
  <c r="R89" i="1"/>
  <c r="S89" i="1" s="1"/>
  <c r="Q419" i="1"/>
  <c r="R419" i="1"/>
  <c r="S419" i="1" s="1"/>
  <c r="Q393" i="1"/>
  <c r="R393" i="1"/>
  <c r="S393" i="1" s="1"/>
  <c r="Q387" i="1"/>
  <c r="R387" i="1"/>
  <c r="S387" i="1" s="1"/>
  <c r="Q329" i="1"/>
  <c r="R329" i="1"/>
  <c r="S329" i="1" s="1"/>
  <c r="Q358" i="1"/>
  <c r="R358" i="1"/>
  <c r="S358" i="1" s="1"/>
  <c r="Q91" i="1"/>
  <c r="R91" i="1"/>
  <c r="S91" i="1" s="1"/>
  <c r="Q390" i="1"/>
  <c r="R390" i="1"/>
  <c r="S390" i="1" s="1"/>
  <c r="Q315" i="1"/>
  <c r="R315" i="1"/>
  <c r="S315" i="1" s="1"/>
  <c r="Q428" i="1"/>
  <c r="R428" i="1"/>
  <c r="S428" i="1" s="1"/>
  <c r="Q356" i="1"/>
  <c r="R356" i="1"/>
  <c r="S356" i="1" s="1"/>
  <c r="Q530" i="1"/>
  <c r="R530" i="1"/>
  <c r="S530" i="1" s="1"/>
  <c r="Q94" i="1"/>
  <c r="R94" i="1"/>
  <c r="S94" i="1" s="1"/>
  <c r="Q467" i="1"/>
  <c r="R467" i="1"/>
  <c r="S467" i="1" s="1"/>
  <c r="Q327" i="1"/>
  <c r="R327" i="1"/>
  <c r="S327" i="1" s="1"/>
  <c r="Q237" i="1"/>
  <c r="R237" i="1"/>
  <c r="S237" i="1" s="1"/>
  <c r="Q202" i="1"/>
  <c r="R202" i="1"/>
  <c r="S202" i="1" s="1"/>
  <c r="Q183" i="1"/>
  <c r="R183" i="1"/>
  <c r="S183" i="1" s="1"/>
  <c r="Q96" i="1"/>
  <c r="R96" i="1"/>
  <c r="S96" i="1" s="1"/>
  <c r="Q406" i="1"/>
  <c r="R406" i="1"/>
  <c r="S406" i="1" s="1"/>
  <c r="Q478" i="1"/>
  <c r="R478" i="1"/>
  <c r="S478" i="1" s="1"/>
  <c r="Q429" i="1"/>
  <c r="R429" i="1"/>
  <c r="S429" i="1" s="1"/>
  <c r="Q509" i="1"/>
  <c r="R509" i="1"/>
  <c r="S509" i="1" s="1"/>
  <c r="Q529" i="1"/>
  <c r="R529" i="1"/>
  <c r="S529" i="1" s="1"/>
  <c r="Q98" i="1"/>
  <c r="R98" i="1"/>
  <c r="S98" i="1" s="1"/>
  <c r="Q452" i="1"/>
  <c r="R452" i="1"/>
  <c r="S452" i="1" s="1"/>
  <c r="Q480" i="1"/>
  <c r="R480" i="1"/>
  <c r="S480" i="1" s="1"/>
  <c r="Q504" i="1"/>
  <c r="R504" i="1"/>
  <c r="S504" i="1" s="1"/>
  <c r="Q305" i="1"/>
  <c r="R305" i="1"/>
  <c r="S305" i="1" s="1"/>
  <c r="Q396" i="1"/>
  <c r="R396" i="1"/>
  <c r="S396" i="1" s="1"/>
  <c r="Q100" i="1"/>
  <c r="R100" i="1"/>
  <c r="S100" i="1" s="1"/>
  <c r="Q526" i="1"/>
  <c r="R526" i="1"/>
  <c r="S526" i="1" s="1"/>
  <c r="Q375" i="1"/>
  <c r="R375" i="1"/>
  <c r="S375" i="1" s="1"/>
  <c r="Q497" i="1"/>
  <c r="R497" i="1"/>
  <c r="S497" i="1" s="1"/>
  <c r="Q223" i="1"/>
  <c r="R223" i="1"/>
  <c r="S223" i="1" s="1"/>
  <c r="Q370" i="1"/>
  <c r="R370" i="1"/>
  <c r="S370" i="1" s="1"/>
  <c r="Q102" i="1"/>
  <c r="R102" i="1"/>
  <c r="S102" i="1" s="1"/>
  <c r="Q418" i="1"/>
  <c r="R418" i="1"/>
  <c r="S418" i="1" s="1"/>
  <c r="Q454" i="1"/>
  <c r="R454" i="1"/>
  <c r="S454" i="1" s="1"/>
  <c r="Q293" i="1"/>
  <c r="R293" i="1"/>
  <c r="S293" i="1" s="1"/>
  <c r="Q264" i="1"/>
  <c r="R264" i="1"/>
  <c r="S264" i="1" s="1"/>
  <c r="Q402" i="1"/>
  <c r="R402" i="1"/>
  <c r="S402" i="1" s="1"/>
  <c r="Q104" i="1"/>
  <c r="R104" i="1"/>
  <c r="S104" i="1" s="1"/>
  <c r="Q376" i="1"/>
  <c r="R376" i="1"/>
  <c r="S376" i="1" s="1"/>
  <c r="Q554" i="1"/>
  <c r="R554" i="1"/>
  <c r="S554" i="1" s="1"/>
  <c r="Q531" i="1"/>
  <c r="R531" i="1"/>
  <c r="S531" i="1" s="1"/>
  <c r="Q488" i="1"/>
  <c r="R488" i="1"/>
  <c r="S488" i="1" s="1"/>
  <c r="Q385" i="1"/>
  <c r="R385" i="1"/>
  <c r="S385" i="1" s="1"/>
  <c r="Q106" i="1"/>
  <c r="R106" i="1"/>
  <c r="S106" i="1" s="1"/>
  <c r="Q334" i="1"/>
  <c r="R334" i="1"/>
  <c r="S334" i="1" s="1"/>
  <c r="Q238" i="1"/>
  <c r="R238" i="1"/>
  <c r="S238" i="1" s="1"/>
  <c r="Q200" i="1"/>
  <c r="R200" i="1"/>
  <c r="S200" i="1" s="1"/>
  <c r="Q151" i="1"/>
  <c r="R151" i="1"/>
  <c r="S151" i="1" s="1"/>
  <c r="Q198" i="1"/>
  <c r="R198" i="1"/>
  <c r="S198" i="1" s="1"/>
  <c r="Q108" i="1"/>
  <c r="R108" i="1"/>
  <c r="S108" i="1" s="1"/>
  <c r="Q484" i="1"/>
  <c r="R484" i="1"/>
  <c r="S484" i="1" s="1"/>
  <c r="Q461" i="1"/>
  <c r="R461" i="1"/>
  <c r="S461" i="1" s="1"/>
  <c r="Q491" i="1"/>
  <c r="R491" i="1"/>
  <c r="S491" i="1" s="1"/>
  <c r="Q422" i="1"/>
  <c r="R422" i="1"/>
  <c r="S422" i="1" s="1"/>
  <c r="Q339" i="1"/>
  <c r="R339" i="1"/>
  <c r="S339" i="1" s="1"/>
  <c r="Q110" i="1"/>
  <c r="R110" i="1"/>
  <c r="S110" i="1" s="1"/>
  <c r="Q252" i="1"/>
  <c r="R252" i="1"/>
  <c r="S252" i="1" s="1"/>
  <c r="Q400" i="1"/>
  <c r="R400" i="1"/>
  <c r="S400" i="1" s="1"/>
  <c r="Q140" i="1"/>
  <c r="R140" i="1"/>
  <c r="S140" i="1" s="1"/>
  <c r="Q136" i="1"/>
  <c r="R136" i="1"/>
  <c r="S136" i="1" s="1"/>
  <c r="Q353" i="1"/>
  <c r="R353" i="1"/>
  <c r="S353" i="1" s="1"/>
  <c r="Q112" i="1"/>
  <c r="R112" i="1"/>
  <c r="S112" i="1" s="1"/>
  <c r="Q272" i="1"/>
  <c r="R272" i="1"/>
  <c r="S272" i="1" s="1"/>
  <c r="Q508" i="1"/>
  <c r="R508" i="1"/>
  <c r="S508" i="1" s="1"/>
  <c r="Q231" i="1"/>
  <c r="R231" i="1"/>
  <c r="S231" i="1" s="1"/>
  <c r="Q154" i="1"/>
  <c r="R154" i="1"/>
  <c r="S154" i="1" s="1"/>
  <c r="Q487" i="1"/>
  <c r="R487" i="1"/>
  <c r="S487" i="1" s="1"/>
  <c r="Q114" i="1"/>
  <c r="R114" i="1"/>
  <c r="S114" i="1" s="1"/>
  <c r="Q69" i="1"/>
  <c r="R69" i="1"/>
  <c r="S69" i="1" s="1"/>
  <c r="Q405" i="1"/>
  <c r="R405" i="1"/>
  <c r="S405" i="1" s="1"/>
  <c r="Q84" i="1"/>
  <c r="R84" i="1"/>
  <c r="S84" i="1" s="1"/>
  <c r="Q85" i="1"/>
  <c r="R85" i="1"/>
  <c r="S85" i="1" s="1"/>
  <c r="Q70" i="1"/>
  <c r="R70" i="1"/>
  <c r="S70" i="1" s="1"/>
  <c r="Q119" i="1"/>
  <c r="R119" i="1"/>
  <c r="S119" i="1" s="1"/>
  <c r="Q537" i="1"/>
  <c r="R537" i="1"/>
  <c r="S537" i="1" s="1"/>
  <c r="Q348" i="1"/>
  <c r="R348" i="1"/>
  <c r="S348" i="1" s="1"/>
  <c r="Q276" i="1"/>
  <c r="R276" i="1"/>
  <c r="S276" i="1" s="1"/>
  <c r="Q253" i="1"/>
  <c r="R253" i="1"/>
  <c r="S253" i="1" s="1"/>
  <c r="Q451" i="1"/>
  <c r="R451" i="1"/>
  <c r="S451" i="1" s="1"/>
  <c r="Q122" i="1"/>
  <c r="R122" i="1"/>
  <c r="S122" i="1" s="1"/>
  <c r="Q144" i="1"/>
  <c r="R144" i="1"/>
  <c r="S144" i="1" s="1"/>
  <c r="Q328" i="1"/>
  <c r="R328" i="1"/>
  <c r="S328" i="1" s="1"/>
  <c r="Q116" i="1"/>
  <c r="R116" i="1"/>
  <c r="S116" i="1" s="1"/>
  <c r="Q117" i="1"/>
  <c r="R117" i="1"/>
  <c r="S117" i="1" s="1"/>
  <c r="Q217" i="1"/>
  <c r="R217" i="1"/>
  <c r="S217" i="1" s="1"/>
  <c r="Q125" i="1"/>
  <c r="R125" i="1"/>
  <c r="S125" i="1" s="1"/>
  <c r="Q408" i="1"/>
  <c r="R408" i="1"/>
  <c r="S408" i="1" s="1"/>
  <c r="Q520" i="1"/>
  <c r="R520" i="1"/>
  <c r="S520" i="1" s="1"/>
  <c r="Q455" i="1"/>
  <c r="R455" i="1"/>
  <c r="S455" i="1" s="1"/>
  <c r="Q234" i="1"/>
  <c r="R234" i="1"/>
  <c r="S234" i="1" s="1"/>
  <c r="Q523" i="1"/>
  <c r="R523" i="1"/>
  <c r="S523" i="1" s="1"/>
  <c r="Q129" i="1"/>
  <c r="R129" i="1"/>
  <c r="S129" i="1" s="1"/>
  <c r="Q432" i="1"/>
  <c r="R432" i="1"/>
  <c r="S432" i="1" s="1"/>
  <c r="Q326" i="1"/>
  <c r="R326" i="1"/>
  <c r="S326" i="1" s="1"/>
  <c r="Q442" i="1"/>
  <c r="R442" i="1"/>
  <c r="S442" i="1" s="1"/>
  <c r="Q368" i="1"/>
  <c r="R368" i="1"/>
  <c r="S368" i="1" s="1"/>
  <c r="Q263" i="1"/>
  <c r="R263" i="1"/>
  <c r="S263" i="1" s="1"/>
  <c r="Q131" i="1"/>
  <c r="R131" i="1"/>
  <c r="S131" i="1" s="1"/>
  <c r="Q214" i="1"/>
  <c r="R214" i="1"/>
  <c r="S214" i="1" s="1"/>
  <c r="Q380" i="1"/>
  <c r="R380" i="1"/>
  <c r="S380" i="1" s="1"/>
  <c r="Q258" i="1"/>
  <c r="R258" i="1"/>
  <c r="S258" i="1" s="1"/>
  <c r="Q307" i="1"/>
  <c r="R307" i="1"/>
  <c r="S307" i="1" s="1"/>
  <c r="Q345" i="1"/>
  <c r="R345" i="1"/>
  <c r="S345" i="1" s="1"/>
  <c r="Q133" i="1"/>
  <c r="R133" i="1"/>
  <c r="S133" i="1" s="1"/>
  <c r="Q397" i="1"/>
  <c r="R397" i="1"/>
  <c r="S397" i="1" s="1"/>
  <c r="Q313" i="1"/>
  <c r="R313" i="1"/>
  <c r="S313" i="1" s="1"/>
  <c r="Q410" i="1"/>
  <c r="R410" i="1"/>
  <c r="S410" i="1" s="1"/>
  <c r="Q347" i="1"/>
  <c r="R347" i="1"/>
  <c r="S347" i="1" s="1"/>
  <c r="Q261" i="1"/>
  <c r="R261" i="1"/>
  <c r="S261" i="1" s="1"/>
  <c r="Q135" i="1"/>
  <c r="R135" i="1"/>
  <c r="S135" i="1" s="1"/>
  <c r="Q366" i="1"/>
  <c r="R366" i="1"/>
  <c r="S366" i="1" s="1"/>
  <c r="Q560" i="1"/>
  <c r="R560" i="1"/>
  <c r="S560" i="1" s="1"/>
  <c r="Q297" i="1"/>
  <c r="R297" i="1"/>
  <c r="S297" i="1" s="1"/>
  <c r="Q386" i="1"/>
  <c r="R386" i="1"/>
  <c r="S386" i="1" s="1"/>
  <c r="Q282" i="1"/>
  <c r="R282" i="1"/>
  <c r="S282" i="1" s="1"/>
  <c r="Q139" i="1"/>
  <c r="R139" i="1"/>
  <c r="S139" i="1" s="1"/>
  <c r="Q255" i="1"/>
  <c r="R255" i="1"/>
  <c r="S255" i="1" s="1"/>
  <c r="Q383" i="1"/>
  <c r="R383" i="1"/>
  <c r="S383" i="1" s="1"/>
  <c r="Q228" i="1"/>
  <c r="R228" i="1"/>
  <c r="S228" i="1" s="1"/>
  <c r="Q244" i="1"/>
  <c r="R244" i="1"/>
  <c r="S244" i="1" s="1"/>
  <c r="Q160" i="1"/>
  <c r="R160" i="1"/>
  <c r="S160" i="1" s="1"/>
  <c r="Q143" i="1"/>
  <c r="R143" i="1"/>
  <c r="S143" i="1" s="1"/>
  <c r="Q224" i="1"/>
  <c r="R224" i="1"/>
  <c r="S224" i="1" s="1"/>
  <c r="Q557" i="1"/>
  <c r="R557" i="1"/>
  <c r="S557" i="1" s="1"/>
  <c r="Q481" i="1"/>
  <c r="R481" i="1"/>
  <c r="S481" i="1" s="1"/>
  <c r="Q514" i="1"/>
  <c r="R514" i="1"/>
  <c r="S514" i="1" s="1"/>
  <c r="Q277" i="1"/>
  <c r="R277" i="1"/>
  <c r="S277" i="1" s="1"/>
  <c r="Q147" i="1"/>
  <c r="R147" i="1"/>
  <c r="S147" i="1" s="1"/>
  <c r="Q465" i="1"/>
  <c r="R465" i="1"/>
  <c r="S465" i="1" s="1"/>
  <c r="Q271" i="1"/>
  <c r="R271" i="1"/>
  <c r="S271" i="1" s="1"/>
  <c r="Q379" i="1"/>
  <c r="R379" i="1"/>
  <c r="S379" i="1" s="1"/>
  <c r="Q267" i="1"/>
  <c r="R267" i="1"/>
  <c r="S267" i="1" s="1"/>
  <c r="Q206" i="1"/>
  <c r="R206" i="1"/>
  <c r="S206" i="1" s="1"/>
  <c r="Q149" i="1"/>
  <c r="R149" i="1"/>
  <c r="S149" i="1" s="1"/>
  <c r="Q395" i="1"/>
  <c r="R395" i="1"/>
  <c r="S395" i="1" s="1"/>
  <c r="Q239" i="1"/>
  <c r="R239" i="1"/>
  <c r="S239" i="1" s="1"/>
  <c r="Q414" i="1"/>
  <c r="R414" i="1"/>
  <c r="S414" i="1" s="1"/>
  <c r="Q222" i="1"/>
  <c r="R222" i="1"/>
  <c r="S222" i="1" s="1"/>
  <c r="Q412" i="1"/>
  <c r="R412" i="1"/>
  <c r="S412" i="1" s="1"/>
  <c r="Q159" i="1"/>
  <c r="R159" i="1"/>
  <c r="S159" i="1" s="1"/>
  <c r="Q495" i="1"/>
  <c r="R495" i="1"/>
  <c r="S495" i="1" s="1"/>
  <c r="Q459" i="1"/>
  <c r="R459" i="1"/>
  <c r="S459" i="1" s="1"/>
  <c r="Q141" i="1"/>
  <c r="R141" i="1"/>
  <c r="S141" i="1" s="1"/>
  <c r="Q346" i="1"/>
  <c r="R346" i="1"/>
  <c r="S346" i="1" s="1"/>
  <c r="Q371" i="1"/>
  <c r="R371" i="1"/>
  <c r="S371" i="1" s="1"/>
  <c r="Q152" i="1"/>
  <c r="R152" i="1"/>
  <c r="S152" i="1" s="1"/>
  <c r="Q153" i="1"/>
  <c r="R153" i="1"/>
  <c r="S153" i="1" s="1"/>
  <c r="Q439" i="1"/>
  <c r="R439" i="1"/>
  <c r="S439" i="1" s="1"/>
  <c r="Q513" i="1"/>
  <c r="R513" i="1"/>
  <c r="S513" i="1" s="1"/>
  <c r="Q522" i="1"/>
  <c r="R522" i="1"/>
  <c r="S522" i="1" s="1"/>
  <c r="Q295" i="1"/>
  <c r="R295" i="1"/>
  <c r="S295" i="1" s="1"/>
  <c r="Q163" i="1"/>
  <c r="R163" i="1"/>
  <c r="S163" i="1" s="1"/>
  <c r="Q430" i="1"/>
  <c r="R430" i="1"/>
  <c r="S430" i="1" s="1"/>
  <c r="Q374" i="1"/>
  <c r="R374" i="1"/>
  <c r="S374" i="1" s="1"/>
  <c r="Q341" i="1"/>
  <c r="R341" i="1"/>
  <c r="S341" i="1" s="1"/>
  <c r="Q416" i="1"/>
  <c r="R416" i="1"/>
  <c r="S416" i="1" s="1"/>
  <c r="Q496" i="1"/>
  <c r="R496" i="1"/>
  <c r="S496" i="1" s="1"/>
  <c r="Q169" i="1"/>
  <c r="R169" i="1"/>
  <c r="S169" i="1" s="1"/>
  <c r="Q519" i="1"/>
  <c r="R519" i="1"/>
  <c r="S519" i="1" s="1"/>
  <c r="Q540" i="1"/>
  <c r="R540" i="1"/>
  <c r="S540" i="1" s="1"/>
  <c r="Q251" i="1"/>
  <c r="R251" i="1"/>
  <c r="S251" i="1" s="1"/>
  <c r="Q59" i="1"/>
  <c r="R59" i="1"/>
  <c r="S59" i="1" s="1"/>
  <c r="Q137" i="1"/>
  <c r="R137" i="1"/>
  <c r="S137" i="1" s="1"/>
  <c r="Q170" i="1"/>
  <c r="R170" i="1"/>
  <c r="S170" i="1" s="1"/>
  <c r="Q157" i="1"/>
  <c r="R157" i="1"/>
  <c r="S157" i="1" s="1"/>
  <c r="Q464" i="1"/>
  <c r="R464" i="1"/>
  <c r="S464" i="1" s="1"/>
  <c r="Q262" i="1"/>
  <c r="R262" i="1"/>
  <c r="S262" i="1" s="1"/>
  <c r="Q207" i="1"/>
  <c r="R207" i="1"/>
  <c r="S207" i="1" s="1"/>
  <c r="Q285" i="1"/>
  <c r="R285" i="1"/>
  <c r="S285" i="1" s="1"/>
  <c r="Q172" i="1"/>
  <c r="R172" i="1"/>
  <c r="S172" i="1" s="1"/>
  <c r="Q308" i="1"/>
  <c r="R308" i="1"/>
  <c r="S308" i="1" s="1"/>
  <c r="Q547" i="1"/>
  <c r="R547" i="1"/>
  <c r="S547" i="1" s="1"/>
  <c r="Q482" i="1"/>
  <c r="R482" i="1"/>
  <c r="S482" i="1" s="1"/>
  <c r="Q431" i="1"/>
  <c r="R431" i="1"/>
  <c r="S431" i="1" s="1"/>
  <c r="Q279" i="1"/>
  <c r="R279" i="1"/>
  <c r="S279" i="1" s="1"/>
  <c r="Q175" i="1"/>
  <c r="R175" i="1"/>
  <c r="S175" i="1" s="1"/>
  <c r="Q394" i="1"/>
  <c r="R394" i="1"/>
  <c r="S394" i="1" s="1"/>
  <c r="Q505" i="1"/>
  <c r="R505" i="1"/>
  <c r="S505" i="1" s="1"/>
  <c r="Q301" i="1"/>
  <c r="R301" i="1"/>
  <c r="S301" i="1" s="1"/>
  <c r="Q333" i="1"/>
  <c r="R333" i="1"/>
  <c r="S333" i="1" s="1"/>
  <c r="Q290" i="1"/>
  <c r="R290" i="1"/>
  <c r="S290" i="1" s="1"/>
  <c r="Q180" i="1"/>
  <c r="R180" i="1"/>
  <c r="S180" i="1" s="1"/>
  <c r="Q561" i="1"/>
  <c r="R561" i="1"/>
  <c r="S561" i="1" s="1"/>
  <c r="Q553" i="1"/>
  <c r="R553" i="1"/>
  <c r="S553" i="1" s="1"/>
  <c r="Q490" i="1"/>
  <c r="R490" i="1"/>
  <c r="S490" i="1" s="1"/>
  <c r="Q528" i="1"/>
  <c r="R528" i="1"/>
  <c r="S528" i="1" s="1"/>
  <c r="Q359" i="1"/>
  <c r="R359" i="1"/>
  <c r="S359" i="1" s="1"/>
  <c r="Q187" i="1"/>
  <c r="R187" i="1"/>
  <c r="S187" i="1" s="1"/>
  <c r="Q220" i="1"/>
  <c r="R220" i="1"/>
  <c r="S220" i="1" s="1"/>
  <c r="Q343" i="1"/>
  <c r="R343" i="1"/>
  <c r="S343" i="1" s="1"/>
  <c r="Q240" i="1"/>
  <c r="R240" i="1"/>
  <c r="S240" i="1" s="1"/>
  <c r="Q225" i="1"/>
  <c r="R225" i="1"/>
  <c r="S225" i="1" s="1"/>
  <c r="Q248" i="1"/>
  <c r="R248" i="1"/>
  <c r="S248" i="1" s="1"/>
  <c r="Q190" i="1"/>
  <c r="R190" i="1"/>
  <c r="S190" i="1" s="1"/>
  <c r="Q269" i="1"/>
  <c r="R269" i="1"/>
  <c r="S269" i="1" s="1"/>
  <c r="Q441" i="1"/>
  <c r="R441" i="1"/>
  <c r="S441" i="1" s="1"/>
  <c r="Q536" i="1"/>
  <c r="R536" i="1"/>
  <c r="S536" i="1" s="1"/>
  <c r="Q510" i="1"/>
  <c r="R510" i="1"/>
  <c r="S510" i="1" s="1"/>
  <c r="Q325" i="1"/>
  <c r="R325" i="1"/>
  <c r="S325" i="1" s="1"/>
  <c r="Q197" i="1"/>
  <c r="R197" i="1"/>
  <c r="S197" i="1" s="1"/>
  <c r="Q357" i="1"/>
  <c r="R357" i="1"/>
  <c r="S357" i="1" s="1"/>
  <c r="Q498" i="1"/>
  <c r="R498" i="1"/>
  <c r="S498" i="1" s="1"/>
  <c r="Q511" i="1"/>
  <c r="R511" i="1"/>
  <c r="S511" i="1" s="1"/>
  <c r="Q541" i="1"/>
  <c r="R541" i="1"/>
  <c r="S541" i="1" s="1"/>
  <c r="Q219" i="1"/>
  <c r="R219" i="1"/>
  <c r="S219" i="1" s="1"/>
  <c r="Q215" i="1"/>
  <c r="R215" i="1"/>
  <c r="S215" i="1" s="1"/>
  <c r="Q558" i="1"/>
  <c r="R558" i="1"/>
  <c r="S558" i="1" s="1"/>
  <c r="Q501" i="1"/>
  <c r="R501" i="1"/>
  <c r="S501" i="1" s="1"/>
  <c r="Q546" i="1"/>
  <c r="R546" i="1"/>
  <c r="S546" i="1" s="1"/>
  <c r="Q475" i="1"/>
  <c r="R475" i="1"/>
  <c r="S475" i="1" s="1"/>
  <c r="Q502" i="1"/>
  <c r="R502" i="1"/>
  <c r="S502" i="1" s="1"/>
  <c r="Q226" i="1"/>
  <c r="R226" i="1"/>
  <c r="S226" i="1" s="1"/>
  <c r="Q275" i="1"/>
  <c r="R275" i="1"/>
  <c r="S275" i="1" s="1"/>
  <c r="Q364" i="1"/>
  <c r="R364" i="1"/>
  <c r="S364" i="1" s="1"/>
  <c r="Q201" i="1"/>
  <c r="R201" i="1"/>
  <c r="S201" i="1" s="1"/>
  <c r="Q115" i="1"/>
  <c r="R115" i="1"/>
  <c r="S115" i="1" s="1"/>
  <c r="Q260" i="1"/>
  <c r="R260" i="1"/>
  <c r="S260" i="1" s="1"/>
  <c r="Q229" i="1"/>
  <c r="R229" i="1"/>
  <c r="S229" i="1" s="1"/>
  <c r="Q552" i="1"/>
  <c r="R552" i="1"/>
  <c r="S552" i="1" s="1"/>
  <c r="Q391" i="1"/>
  <c r="R391" i="1"/>
  <c r="S391" i="1" s="1"/>
  <c r="Q503" i="1"/>
  <c r="R503" i="1"/>
  <c r="S503" i="1" s="1"/>
  <c r="Q450" i="1"/>
  <c r="R450" i="1"/>
  <c r="S450" i="1" s="1"/>
  <c r="Q548" i="1"/>
  <c r="R548" i="1"/>
  <c r="S548" i="1" s="1"/>
  <c r="Q242" i="1"/>
  <c r="R242" i="1"/>
  <c r="S242" i="1" s="1"/>
  <c r="Q355" i="1"/>
  <c r="R355" i="1"/>
  <c r="S355" i="1" s="1"/>
  <c r="Q485" i="1"/>
  <c r="R485" i="1"/>
  <c r="S485" i="1" s="1"/>
  <c r="Q127" i="1"/>
  <c r="R127" i="1"/>
  <c r="S127" i="1" s="1"/>
  <c r="Q299" i="1"/>
  <c r="R299" i="1"/>
  <c r="S299" i="1" s="1"/>
  <c r="Q302" i="1"/>
  <c r="R302" i="1"/>
  <c r="S302" i="1" s="1"/>
  <c r="Q249" i="1"/>
  <c r="R249" i="1"/>
  <c r="S249" i="1" s="1"/>
  <c r="Q543" i="1"/>
  <c r="R543" i="1"/>
  <c r="S543" i="1" s="1"/>
  <c r="Q460" i="1"/>
  <c r="R460" i="1"/>
  <c r="S460" i="1" s="1"/>
  <c r="Q423" i="1"/>
  <c r="R423" i="1"/>
  <c r="S423" i="1" s="1"/>
  <c r="Q409" i="1"/>
  <c r="R409" i="1"/>
  <c r="S409" i="1" s="1"/>
  <c r="Q483" i="1"/>
  <c r="R483" i="1"/>
  <c r="S483" i="1" s="1"/>
</calcChain>
</file>

<file path=xl/sharedStrings.xml><?xml version="1.0" encoding="utf-8"?>
<sst xmlns="http://schemas.openxmlformats.org/spreadsheetml/2006/main" count="2820" uniqueCount="1632">
  <si>
    <t>run_index</t>
  </si>
  <si>
    <t>mode</t>
  </si>
  <si>
    <t>avoidance</t>
  </si>
  <si>
    <t>repeat_index</t>
  </si>
  <si>
    <t>seed</t>
  </si>
  <si>
    <t>watch_text_found</t>
  </si>
  <si>
    <t>last_ball_time</t>
  </si>
  <si>
    <t>total_balls_taken</t>
  </si>
  <si>
    <t>collision_count</t>
  </si>
  <si>
    <t>total_contact_time</t>
  </si>
  <si>
    <t>ball_history_last_line</t>
  </si>
  <si>
    <t>process_return_code</t>
  </si>
  <si>
    <t>process_error</t>
  </si>
  <si>
    <t>started_at</t>
  </si>
  <si>
    <t>finished_at</t>
  </si>
  <si>
    <t>source_instance</t>
  </si>
  <si>
    <t>tools</t>
  </si>
  <si>
    <t>all_ball_path_planned</t>
  </si>
  <si>
    <t>30.824,31</t>
  </si>
  <si>
    <t>2026-02-20T23:12:43.465658</t>
  </si>
  <si>
    <t>2026-02-20T23:16:14.705858</t>
  </si>
  <si>
    <t>improved_nearest_v2</t>
  </si>
  <si>
    <t>44.464,31</t>
  </si>
  <si>
    <t>2026-02-20T23:16:15.713178</t>
  </si>
  <si>
    <t>2026-02-20T23:19:59.190271</t>
  </si>
  <si>
    <t>improved_nearest_v2_5</t>
  </si>
  <si>
    <t>46.444,29</t>
  </si>
  <si>
    <t>2026-02-20T23:20:00.197044</t>
  </si>
  <si>
    <t>2026-02-20T23:24:08.403763</t>
  </si>
  <si>
    <t>improved_nearest_v3</t>
  </si>
  <si>
    <t>54.900,31</t>
  </si>
  <si>
    <t>2026-02-20T23:24:09.407445</t>
  </si>
  <si>
    <t>2026-02-20T23:29:31.104996</t>
  </si>
  <si>
    <t>improved_nearest_v3_5</t>
  </si>
  <si>
    <t>44.024,31</t>
  </si>
  <si>
    <t>2026-02-20T23:29:32.110837</t>
  </si>
  <si>
    <t>2026-02-20T23:33:30.914309</t>
  </si>
  <si>
    <t>seen_ball_path_planned</t>
  </si>
  <si>
    <t>76.628,29</t>
  </si>
  <si>
    <t>2026-02-20T23:33:31.926726</t>
  </si>
  <si>
    <t>2026-02-20T23:40:44.826227</t>
  </si>
  <si>
    <t>40.144,31</t>
  </si>
  <si>
    <t>2026-02-20T23:44:39.820307</t>
  </si>
  <si>
    <t>2026-02-20T23:48:17.746277</t>
  </si>
  <si>
    <t>53.744,28</t>
  </si>
  <si>
    <t>2026-02-20T23:48:18.751841</t>
  </si>
  <si>
    <t>2026-02-20T23:53:58.187013</t>
  </si>
  <si>
    <t>109.832,28</t>
  </si>
  <si>
    <t>2026-02-20T23:53:59.198803</t>
  </si>
  <si>
    <t>2026-02-21T00:04:42.004002</t>
  </si>
  <si>
    <t>68.072,30</t>
  </si>
  <si>
    <t>2026-02-21T00:04:43.007598</t>
  </si>
  <si>
    <t>2026-02-21T00:11:21.805951</t>
  </si>
  <si>
    <t>77.544,31</t>
  </si>
  <si>
    <t>2026-02-21T00:11:22.817387</t>
  </si>
  <si>
    <t>2026-02-21T00:17:58.695995</t>
  </si>
  <si>
    <t>48.072,26</t>
  </si>
  <si>
    <t>2026-02-21T00:17:59.700214</t>
  </si>
  <si>
    <t>2026-02-21T00:22:38.550271</t>
  </si>
  <si>
    <t>26.404,32</t>
  </si>
  <si>
    <t>2026-02-21T00:26:39.983673</t>
  </si>
  <si>
    <t>2026-02-21T00:29:22.162276</t>
  </si>
  <si>
    <t>60.472,31</t>
  </si>
  <si>
    <t>2026-02-21T00:29:23.174397</t>
  </si>
  <si>
    <t>2026-02-21T00:34:38.170029</t>
  </si>
  <si>
    <t>65.020,29</t>
  </si>
  <si>
    <t>2026-02-21T00:34:39.183143</t>
  </si>
  <si>
    <t>2026-02-21T00:40:25.406412</t>
  </si>
  <si>
    <t>63.080,31</t>
  </si>
  <si>
    <t>2026-02-21T00:40:26.418078</t>
  </si>
  <si>
    <t>2026-02-21T00:45:59.742741</t>
  </si>
  <si>
    <t>63.644,32</t>
  </si>
  <si>
    <t>2026-02-21T00:46:00.754231</t>
  </si>
  <si>
    <t>2026-02-21T00:51:50.011180</t>
  </si>
  <si>
    <t>52.636,29</t>
  </si>
  <si>
    <t>2026-02-21T00:51:51.024157</t>
  </si>
  <si>
    <t>2026-02-21T00:57:04.293427</t>
  </si>
  <si>
    <t>46.024,32</t>
  </si>
  <si>
    <t>2026-02-21T01:01:44.374728</t>
  </si>
  <si>
    <t>2026-02-21T01:05:07.212586</t>
  </si>
  <si>
    <t>53.524,27</t>
  </si>
  <si>
    <t>2026-02-21T01:05:08.220086</t>
  </si>
  <si>
    <t>2026-02-21T01:13:23.189305</t>
  </si>
  <si>
    <t>69.112,27</t>
  </si>
  <si>
    <t>2026-02-21T01:13:24.201881</t>
  </si>
  <si>
    <t>2026-02-21T01:19:56.458937</t>
  </si>
  <si>
    <t>66.240,27</t>
  </si>
  <si>
    <t>2026-02-21T01:19:57.471426</t>
  </si>
  <si>
    <t>2026-02-21T01:26:59.787877</t>
  </si>
  <si>
    <t>87.392,28</t>
  </si>
  <si>
    <t>2026-02-21T01:27:00.800856</t>
  </si>
  <si>
    <t>2026-02-21T01:34:38.813508</t>
  </si>
  <si>
    <t>49.304,26</t>
  </si>
  <si>
    <t>2026-02-21T01:34:39.825293</t>
  </si>
  <si>
    <t>2026-02-21T01:40:27.950094</t>
  </si>
  <si>
    <t>26.968,30</t>
  </si>
  <si>
    <t>2026-02-21T01:43:36.647814</t>
  </si>
  <si>
    <t>2026-02-21T01:46:57.850766</t>
  </si>
  <si>
    <t>68.508,28</t>
  </si>
  <si>
    <t>2026-02-21T01:46:58.861366</t>
  </si>
  <si>
    <t>2026-02-21T01:53:00.827151</t>
  </si>
  <si>
    <t>69.348,26</t>
  </si>
  <si>
    <t>2026-02-21T01:53:01.839448</t>
  </si>
  <si>
    <t>2026-02-21T01:58:42.732170</t>
  </si>
  <si>
    <t>66.880,28</t>
  </si>
  <si>
    <t>2026-02-21T01:58:43.743311</t>
  </si>
  <si>
    <t>2026-02-21T02:04:31.753685</t>
  </si>
  <si>
    <t>42.616,28</t>
  </si>
  <si>
    <t>2026-02-21T02:04:32.757480</t>
  </si>
  <si>
    <t>2026-02-21T02:08:27.744010</t>
  </si>
  <si>
    <t>70.508,27</t>
  </si>
  <si>
    <t>2026-02-21T02:08:28.756740</t>
  </si>
  <si>
    <t>2026-02-21T02:15:04.230951</t>
  </si>
  <si>
    <t>45.096,29</t>
  </si>
  <si>
    <t>2026-02-21T02:18:00.280490</t>
  </si>
  <si>
    <t>2026-02-21T02:21:45.703016</t>
  </si>
  <si>
    <t>52.552,28</t>
  </si>
  <si>
    <t>2026-02-21T02:21:46.714065</t>
  </si>
  <si>
    <t>2026-02-21T02:28:45.877656</t>
  </si>
  <si>
    <t>53.188,27</t>
  </si>
  <si>
    <t>2026-02-21T02:28:46.882457</t>
  </si>
  <si>
    <t>2026-02-21T02:34:43.374271</t>
  </si>
  <si>
    <t>72.628,29</t>
  </si>
  <si>
    <t>2026-02-21T02:34:44.386281</t>
  </si>
  <si>
    <t>2026-02-21T02:41:53.339694</t>
  </si>
  <si>
    <t>61.204,29</t>
  </si>
  <si>
    <t>2026-02-21T02:41:54.352161</t>
  </si>
  <si>
    <t>2026-02-21T02:48:02.205414</t>
  </si>
  <si>
    <t>78.400,25</t>
  </si>
  <si>
    <t>2026-02-21T02:48:03.208727</t>
  </si>
  <si>
    <t>2026-02-21T02:55:06.741429</t>
  </si>
  <si>
    <t>34.632,32</t>
  </si>
  <si>
    <t>2026-02-21T02:58:26.377238</t>
  </si>
  <si>
    <t>2026-02-21T03:01:17.169749</t>
  </si>
  <si>
    <t>53.596,31</t>
  </si>
  <si>
    <t>2026-02-21T03:01:18.179749</t>
  </si>
  <si>
    <t>2026-02-21T03:06:06.920753</t>
  </si>
  <si>
    <t>69.076,31</t>
  </si>
  <si>
    <t>2026-02-21T03:06:07.929692</t>
  </si>
  <si>
    <t>2026-02-21T03:12:00.509225</t>
  </si>
  <si>
    <t>59.440,33</t>
  </si>
  <si>
    <t>2026-02-21T03:12:01.515205</t>
  </si>
  <si>
    <t>2026-02-21T03:18:23.861418</t>
  </si>
  <si>
    <t>48.468,33</t>
  </si>
  <si>
    <t>2026-02-21T03:18:24.874377</t>
  </si>
  <si>
    <t>2026-02-21T03:23:06.580449</t>
  </si>
  <si>
    <t>40.876,29</t>
  </si>
  <si>
    <t>2026-02-21T03:23:07.584920</t>
  </si>
  <si>
    <t>2026-02-21T03:29:01.159113</t>
  </si>
  <si>
    <t>38.392,33</t>
  </si>
  <si>
    <t>2026-02-21T03:33:15.508024</t>
  </si>
  <si>
    <t>2026-02-21T03:36:45.313844</t>
  </si>
  <si>
    <t>62.124,28</t>
  </si>
  <si>
    <t>2026-02-21T03:36:46.319739</t>
  </si>
  <si>
    <t>2026-02-21T03:43:31.218409</t>
  </si>
  <si>
    <t>67.316,29</t>
  </si>
  <si>
    <t>2026-02-21T03:43:32.226971</t>
  </si>
  <si>
    <t>2026-02-21T03:49:34.064912</t>
  </si>
  <si>
    <t>53.784,29</t>
  </si>
  <si>
    <t>2026-02-21T03:49:35.078515</t>
  </si>
  <si>
    <t>2026-02-21T03:55:46.173961</t>
  </si>
  <si>
    <t>59.376,29</t>
  </si>
  <si>
    <t>2026-02-21T03:55:47.178649</t>
  </si>
  <si>
    <t>2026-02-21T04:01:20.209514</t>
  </si>
  <si>
    <t>102.428,28</t>
  </si>
  <si>
    <t>2026-02-21T04:01:21.221665</t>
  </si>
  <si>
    <t>2026-02-21T04:11:11.822201</t>
  </si>
  <si>
    <t>29.492,36</t>
  </si>
  <si>
    <t>2026-02-21T04:14:19.367097</t>
  </si>
  <si>
    <t>2026-02-21T04:16:31.317285</t>
  </si>
  <si>
    <t>54.460,26</t>
  </si>
  <si>
    <t>2026-02-21T04:16:32.327759</t>
  </si>
  <si>
    <t>2026-02-21T04:21:09.401543</t>
  </si>
  <si>
    <t>53.508,24</t>
  </si>
  <si>
    <t>2026-02-21T04:21:10.405170</t>
  </si>
  <si>
    <t>2026-02-21T04:25:45.401332</t>
  </si>
  <si>
    <t>41.788,26</t>
  </si>
  <si>
    <t>2026-02-21T04:25:46.412267</t>
  </si>
  <si>
    <t>2026-02-21T04:30:15.604220</t>
  </si>
  <si>
    <t>38.768,27</t>
  </si>
  <si>
    <t>2026-02-21T04:30:16.616202</t>
  </si>
  <si>
    <t>2026-02-21T04:34:54.965171</t>
  </si>
  <si>
    <t>42.796,28</t>
  </si>
  <si>
    <t>2026-02-21T04:34:55.974129</t>
  </si>
  <si>
    <t>2026-02-21T04:39:09.748650</t>
  </si>
  <si>
    <t>40.640,31</t>
  </si>
  <si>
    <t>2026-02-21T04:42:31.710884</t>
  </si>
  <si>
    <t>2026-02-21T04:46:09.785549</t>
  </si>
  <si>
    <t>35.048,28</t>
  </si>
  <si>
    <t>2026-02-21T04:46:10.787829</t>
  </si>
  <si>
    <t>2026-02-21T04:49:18.912624</t>
  </si>
  <si>
    <t>56.364,26</t>
  </si>
  <si>
    <t>2026-02-21T04:49:19.923616</t>
  </si>
  <si>
    <t>2026-02-21T04:54:50.808082</t>
  </si>
  <si>
    <t>84.124,28</t>
  </si>
  <si>
    <t>2026-02-21T04:54:51.815716</t>
  </si>
  <si>
    <t>2026-02-21T05:03:03.240377</t>
  </si>
  <si>
    <t>89.324,27</t>
  </si>
  <si>
    <t>2026-02-21T05:03:04.245647</t>
  </si>
  <si>
    <t>2026-02-21T05:11:05.632194</t>
  </si>
  <si>
    <t>49.696,26</t>
  </si>
  <si>
    <t>2026-02-21T05:11:06.645004</t>
  </si>
  <si>
    <t>2026-02-21T05:16:01.328094</t>
  </si>
  <si>
    <t>33.816,28</t>
  </si>
  <si>
    <t>2026-02-21T05:19:48.527845</t>
  </si>
  <si>
    <t>2026-02-21T05:22:27.501035</t>
  </si>
  <si>
    <t>42.932,30</t>
  </si>
  <si>
    <t>2026-02-21T05:22:28.509752</t>
  </si>
  <si>
    <t>2026-02-21T05:27:31.516511</t>
  </si>
  <si>
    <t>89.900,28</t>
  </si>
  <si>
    <t>2026-02-21T05:27:32.520930</t>
  </si>
  <si>
    <t>2026-02-21T05:36:38.707084</t>
  </si>
  <si>
    <t>43.956,25</t>
  </si>
  <si>
    <t>2026-02-21T05:36:39.720834</t>
  </si>
  <si>
    <t>2026-02-21T05:40:59.159696</t>
  </si>
  <si>
    <t>39.208,25</t>
  </si>
  <si>
    <t>2026-02-21T05:41:00.171968</t>
  </si>
  <si>
    <t>2026-02-21T05:44:44.698943</t>
  </si>
  <si>
    <t>51.496,29</t>
  </si>
  <si>
    <t>2026-02-21T05:44:45.703486</t>
  </si>
  <si>
    <t>2026-02-21T05:49:52.668231</t>
  </si>
  <si>
    <t>48.376,30</t>
  </si>
  <si>
    <t>2026-02-21T05:55:10.528607</t>
  </si>
  <si>
    <t>2026-02-21T05:59:25.509504</t>
  </si>
  <si>
    <t>62.264,25</t>
  </si>
  <si>
    <t>2026-02-21T05:59:26.522245</t>
  </si>
  <si>
    <t>2026-02-21T06:05:00.112885</t>
  </si>
  <si>
    <t>83.248,25</t>
  </si>
  <si>
    <t>2026-02-21T06:05:01.125925</t>
  </si>
  <si>
    <t>2026-02-21T06:13:02.648819</t>
  </si>
  <si>
    <t>76.320,23</t>
  </si>
  <si>
    <t>2026-02-21T06:13:03.660784</t>
  </si>
  <si>
    <t>2026-02-21T06:20:13.191694</t>
  </si>
  <si>
    <t>78.640,23</t>
  </si>
  <si>
    <t>2026-02-21T06:20:14.196019</t>
  </si>
  <si>
    <t>2026-02-21T06:28:06.275762</t>
  </si>
  <si>
    <t>51.452,28</t>
  </si>
  <si>
    <t>2026-02-21T06:28:07.289388</t>
  </si>
  <si>
    <t>2026-02-21T06:32:58.769543</t>
  </si>
  <si>
    <t>36.816,35</t>
  </si>
  <si>
    <t>2026-02-21T06:36:08.523206</t>
  </si>
  <si>
    <t>2026-02-21T06:39:41.819931</t>
  </si>
  <si>
    <t>43.420,31</t>
  </si>
  <si>
    <t>2026-02-21T06:39:42.834186</t>
  </si>
  <si>
    <t>2026-02-21T06:43:41.973770</t>
  </si>
  <si>
    <t>44.280,29</t>
  </si>
  <si>
    <t>2026-02-21T06:43:42.976834</t>
  </si>
  <si>
    <t>2026-02-21T06:48:24.262760</t>
  </si>
  <si>
    <t>46.352,30</t>
  </si>
  <si>
    <t>2026-02-21T06:48:25.271605</t>
  </si>
  <si>
    <t>2026-02-21T06:53:39.378552</t>
  </si>
  <si>
    <t>52.688,31</t>
  </si>
  <si>
    <t>2026-02-21T06:53:40.385564</t>
  </si>
  <si>
    <t>2026-02-21T06:59:22.121513</t>
  </si>
  <si>
    <t>44.192,29</t>
  </si>
  <si>
    <t>2026-02-21T06:59:23.132888</t>
  </si>
  <si>
    <t>2026-02-21T07:03:41.426026</t>
  </si>
  <si>
    <t>37.924,32</t>
  </si>
  <si>
    <t>2026-02-21T07:08:44.235768</t>
  </si>
  <si>
    <t>2026-02-21T07:12:28.822097</t>
  </si>
  <si>
    <t>51.320,29</t>
  </si>
  <si>
    <t>2026-02-21T07:12:29.833772</t>
  </si>
  <si>
    <t>2026-02-21T07:17:32.174025</t>
  </si>
  <si>
    <t>92.976,24</t>
  </si>
  <si>
    <t>2026-02-21T07:17:33.182286</t>
  </si>
  <si>
    <t>2026-02-21T07:26:47.102690</t>
  </si>
  <si>
    <t>60.948,24</t>
  </si>
  <si>
    <t>2026-02-21T07:26:48.116750</t>
  </si>
  <si>
    <t>2026-02-21T07:33:19.616584</t>
  </si>
  <si>
    <t>124.356,25</t>
  </si>
  <si>
    <t>2026-02-21T07:33:20.627828</t>
  </si>
  <si>
    <t>2026-02-21T07:44:39.429833</t>
  </si>
  <si>
    <t>64.640,27</t>
  </si>
  <si>
    <t>2026-02-21T07:44:40.444996</t>
  </si>
  <si>
    <t>2026-02-21T07:50:14.694032</t>
  </si>
  <si>
    <t>33.784,34</t>
  </si>
  <si>
    <t>2026-02-21T07:53:27.559140</t>
  </si>
  <si>
    <t>2026-02-21T07:56:17.044267</t>
  </si>
  <si>
    <t>50.856,26</t>
  </si>
  <si>
    <t>2026-02-21T07:56:18.056647</t>
  </si>
  <si>
    <t>2026-02-21T08:02:04.422716</t>
  </si>
  <si>
    <t>53.256,23</t>
  </si>
  <si>
    <t>2026-02-21T08:02:05.427671</t>
  </si>
  <si>
    <t>2026-02-21T08:08:16.362041</t>
  </si>
  <si>
    <t>65.256,25</t>
  </si>
  <si>
    <t>2026-02-21T08:08:17.369143</t>
  </si>
  <si>
    <t>2026-02-21T08:14:04.433008</t>
  </si>
  <si>
    <t>39.916,25</t>
  </si>
  <si>
    <t>2026-02-21T08:14:05.446214</t>
  </si>
  <si>
    <t>2026-02-21T08:18:31.501108</t>
  </si>
  <si>
    <t>37.892,26</t>
  </si>
  <si>
    <t>2026-02-21T08:18:32.508926</t>
  </si>
  <si>
    <t>2026-02-21T08:22:12.969359</t>
  </si>
  <si>
    <t>31.372,31</t>
  </si>
  <si>
    <t>2026-02-21T08:25:44.417768</t>
  </si>
  <si>
    <t>2026-02-21T08:28:59.164330</t>
  </si>
  <si>
    <t>45.768,24</t>
  </si>
  <si>
    <t>2026-02-21T08:29:00.172403</t>
  </si>
  <si>
    <t>2026-02-21T08:33:22.623594</t>
  </si>
  <si>
    <t>43.176,24</t>
  </si>
  <si>
    <t>2026-02-21T08:33:23.632208</t>
  </si>
  <si>
    <t>2026-02-21T08:37:17.166551</t>
  </si>
  <si>
    <t>53.600,23</t>
  </si>
  <si>
    <t>2026-02-21T08:37:18.171871</t>
  </si>
  <si>
    <t>2026-02-21T08:42:34.796575</t>
  </si>
  <si>
    <t>39.928,23</t>
  </si>
  <si>
    <t>2026-02-21T08:42:35.809863</t>
  </si>
  <si>
    <t>2026-02-21T08:46:25.407964</t>
  </si>
  <si>
    <t>40.584,23</t>
  </si>
  <si>
    <t>2026-02-21T08:46:26.415567</t>
  </si>
  <si>
    <t>2026-02-21T08:51:28.991967</t>
  </si>
  <si>
    <t>43.364,32</t>
  </si>
  <si>
    <t>2026-02-21T08:54:43.103131</t>
  </si>
  <si>
    <t>2026-02-21T08:58:44.128062</t>
  </si>
  <si>
    <t>53.040,26</t>
  </si>
  <si>
    <t>2026-02-21T08:58:45.132729</t>
  </si>
  <si>
    <t>2026-02-21T09:04:10.972429</t>
  </si>
  <si>
    <t>62.804,25</t>
  </si>
  <si>
    <t>2026-02-21T09:04:11.984823</t>
  </si>
  <si>
    <t>2026-02-21T09:10:06.447305</t>
  </si>
  <si>
    <t>49.132,30</t>
  </si>
  <si>
    <t>2026-02-21T09:10:07.454537</t>
  </si>
  <si>
    <t>2026-02-21T09:15:34.617221</t>
  </si>
  <si>
    <t>35.916,29</t>
  </si>
  <si>
    <t>2026-02-21T09:15:35.625504</t>
  </si>
  <si>
    <t>2026-02-21T09:20:13.389268</t>
  </si>
  <si>
    <t>51.308,28</t>
  </si>
  <si>
    <t>2026-02-21T09:20:14.403095</t>
  </si>
  <si>
    <t>2026-02-21T09:25:04.979261</t>
  </si>
  <si>
    <t>45.248,29</t>
  </si>
  <si>
    <t>2026-02-21T09:30:22.254122</t>
  </si>
  <si>
    <t>2026-02-21T09:34:16.735341</t>
  </si>
  <si>
    <t>52.196,24</t>
  </si>
  <si>
    <t>2026-02-21T09:34:17.749028</t>
  </si>
  <si>
    <t>2026-02-21T09:40:17.365948</t>
  </si>
  <si>
    <t>68.396,24</t>
  </si>
  <si>
    <t>2026-02-21T09:40:18.377743</t>
  </si>
  <si>
    <t>2026-02-21T09:47:14.204796</t>
  </si>
  <si>
    <t>87.316,25</t>
  </si>
  <si>
    <t>2026-02-21T09:47:15.213392</t>
  </si>
  <si>
    <t>2026-02-21T09:55:16.176359</t>
  </si>
  <si>
    <t>86.724,25</t>
  </si>
  <si>
    <t>2026-02-21T09:55:17.183719</t>
  </si>
  <si>
    <t>2026-02-21T10:03:37.271021</t>
  </si>
  <si>
    <t>71.064,25</t>
  </si>
  <si>
    <t>2026-02-21T10:03:38.274212</t>
  </si>
  <si>
    <t>2026-02-21T10:10:41.399129</t>
  </si>
  <si>
    <t>27.716,33</t>
  </si>
  <si>
    <t>2026-02-21T10:13:36.827685</t>
  </si>
  <si>
    <t>2026-02-21T10:16:30.583234</t>
  </si>
  <si>
    <t>37.580,28</t>
  </si>
  <si>
    <t>2026-02-21T10:16:31.596618</t>
  </si>
  <si>
    <t>2026-02-21T10:20:05.633075</t>
  </si>
  <si>
    <t>61.272,25</t>
  </si>
  <si>
    <t>2026-02-21T10:20:06.644270</t>
  </si>
  <si>
    <t>2026-02-21T10:25:36.301586</t>
  </si>
  <si>
    <t>66.948,28</t>
  </si>
  <si>
    <t>2026-02-21T10:25:37.308651</t>
  </si>
  <si>
    <t>2026-02-21T10:32:39.806798</t>
  </si>
  <si>
    <t>41.840,28</t>
  </si>
  <si>
    <t>2026-02-21T10:32:40.817567</t>
  </si>
  <si>
    <t>2026-02-21T10:38:08.842192</t>
  </si>
  <si>
    <t>56.004,26</t>
  </si>
  <si>
    <t>2026-02-21T10:38:09.855243</t>
  </si>
  <si>
    <t>2026-02-21T10:43:34.218819</t>
  </si>
  <si>
    <t>30.848,32</t>
  </si>
  <si>
    <t>2026-02-21T10:49:15.893851</t>
  </si>
  <si>
    <t>2026-02-21T10:53:37.681762</t>
  </si>
  <si>
    <t>59.876,25</t>
  </si>
  <si>
    <t>2026-02-21T10:53:38.692293</t>
  </si>
  <si>
    <t>2026-02-21T10:59:45.967433</t>
  </si>
  <si>
    <t>48.016,28</t>
  </si>
  <si>
    <t>2026-02-21T10:59:46.971537</t>
  </si>
  <si>
    <t>2026-02-21T11:04:08.792440</t>
  </si>
  <si>
    <t>116.684,29</t>
  </si>
  <si>
    <t>2026-02-21T11:04:09.802541</t>
  </si>
  <si>
    <t>2026-02-21T11:09:24.289903</t>
  </si>
  <si>
    <t>69.440,29</t>
  </si>
  <si>
    <t>2026-02-21T11:09:25.299073</t>
  </si>
  <si>
    <t>2026-02-21T11:13:10.676240</t>
  </si>
  <si>
    <t>85.936,27</t>
  </si>
  <si>
    <t>2026-02-21T11:13:11.683838</t>
  </si>
  <si>
    <t>2026-02-21T11:17:36.328691</t>
  </si>
  <si>
    <t>29.688,34</t>
  </si>
  <si>
    <t>2026-02-20T23:12:50.041371</t>
  </si>
  <si>
    <t>2026-02-20T23:16:16.100315</t>
  </si>
  <si>
    <t>43.824,31</t>
  </si>
  <si>
    <t>2026-02-20T23:16:17.106503</t>
  </si>
  <si>
    <t>2026-02-20T23:21:04.106987</t>
  </si>
  <si>
    <t>43.680,29</t>
  </si>
  <si>
    <t>2026-02-20T23:21:05.113689</t>
  </si>
  <si>
    <t>2026-02-20T23:24:32.741711</t>
  </si>
  <si>
    <t>31.656,29</t>
  </si>
  <si>
    <t>2026-02-20T23:24:33.747561</t>
  </si>
  <si>
    <t>2026-02-20T23:29:18.864106</t>
  </si>
  <si>
    <t>37.180,30</t>
  </si>
  <si>
    <t>2026-02-20T23:29:19.876396</t>
  </si>
  <si>
    <t>2026-02-20T23:34:33.421085</t>
  </si>
  <si>
    <t>81.380,27</t>
  </si>
  <si>
    <t>2026-02-20T23:34:34.425790</t>
  </si>
  <si>
    <t>2026-02-20T23:42:10.592902</t>
  </si>
  <si>
    <t>29.020,32</t>
  </si>
  <si>
    <t>2026-02-20T23:45:32.703252</t>
  </si>
  <si>
    <t>2026-02-20T23:48:58.401610</t>
  </si>
  <si>
    <t>57.304,29</t>
  </si>
  <si>
    <t>2026-02-20T23:48:59.405837</t>
  </si>
  <si>
    <t>2026-02-20T23:54:32.117112</t>
  </si>
  <si>
    <t>113.396,26</t>
  </si>
  <si>
    <t>2026-02-20T23:54:33.127096</t>
  </si>
  <si>
    <t>2026-02-21T00:04:21.745749</t>
  </si>
  <si>
    <t>42.148,30</t>
  </si>
  <si>
    <t>2026-02-21T00:04:22.753772</t>
  </si>
  <si>
    <t>2026-02-21T00:07:44.067230</t>
  </si>
  <si>
    <t>45.880,30</t>
  </si>
  <si>
    <t>2026-02-21T00:07:45.078951</t>
  </si>
  <si>
    <t>2026-02-21T00:11:47.075530</t>
  </si>
  <si>
    <t>41.848,29</t>
  </si>
  <si>
    <t>2026-02-21T00:11:48.078456</t>
  </si>
  <si>
    <t>2026-02-21T00:15:32.069211</t>
  </si>
  <si>
    <t>27.596,33</t>
  </si>
  <si>
    <t>2026-02-21T00:18:59.501417</t>
  </si>
  <si>
    <t>2026-02-21T00:22:02.027979</t>
  </si>
  <si>
    <t>36.144,32</t>
  </si>
  <si>
    <t>2026-02-21T00:22:03.035566</t>
  </si>
  <si>
    <t>2026-02-21T00:27:11.210865</t>
  </si>
  <si>
    <t>43.568,31</t>
  </si>
  <si>
    <t>2026-02-21T00:27:12.221669</t>
  </si>
  <si>
    <t>2026-02-21T00:30:40.334699</t>
  </si>
  <si>
    <t>59.324,31</t>
  </si>
  <si>
    <t>2026-02-21T00:30:41.341314</t>
  </si>
  <si>
    <t>2026-02-21T00:36:47.384790</t>
  </si>
  <si>
    <t>55.032,31</t>
  </si>
  <si>
    <t>2026-02-21T00:36:48.391511</t>
  </si>
  <si>
    <t>2026-02-21T00:41:35.869443</t>
  </si>
  <si>
    <t>35.568,31</t>
  </si>
  <si>
    <t>2026-02-21T00:41:36.882406</t>
  </si>
  <si>
    <t>2026-02-21T00:45:51.407764</t>
  </si>
  <si>
    <t>37.924,31</t>
  </si>
  <si>
    <t>2026-02-21T00:50:05.875573</t>
  </si>
  <si>
    <t>2026-02-21T00:54:05.208844</t>
  </si>
  <si>
    <t>94.408,28</t>
  </si>
  <si>
    <t>2026-02-21T00:54:06.220540</t>
  </si>
  <si>
    <t>2026-02-21T01:02:56.527369</t>
  </si>
  <si>
    <t>54.448,25</t>
  </si>
  <si>
    <t>2026-02-21T01:02:57.539629</t>
  </si>
  <si>
    <t>2026-02-21T01:08:55.270037</t>
  </si>
  <si>
    <t>48.916,24</t>
  </si>
  <si>
    <t>2026-02-21T01:08:56.281527</t>
  </si>
  <si>
    <t>2026-02-21T01:13:33.460102</t>
  </si>
  <si>
    <t>39.384,24</t>
  </si>
  <si>
    <t>2026-02-21T01:13:34.470866</t>
  </si>
  <si>
    <t>2026-02-21T01:17:43.752938</t>
  </si>
  <si>
    <t>81.740,30</t>
  </si>
  <si>
    <t>2026-02-21T01:17:44.764854</t>
  </si>
  <si>
    <t>2026-02-21T01:25:38.332558</t>
  </si>
  <si>
    <t>32.452,32</t>
  </si>
  <si>
    <t>2026-02-21T01:28:22.112549</t>
  </si>
  <si>
    <t>2026-02-21T01:32:15.811856</t>
  </si>
  <si>
    <t>43.760,31</t>
  </si>
  <si>
    <t>2026-02-21T01:32:16.823638</t>
  </si>
  <si>
    <t>2026-02-21T01:36:29.684824</t>
  </si>
  <si>
    <t>48.228,28</t>
  </si>
  <si>
    <t>2026-02-21T01:36:30.697013</t>
  </si>
  <si>
    <t>2026-02-21T01:41:38.897935</t>
  </si>
  <si>
    <t>45.960,29</t>
  </si>
  <si>
    <t>2026-02-21T01:41:39.909334</t>
  </si>
  <si>
    <t>2026-02-21T01:46:26.518546</t>
  </si>
  <si>
    <t>41.648,30</t>
  </si>
  <si>
    <t>2026-02-21T01:46:27.531872</t>
  </si>
  <si>
    <t>2026-02-21T01:50:59.975894</t>
  </si>
  <si>
    <t>54.644,29</t>
  </si>
  <si>
    <t>2026-02-21T01:51:00.987952</t>
  </si>
  <si>
    <t>2026-02-21T01:56:11.892438</t>
  </si>
  <si>
    <t>38.828,28</t>
  </si>
  <si>
    <t>2026-02-21T01:59:54.170483</t>
  </si>
  <si>
    <t>2026-02-21T02:04:24.286554</t>
  </si>
  <si>
    <t>74.028,26</t>
  </si>
  <si>
    <t>2026-02-21T02:04:25.295630</t>
  </si>
  <si>
    <t>2026-02-21T02:12:14.276082</t>
  </si>
  <si>
    <t>60.152,23</t>
  </si>
  <si>
    <t>2026-02-21T02:12:15.279634</t>
  </si>
  <si>
    <t>2026-02-21T02:17:43.845948</t>
  </si>
  <si>
    <t>42.408,31</t>
  </si>
  <si>
    <t>2026-02-21T02:17:44.860104</t>
  </si>
  <si>
    <t>2026-02-21T02:22:18.313408</t>
  </si>
  <si>
    <t>2026-02-21T02:22:19.324801</t>
  </si>
  <si>
    <t>2026-02-21T02:26:25.438218</t>
  </si>
  <si>
    <t>68.524,31</t>
  </si>
  <si>
    <t>2026-02-21T02:26:26.450921</t>
  </si>
  <si>
    <t>2026-02-21T02:33:17.978134</t>
  </si>
  <si>
    <t>33.584,27</t>
  </si>
  <si>
    <t>2026-02-21T02:35:41.545300</t>
  </si>
  <si>
    <t>2026-02-21T02:38:44.432020</t>
  </si>
  <si>
    <t>59.964,25</t>
  </si>
  <si>
    <t>2026-02-21T02:38:45.435724</t>
  </si>
  <si>
    <t>2026-02-21T02:44:22.205095</t>
  </si>
  <si>
    <t>52.836,23</t>
  </si>
  <si>
    <t>2026-02-21T02:44:23.214132</t>
  </si>
  <si>
    <t>2026-02-21T02:49:05.244632</t>
  </si>
  <si>
    <t>67.708,26</t>
  </si>
  <si>
    <t>2026-02-21T02:49:06.257707</t>
  </si>
  <si>
    <t>2026-02-21T02:55:00.824120</t>
  </si>
  <si>
    <t>59.728,27</t>
  </si>
  <si>
    <t>2026-02-21T02:55:01.837326</t>
  </si>
  <si>
    <t>2026-02-21T03:00:20.983490</t>
  </si>
  <si>
    <t>49.324,25</t>
  </si>
  <si>
    <t>2026-02-21T03:00:21.987268</t>
  </si>
  <si>
    <t>2026-02-21T03:04:49.581648</t>
  </si>
  <si>
    <t>36.664,26</t>
  </si>
  <si>
    <t>2026-02-21T03:08:34.354388</t>
  </si>
  <si>
    <t>2026-02-21T03:11:51.112240</t>
  </si>
  <si>
    <t>88.848,25</t>
  </si>
  <si>
    <t>2026-02-21T03:11:52.126462</t>
  </si>
  <si>
    <t>2026-02-21T03:19:16.495924</t>
  </si>
  <si>
    <t>46.164,18</t>
  </si>
  <si>
    <t>2026-02-21T03:19:17.506858</t>
  </si>
  <si>
    <t>2026-02-21T03:24:02.191814</t>
  </si>
  <si>
    <t>87.916,25</t>
  </si>
  <si>
    <t>2026-02-21T03:24:03.203902</t>
  </si>
  <si>
    <t>2026-02-21T03:32:46.265397</t>
  </si>
  <si>
    <t>65.864,27</t>
  </si>
  <si>
    <t>2026-02-21T03:32:47.276008</t>
  </si>
  <si>
    <t>2026-02-21T03:39:40.656334</t>
  </si>
  <si>
    <t>74.592,24</t>
  </si>
  <si>
    <t>2026-02-21T03:39:41.667703</t>
  </si>
  <si>
    <t>2026-02-21T03:46:33.694645</t>
  </si>
  <si>
    <t>24.536,31</t>
  </si>
  <si>
    <t>2026-02-21T03:49:29.574252</t>
  </si>
  <si>
    <t>2026-02-21T03:51:39.230365</t>
  </si>
  <si>
    <t>50.792,30</t>
  </si>
  <si>
    <t>2026-02-21T03:51:40.236626</t>
  </si>
  <si>
    <t>2026-02-21T03:56:36.612599</t>
  </si>
  <si>
    <t>49.884,31</t>
  </si>
  <si>
    <t>2026-02-21T03:56:37.625109</t>
  </si>
  <si>
    <t>2026-02-21T04:02:09.940435</t>
  </si>
  <si>
    <t>78.576,30</t>
  </si>
  <si>
    <t>2026-02-21T04:02:10.951478</t>
  </si>
  <si>
    <t>2026-02-21T04:10:11.692093</t>
  </si>
  <si>
    <t>62.072,30</t>
  </si>
  <si>
    <t>2026-02-21T04:10:12.704924</t>
  </si>
  <si>
    <t>2026-02-21T04:15:53.637874</t>
  </si>
  <si>
    <t>54.972,29</t>
  </si>
  <si>
    <t>2026-02-21T04:15:54.650420</t>
  </si>
  <si>
    <t>2026-02-21T04:21:37.927009</t>
  </si>
  <si>
    <t>39.320,31</t>
  </si>
  <si>
    <t>2026-02-21T04:25:12.885665</t>
  </si>
  <si>
    <t>2026-02-21T04:29:43.062786</t>
  </si>
  <si>
    <t>46.416,30</t>
  </si>
  <si>
    <t>2026-02-21T04:29:44.075672</t>
  </si>
  <si>
    <t>2026-02-21T04:35:23.206811</t>
  </si>
  <si>
    <t>61.756,27</t>
  </si>
  <si>
    <t>2026-02-21T04:35:24.215749</t>
  </si>
  <si>
    <t>2026-02-21T04:41:59.301492</t>
  </si>
  <si>
    <t>75.940,31</t>
  </si>
  <si>
    <t>2026-02-21T04:42:00.306234</t>
  </si>
  <si>
    <t>2026-02-21T04:48:43.477704</t>
  </si>
  <si>
    <t>70.780,31</t>
  </si>
  <si>
    <t>2026-02-21T04:48:44.491950</t>
  </si>
  <si>
    <t>2026-02-21T04:56:15.628097</t>
  </si>
  <si>
    <t>61.060,29</t>
  </si>
  <si>
    <t>2026-02-21T04:56:16.631026</t>
  </si>
  <si>
    <t>2026-02-21T05:02:18.296284</t>
  </si>
  <si>
    <t>25.020,28</t>
  </si>
  <si>
    <t>2026-02-21T05:05:12.078020</t>
  </si>
  <si>
    <t>2026-02-21T05:07:50.890628</t>
  </si>
  <si>
    <t>75.252,29</t>
  </si>
  <si>
    <t>2026-02-21T05:07:51.904859</t>
  </si>
  <si>
    <t>2026-02-21T05:15:36.483708</t>
  </si>
  <si>
    <t>49.224,27</t>
  </si>
  <si>
    <t>2026-02-21T05:15:37.495676</t>
  </si>
  <si>
    <t>2026-02-21T05:20:55.280372</t>
  </si>
  <si>
    <t>59.308,28</t>
  </si>
  <si>
    <t>2026-02-21T05:20:56.292307</t>
  </si>
  <si>
    <t>2026-02-21T05:27:09.373055</t>
  </si>
  <si>
    <t>39.564,28</t>
  </si>
  <si>
    <t>2026-02-21T05:27:10.380741</t>
  </si>
  <si>
    <t>2026-02-21T05:30:42.286196</t>
  </si>
  <si>
    <t>50.972,28</t>
  </si>
  <si>
    <t>2026-02-21T05:30:43.297149</t>
  </si>
  <si>
    <t>2026-02-21T05:35:45.127783</t>
  </si>
  <si>
    <t>33.652,28</t>
  </si>
  <si>
    <t>2026-02-21T05:39:28.886547</t>
  </si>
  <si>
    <t>2026-02-21T05:42:44.283675</t>
  </si>
  <si>
    <t>74.572,26</t>
  </si>
  <si>
    <t>2026-02-21T05:42:45.293299</t>
  </si>
  <si>
    <t>2026-02-21T05:49:48.595253</t>
  </si>
  <si>
    <t>89.004,20</t>
  </si>
  <si>
    <t>2026-02-21T05:49:49.608503</t>
  </si>
  <si>
    <t>2026-02-21T05:57:43.861753</t>
  </si>
  <si>
    <t>55.988,27</t>
  </si>
  <si>
    <t>2026-02-21T05:57:44.875265</t>
  </si>
  <si>
    <t>2026-02-21T06:03:05.126389</t>
  </si>
  <si>
    <t>50.572,29</t>
  </si>
  <si>
    <t>2026-02-21T06:03:06.137145</t>
  </si>
  <si>
    <t>2026-02-21T06:09:01.649376</t>
  </si>
  <si>
    <t>93.188,26</t>
  </si>
  <si>
    <t>2026-02-21T06:09:02.656702</t>
  </si>
  <si>
    <t>2026-02-21T06:17:38.269668</t>
  </si>
  <si>
    <t>31.256,32</t>
  </si>
  <si>
    <t>2026-02-21T06:20:31.379825</t>
  </si>
  <si>
    <t>2026-02-21T06:23:12.319419</t>
  </si>
  <si>
    <t>58.116,27</t>
  </si>
  <si>
    <t>2026-02-21T06:23:13.332665</t>
  </si>
  <si>
    <t>2026-02-21T06:28:19.328140</t>
  </si>
  <si>
    <t>57.460,24</t>
  </si>
  <si>
    <t>2026-02-21T06:28:20.338627</t>
  </si>
  <si>
    <t>2026-02-21T06:33:34.200086</t>
  </si>
  <si>
    <t>54.212,29</t>
  </si>
  <si>
    <t>2026-02-21T06:33:35.203440</t>
  </si>
  <si>
    <t>2026-02-21T06:38:57.060590</t>
  </si>
  <si>
    <t>65.932,29</t>
  </si>
  <si>
    <t>2026-02-21T06:38:58.066002</t>
  </si>
  <si>
    <t>2026-02-21T06:44:56.079190</t>
  </si>
  <si>
    <t>47.208,28</t>
  </si>
  <si>
    <t>2026-02-21T06:44:57.091438</t>
  </si>
  <si>
    <t>2026-02-21T06:49:19.071842</t>
  </si>
  <si>
    <t>31.016,32</t>
  </si>
  <si>
    <t>2026-02-21T06:53:35.817403</t>
  </si>
  <si>
    <t>2026-02-21T06:55:58.268705</t>
  </si>
  <si>
    <t>65.176,28</t>
  </si>
  <si>
    <t>2026-02-21T06:55:59.281574</t>
  </si>
  <si>
    <t>2026-02-21T07:02:12.392279</t>
  </si>
  <si>
    <t>68.616,22</t>
  </si>
  <si>
    <t>2026-02-21T07:02:13.402071</t>
  </si>
  <si>
    <t>2026-02-21T07:08:41.074402</t>
  </si>
  <si>
    <t>50.908,27</t>
  </si>
  <si>
    <t>2026-02-21T07:08:42.080723</t>
  </si>
  <si>
    <t>2026-02-21T07:16:48.945349</t>
  </si>
  <si>
    <t>55.848,27</t>
  </si>
  <si>
    <t>2026-02-21T07:16:49.950630</t>
  </si>
  <si>
    <t>2026-02-21T07:23:29.320482</t>
  </si>
  <si>
    <t>43.676,26</t>
  </si>
  <si>
    <t>2026-02-21T07:23:30.334276</t>
  </si>
  <si>
    <t>2026-02-21T07:27:47.521860</t>
  </si>
  <si>
    <t>33.756,33</t>
  </si>
  <si>
    <t>2026-02-21T07:31:43.458700</t>
  </si>
  <si>
    <t>2026-02-21T07:35:57.751491</t>
  </si>
  <si>
    <t>47.528,28</t>
  </si>
  <si>
    <t>2026-02-21T07:35:58.764813</t>
  </si>
  <si>
    <t>2026-02-21T07:41:07.189091</t>
  </si>
  <si>
    <t>73.892,28</t>
  </si>
  <si>
    <t>2026-02-21T07:41:08.199994</t>
  </si>
  <si>
    <t>2026-02-21T07:47:56.998013</t>
  </si>
  <si>
    <t>51.028,30</t>
  </si>
  <si>
    <t>2026-02-21T07:47:58.002399</t>
  </si>
  <si>
    <t>2026-02-21T07:53:33.951108</t>
  </si>
  <si>
    <t>59.548,30</t>
  </si>
  <si>
    <t>2026-02-21T07:53:34.961941</t>
  </si>
  <si>
    <t>2026-02-21T07:59:41.012720</t>
  </si>
  <si>
    <t>61.208,30</t>
  </si>
  <si>
    <t>2026-02-21T07:59:42.025225</t>
  </si>
  <si>
    <t>2026-02-21T08:05:06.542916</t>
  </si>
  <si>
    <t>37.124,32</t>
  </si>
  <si>
    <t>2026-02-21T08:09:31.126422</t>
  </si>
  <si>
    <t>2026-02-21T08:13:02.405039</t>
  </si>
  <si>
    <t>47.424,30</t>
  </si>
  <si>
    <t>2026-02-21T08:13:03.419133</t>
  </si>
  <si>
    <t>2026-02-21T08:17:32.477402</t>
  </si>
  <si>
    <t>79.704,29</t>
  </si>
  <si>
    <t>2026-02-21T08:17:33.488284</t>
  </si>
  <si>
    <t>2026-02-21T08:26:04.718292</t>
  </si>
  <si>
    <t>40.768,28</t>
  </si>
  <si>
    <t>2026-02-21T08:26:05.725836</t>
  </si>
  <si>
    <t>2026-02-21T08:30:18.562777</t>
  </si>
  <si>
    <t>2026-02-21T08:30:19.569786</t>
  </si>
  <si>
    <t>2026-02-21T08:34:20.921344</t>
  </si>
  <si>
    <t>104.272,30</t>
  </si>
  <si>
    <t>2026-02-21T08:34:21.935016</t>
  </si>
  <si>
    <t>2026-02-21T08:45:09.951449</t>
  </si>
  <si>
    <t>37.972,35</t>
  </si>
  <si>
    <t>2026-02-21T08:48:34.362041</t>
  </si>
  <si>
    <t>2026-02-21T08:52:22.695434</t>
  </si>
  <si>
    <t>50.468,33</t>
  </si>
  <si>
    <t>2026-02-21T08:52:23.701350</t>
  </si>
  <si>
    <t>2026-02-21T08:58:09.210568</t>
  </si>
  <si>
    <t>66.592,29</t>
  </si>
  <si>
    <t>2026-02-21T08:58:10.224613</t>
  </si>
  <si>
    <t>2026-02-21T09:04:37.890594</t>
  </si>
  <si>
    <t>62.020,31</t>
  </si>
  <si>
    <t>2026-02-21T09:04:38.903885</t>
  </si>
  <si>
    <t>2026-02-21T09:10:25.859517</t>
  </si>
  <si>
    <t>48.572,31</t>
  </si>
  <si>
    <t>2026-02-21T09:10:26.866573</t>
  </si>
  <si>
    <t>2026-02-21T09:14:55.453265</t>
  </si>
  <si>
    <t>40.972,28</t>
  </si>
  <si>
    <t>2026-02-21T09:14:56.457207</t>
  </si>
  <si>
    <t>2026-02-21T09:19:02.223616</t>
  </si>
  <si>
    <t>41.204,32</t>
  </si>
  <si>
    <t>2026-02-21T09:23:33.150552</t>
  </si>
  <si>
    <t>2026-02-21T09:28:22.439371</t>
  </si>
  <si>
    <t>66.040,26</t>
  </si>
  <si>
    <t>2026-02-21T09:28:23.447631</t>
  </si>
  <si>
    <t>2026-02-21T09:34:12.544307</t>
  </si>
  <si>
    <t>56.220,23</t>
  </si>
  <si>
    <t>2026-02-21T09:34:13.548924</t>
  </si>
  <si>
    <t>2026-02-21T09:40:39.172939</t>
  </si>
  <si>
    <t>52.200,24</t>
  </si>
  <si>
    <t>2026-02-21T09:40:40.183543</t>
  </si>
  <si>
    <t>2026-02-21T09:45:26.994499</t>
  </si>
  <si>
    <t>53.236,25</t>
  </si>
  <si>
    <t>2026-02-21T09:45:28.004442</t>
  </si>
  <si>
    <t>2026-02-21T09:50:18.601160</t>
  </si>
  <si>
    <t>47.816,29</t>
  </si>
  <si>
    <t>2026-02-21T09:50:19.605439</t>
  </si>
  <si>
    <t>2026-02-21T09:56:00.047741</t>
  </si>
  <si>
    <t>27.764,31</t>
  </si>
  <si>
    <t>2026-02-21T09:58:44.469155</t>
  </si>
  <si>
    <t>2026-02-21T10:01:26.078448</t>
  </si>
  <si>
    <t>44.496,25</t>
  </si>
  <si>
    <t>2026-02-21T10:01:27.092825</t>
  </si>
  <si>
    <t>2026-02-21T10:06:13.319150</t>
  </si>
  <si>
    <t>48.180,26</t>
  </si>
  <si>
    <t>2026-02-21T10:06:14.333538</t>
  </si>
  <si>
    <t>2026-02-21T10:10:45.623708</t>
  </si>
  <si>
    <t>42.480,26</t>
  </si>
  <si>
    <t>2026-02-21T10:10:46.636370</t>
  </si>
  <si>
    <t>2026-02-21T10:15:15.194202</t>
  </si>
  <si>
    <t>39.212,26</t>
  </si>
  <si>
    <t>2026-02-21T10:15:16.204344</t>
  </si>
  <si>
    <t>2026-02-21T10:19:59.346508</t>
  </si>
  <si>
    <t>52.948,27</t>
  </si>
  <si>
    <t>2026-02-21T10:20:00.361732</t>
  </si>
  <si>
    <t>2026-02-21T10:25:47.956734</t>
  </si>
  <si>
    <t>34.880,31</t>
  </si>
  <si>
    <t>2026-02-21T10:29:45.050579</t>
  </si>
  <si>
    <t>2026-02-21T10:32:59.053594</t>
  </si>
  <si>
    <t>68.792,24</t>
  </si>
  <si>
    <t>2026-02-21T10:33:00.066486</t>
  </si>
  <si>
    <t>2026-02-21T10:39:51.664402</t>
  </si>
  <si>
    <t>60.944,25</t>
  </si>
  <si>
    <t>2026-02-21T10:39:52.678827</t>
  </si>
  <si>
    <t>2026-02-21T10:46:29.490447</t>
  </si>
  <si>
    <t>65.124,30</t>
  </si>
  <si>
    <t>2026-02-21T10:46:30.500235</t>
  </si>
  <si>
    <t>2026-02-21T10:53:44.205089</t>
  </si>
  <si>
    <t>64.948,30</t>
  </si>
  <si>
    <t>2026-02-21T10:53:45.212415</t>
  </si>
  <si>
    <t>2026-02-21T10:59:22.835540</t>
  </si>
  <si>
    <t>57.552,27</t>
  </si>
  <si>
    <t>2026-02-21T10:59:23.848577</t>
  </si>
  <si>
    <t>2026-02-21T11:03:40.848266</t>
  </si>
  <si>
    <t>29.680,37</t>
  </si>
  <si>
    <t>2026-02-20T23:12:53.664606</t>
  </si>
  <si>
    <t>2026-02-20T23:14:56.865262</t>
  </si>
  <si>
    <t>71.028,31</t>
  </si>
  <si>
    <t>2026-02-20T23:14:57.868510</t>
  </si>
  <si>
    <t>2026-02-20T23:21:58.500362</t>
  </si>
  <si>
    <t>61.124,28</t>
  </si>
  <si>
    <t>2026-02-20T23:21:59.507116</t>
  </si>
  <si>
    <t>2026-02-20T23:27:23.845652</t>
  </si>
  <si>
    <t>65.184,30</t>
  </si>
  <si>
    <t>2026-02-20T23:27:24.851193</t>
  </si>
  <si>
    <t>2026-02-20T23:34:07.268675</t>
  </si>
  <si>
    <t>58.432,30</t>
  </si>
  <si>
    <t>2026-02-20T23:34:08.280409</t>
  </si>
  <si>
    <t>2026-02-20T23:39:36.543741</t>
  </si>
  <si>
    <t>59.760,29</t>
  </si>
  <si>
    <t>2026-02-20T23:39:37.554832</t>
  </si>
  <si>
    <t>2026-02-20T23:45:08.697593</t>
  </si>
  <si>
    <t>45.436,32</t>
  </si>
  <si>
    <t>2026-02-20T23:48:06.581289</t>
  </si>
  <si>
    <t>2026-02-20T23:52:41.634464</t>
  </si>
  <si>
    <t>65.280,30</t>
  </si>
  <si>
    <t>2026-02-20T23:52:42.640771</t>
  </si>
  <si>
    <t>2026-02-20T23:58:37.998024</t>
  </si>
  <si>
    <t>54.220,29</t>
  </si>
  <si>
    <t>2026-02-20T23:58:39.011081</t>
  </si>
  <si>
    <t>2026-02-21T00:03:42.850807</t>
  </si>
  <si>
    <t>67.684,29</t>
  </si>
  <si>
    <t>2026-02-21T00:03:43.862915</t>
  </si>
  <si>
    <t>2026-02-21T00:10:38.019476</t>
  </si>
  <si>
    <t>59.676,29</t>
  </si>
  <si>
    <t>2026-02-21T00:10:39.031713</t>
  </si>
  <si>
    <t>2026-02-21T00:17:33.199754</t>
  </si>
  <si>
    <t>103.800,31</t>
  </si>
  <si>
    <t>2026-02-21T00:17:34.211736</t>
  </si>
  <si>
    <t>2026-02-21T00:25:29.889523</t>
  </si>
  <si>
    <t>32.968,28</t>
  </si>
  <si>
    <t>2026-02-21T00:29:13.409187</t>
  </si>
  <si>
    <t>2026-02-21T00:31:20.525828</t>
  </si>
  <si>
    <t>76.912,30</t>
  </si>
  <si>
    <t>2026-02-21T00:31:21.537190</t>
  </si>
  <si>
    <t>2026-02-21T00:39:14.705315</t>
  </si>
  <si>
    <t>50.284,26</t>
  </si>
  <si>
    <t>2026-02-21T00:39:15.709186</t>
  </si>
  <si>
    <t>2026-02-21T00:44:28.477173</t>
  </si>
  <si>
    <t>42.808,27</t>
  </si>
  <si>
    <t>2026-02-21T00:44:29.489299</t>
  </si>
  <si>
    <t>2026-02-21T00:48:12.238305</t>
  </si>
  <si>
    <t>43.132,29</t>
  </si>
  <si>
    <t>2026-02-21T00:48:13.250296</t>
  </si>
  <si>
    <t>2026-02-21T00:51:22.549740</t>
  </si>
  <si>
    <t>42.988,30</t>
  </si>
  <si>
    <t>2026-02-21T00:51:23.553760</t>
  </si>
  <si>
    <t>2026-02-21T00:54:50.346452</t>
  </si>
  <si>
    <t>42.184,29</t>
  </si>
  <si>
    <t>2026-02-21T00:59:12.868967</t>
  </si>
  <si>
    <t>2026-02-21T01:03:28.906980</t>
  </si>
  <si>
    <t>46.920,21</t>
  </si>
  <si>
    <t>2026-02-21T01:03:29.916157</t>
  </si>
  <si>
    <t>2026-02-21T01:08:57.561135</t>
  </si>
  <si>
    <t>69.028,26</t>
  </si>
  <si>
    <t>2026-02-21T01:08:58.569166</t>
  </si>
  <si>
    <t>2026-02-21T01:14:50.663841</t>
  </si>
  <si>
    <t>56.156,24</t>
  </si>
  <si>
    <t>2026-02-21T01:14:51.671839</t>
  </si>
  <si>
    <t>2026-02-21T01:19:33.437071</t>
  </si>
  <si>
    <t>73.120,24</t>
  </si>
  <si>
    <t>2026-02-21T01:19:34.441030</t>
  </si>
  <si>
    <t>2026-02-21T01:26:00.533644</t>
  </si>
  <si>
    <t>93.632,28</t>
  </si>
  <si>
    <t>2026-02-21T01:26:01.544599</t>
  </si>
  <si>
    <t>2026-02-21T01:35:00.313363</t>
  </si>
  <si>
    <t>33.592,28</t>
  </si>
  <si>
    <t>2026-02-21T01:37:44.197090</t>
  </si>
  <si>
    <t>2026-02-21T01:40:40.305485</t>
  </si>
  <si>
    <t>46.952,19</t>
  </si>
  <si>
    <t>2026-02-21T01:40:41.318536</t>
  </si>
  <si>
    <t>2026-02-21T01:44:33.597400</t>
  </si>
  <si>
    <t>45.596,17</t>
  </si>
  <si>
    <t>2026-02-21T01:44:34.606666</t>
  </si>
  <si>
    <t>2026-02-21T01:48:32.468754</t>
  </si>
  <si>
    <t>59.288,20</t>
  </si>
  <si>
    <t>2026-02-21T01:48:33.479877</t>
  </si>
  <si>
    <t>2026-02-21T01:53:49.388326</t>
  </si>
  <si>
    <t>32.864,18</t>
  </si>
  <si>
    <t>2026-02-21T01:53:50.393215</t>
  </si>
  <si>
    <t>2026-02-21T01:57:23.734144</t>
  </si>
  <si>
    <t>41.684,19</t>
  </si>
  <si>
    <t>2026-02-21T01:57:24.738367</t>
  </si>
  <si>
    <t>2026-02-21T02:01:39.586421</t>
  </si>
  <si>
    <t>43.112,28</t>
  </si>
  <si>
    <t>2026-02-21T02:05:52.609497</t>
  </si>
  <si>
    <t>2026-02-21T02:09:43.983927</t>
  </si>
  <si>
    <t>56.448,17</t>
  </si>
  <si>
    <t>2026-02-21T02:09:44.992196</t>
  </si>
  <si>
    <t>2026-02-21T02:15:20.111587</t>
  </si>
  <si>
    <t>44.964,21</t>
  </si>
  <si>
    <t>2026-02-21T02:15:21.117559</t>
  </si>
  <si>
    <t>2026-02-21T02:19:06.418459</t>
  </si>
  <si>
    <t>51.528,18</t>
  </si>
  <si>
    <t>2026-02-21T02:19:07.430163</t>
  </si>
  <si>
    <t>2026-02-21T02:24:36.480374</t>
  </si>
  <si>
    <t>29.424,19</t>
  </si>
  <si>
    <t>2026-02-21T02:24:37.492904</t>
  </si>
  <si>
    <t>2026-02-21T02:27:54.399011</t>
  </si>
  <si>
    <t>40.280,19</t>
  </si>
  <si>
    <t>2026-02-21T02:27:55.410156</t>
  </si>
  <si>
    <t>2026-02-21T02:31:26.339748</t>
  </si>
  <si>
    <t>27.016,30</t>
  </si>
  <si>
    <t>2026-02-21T02:34:10.520114</t>
  </si>
  <si>
    <t>2026-02-21T02:36:34.521487</t>
  </si>
  <si>
    <t>59.500,26</t>
  </si>
  <si>
    <t>2026-02-21T02:36:35.524870</t>
  </si>
  <si>
    <t>2026-02-21T02:42:29.209687</t>
  </si>
  <si>
    <t>64.940,26</t>
  </si>
  <si>
    <t>2026-02-21T02:42:30.216052</t>
  </si>
  <si>
    <t>2026-02-21T02:49:02.852991</t>
  </si>
  <si>
    <t>48.008,27</t>
  </si>
  <si>
    <t>2026-02-21T02:49:03.860382</t>
  </si>
  <si>
    <t>2026-02-21T02:54:18.791351</t>
  </si>
  <si>
    <t>45.232,27</t>
  </si>
  <si>
    <t>2026-02-21T02:54:19.803947</t>
  </si>
  <si>
    <t>2026-02-21T02:58:33.228131</t>
  </si>
  <si>
    <t>59.932,27</t>
  </si>
  <si>
    <t>2026-02-21T02:58:34.232566</t>
  </si>
  <si>
    <t>2026-02-21T03:04:45.734108</t>
  </si>
  <si>
    <t>30.548,29</t>
  </si>
  <si>
    <t>2026-02-21T03:08:18.170897</t>
  </si>
  <si>
    <t>2026-02-21T03:12:05.568630</t>
  </si>
  <si>
    <t>62.384,29</t>
  </si>
  <si>
    <t>2026-02-21T03:12:06.580330</t>
  </si>
  <si>
    <t>2026-02-21T03:18:56.264473</t>
  </si>
  <si>
    <t>107.032,25</t>
  </si>
  <si>
    <t>2026-02-21T03:18:57.276322</t>
  </si>
  <si>
    <t>2026-02-21T03:27:45.078852</t>
  </si>
  <si>
    <t>84.132,25</t>
  </si>
  <si>
    <t>2026-02-21T03:27:46.091564</t>
  </si>
  <si>
    <t>2026-02-21T03:35:14.957573</t>
  </si>
  <si>
    <t>68.644,25</t>
  </si>
  <si>
    <t>2026-02-21T03:35:15.969693</t>
  </si>
  <si>
    <t>2026-02-21T03:41:36.009515</t>
  </si>
  <si>
    <t>60.788,28</t>
  </si>
  <si>
    <t>2026-02-21T03:41:37.018876</t>
  </si>
  <si>
    <t>2026-02-21T03:47:17.410288</t>
  </si>
  <si>
    <t>31.652,35</t>
  </si>
  <si>
    <t>2026-02-21T03:50:03.613327</t>
  </si>
  <si>
    <t>2026-02-21T03:53:08.477149</t>
  </si>
  <si>
    <t>55.044,28</t>
  </si>
  <si>
    <t>2026-02-21T03:53:09.480876</t>
  </si>
  <si>
    <t>2026-02-21T03:58:33.626373</t>
  </si>
  <si>
    <t>47.712,30</t>
  </si>
  <si>
    <t>2026-02-21T03:58:34.636127</t>
  </si>
  <si>
    <t>2026-02-21T04:02:38.403149</t>
  </si>
  <si>
    <t>45.964,31</t>
  </si>
  <si>
    <t>2026-02-21T04:02:39.413344</t>
  </si>
  <si>
    <t>2026-02-21T04:07:48.524658</t>
  </si>
  <si>
    <t>42.128,31</t>
  </si>
  <si>
    <t>2026-02-21T04:07:49.565561</t>
  </si>
  <si>
    <t>2026-02-21T04:11:59.955261</t>
  </si>
  <si>
    <t>41.436,28</t>
  </si>
  <si>
    <t>2026-02-21T04:12:00.967669</t>
  </si>
  <si>
    <t>2026-02-21T04:15:55.117443</t>
  </si>
  <si>
    <t>42.176,30</t>
  </si>
  <si>
    <t>2026-02-21T04:20:28.403247</t>
  </si>
  <si>
    <t>2026-02-21T04:25:13.839909</t>
  </si>
  <si>
    <t>78.668,29</t>
  </si>
  <si>
    <t>2026-02-21T04:25:14.852028</t>
  </si>
  <si>
    <t>2026-02-21T04:32:56.004175</t>
  </si>
  <si>
    <t>65.860,26</t>
  </si>
  <si>
    <t>2026-02-21T04:32:57.016576</t>
  </si>
  <si>
    <t>2026-02-21T04:37:46.973153</t>
  </si>
  <si>
    <t>75.948,27</t>
  </si>
  <si>
    <t>2026-02-21T04:37:47.978716</t>
  </si>
  <si>
    <t>2026-02-21T04:45:59.204903</t>
  </si>
  <si>
    <t>62.072,27</t>
  </si>
  <si>
    <t>2026-02-21T04:46:00.209932</t>
  </si>
  <si>
    <t>2026-02-21T04:52:56.766884</t>
  </si>
  <si>
    <t>53.536,27</t>
  </si>
  <si>
    <t>2026-02-21T04:52:57.778658</t>
  </si>
  <si>
    <t>2026-02-21T05:00:13.907244</t>
  </si>
  <si>
    <t>32.388,29</t>
  </si>
  <si>
    <t>2026-02-21T05:04:02.530344</t>
  </si>
  <si>
    <t>2026-02-21T05:07:04.779999</t>
  </si>
  <si>
    <t>39.104,24</t>
  </si>
  <si>
    <t>2026-02-21T05:07:05.792610</t>
  </si>
  <si>
    <t>2026-02-21T05:10:16.323891</t>
  </si>
  <si>
    <t>53.108,24</t>
  </si>
  <si>
    <t>2026-02-21T05:10:17.330559</t>
  </si>
  <si>
    <t>2026-02-21T05:15:24.392587</t>
  </si>
  <si>
    <t>31.340,24</t>
  </si>
  <si>
    <t>2026-02-21T05:15:25.402342</t>
  </si>
  <si>
    <t>2026-02-21T05:18:01.913892</t>
  </si>
  <si>
    <t>30.972,24</t>
  </si>
  <si>
    <t>2026-02-21T05:18:02.922311</t>
  </si>
  <si>
    <t>2026-02-21T05:21:19.863126</t>
  </si>
  <si>
    <t>48.988,24</t>
  </si>
  <si>
    <t>2026-02-21T05:21:20.871578</t>
  </si>
  <si>
    <t>2026-02-21T05:25:31.667515</t>
  </si>
  <si>
    <t>37.300,29</t>
  </si>
  <si>
    <t>2026-02-21T05:28:36.397061</t>
  </si>
  <si>
    <t>2026-02-21T05:32:00.426372</t>
  </si>
  <si>
    <t>42.484,25</t>
  </si>
  <si>
    <t>2026-02-21T05:32:01.439591</t>
  </si>
  <si>
    <t>2026-02-21T05:36:09.641725</t>
  </si>
  <si>
    <t>66.752,22</t>
  </si>
  <si>
    <t>2026-02-21T05:36:10.652889</t>
  </si>
  <si>
    <t>2026-02-21T05:42:39.592527</t>
  </si>
  <si>
    <t>37.524,24</t>
  </si>
  <si>
    <t>2026-02-21T05:42:40.605032</t>
  </si>
  <si>
    <t>2026-02-21T05:46:07.569689</t>
  </si>
  <si>
    <t>32.740,24</t>
  </si>
  <si>
    <t>2026-02-21T05:46:08.576778</t>
  </si>
  <si>
    <t>2026-02-21T05:49:25.183074</t>
  </si>
  <si>
    <t>60.380,22</t>
  </si>
  <si>
    <t>2026-02-21T05:49:26.197349</t>
  </si>
  <si>
    <t>2026-02-21T05:54:47.840676</t>
  </si>
  <si>
    <t>31.748,32</t>
  </si>
  <si>
    <t>2026-02-21T05:59:16.479808</t>
  </si>
  <si>
    <t>2026-02-21T06:02:18.768713</t>
  </si>
  <si>
    <t>29.252,27</t>
  </si>
  <si>
    <t>2026-02-21T06:02:19.781567</t>
  </si>
  <si>
    <t>2026-02-21T06:06:16.352206</t>
  </si>
  <si>
    <t>64.788,29</t>
  </si>
  <si>
    <t>2026-02-21T06:06:17.364057</t>
  </si>
  <si>
    <t>2026-02-21T06:12:30.069498</t>
  </si>
  <si>
    <t>31.516,28</t>
  </si>
  <si>
    <t>2026-02-21T06:12:31.079960</t>
  </si>
  <si>
    <t>2026-02-21T06:16:40.970307</t>
  </si>
  <si>
    <t>2026-02-21T06:16:41.983127</t>
  </si>
  <si>
    <t>2026-02-21T06:20:45.413107</t>
  </si>
  <si>
    <t>29.280,27</t>
  </si>
  <si>
    <t>2026-02-21T06:20:46.424121</t>
  </si>
  <si>
    <t>2026-02-21T06:24:26.990310</t>
  </si>
  <si>
    <t>43.084,31</t>
  </si>
  <si>
    <t>2026-02-21T06:28:52.972448</t>
  </si>
  <si>
    <t>2026-02-21T06:32:41.109082</t>
  </si>
  <si>
    <t>83.780,24</t>
  </si>
  <si>
    <t>2026-02-21T06:32:42.117586</t>
  </si>
  <si>
    <t>2026-02-21T06:42:13.956142</t>
  </si>
  <si>
    <t>58.704,29</t>
  </si>
  <si>
    <t>2026-02-21T06:42:14.968348</t>
  </si>
  <si>
    <t>2026-02-21T06:47:51.373589</t>
  </si>
  <si>
    <t>42.684,25</t>
  </si>
  <si>
    <t>2026-02-21T06:47:52.384212</t>
  </si>
  <si>
    <t>2026-02-21T06:53:09.494061</t>
  </si>
  <si>
    <t>40.740,25</t>
  </si>
  <si>
    <t>2026-02-21T06:53:10.507446</t>
  </si>
  <si>
    <t>2026-02-21T06:56:36.735462</t>
  </si>
  <si>
    <t>66.520,27</t>
  </si>
  <si>
    <t>2026-02-21T06:56:37.740980</t>
  </si>
  <si>
    <t>2026-02-21T07:03:01.016166</t>
  </si>
  <si>
    <t>40.832,32</t>
  </si>
  <si>
    <t>2026-02-21T07:05:46.888385</t>
  </si>
  <si>
    <t>2026-02-21T07:10:58.679318</t>
  </si>
  <si>
    <t>42.132,32</t>
  </si>
  <si>
    <t>2026-02-21T07:10:59.691851</t>
  </si>
  <si>
    <t>2026-02-21T07:14:57.201295</t>
  </si>
  <si>
    <t>58.292,30</t>
  </si>
  <si>
    <t>2026-02-21T07:14:58.205595</t>
  </si>
  <si>
    <t>2026-02-21T07:20:43.422325</t>
  </si>
  <si>
    <t>37.792,31</t>
  </si>
  <si>
    <t>2026-02-21T07:20:44.426101</t>
  </si>
  <si>
    <t>2026-02-21T07:24:32.322649</t>
  </si>
  <si>
    <t>2026-02-21T07:24:33.326993</t>
  </si>
  <si>
    <t>2026-02-21T07:28:02.435199</t>
  </si>
  <si>
    <t>44.764,29</t>
  </si>
  <si>
    <t>2026-02-21T07:28:03.446904</t>
  </si>
  <si>
    <t>2026-02-21T07:32:13.048859</t>
  </si>
  <si>
    <t>46.308,29</t>
  </si>
  <si>
    <t>2026-02-21T07:36:09.509284</t>
  </si>
  <si>
    <t>2026-02-21T07:41:09.367118</t>
  </si>
  <si>
    <t>71.908,32</t>
  </si>
  <si>
    <t>2026-02-21T07:41:10.373323</t>
  </si>
  <si>
    <t>2026-02-21T07:48:24.115192</t>
  </si>
  <si>
    <t>76.776,24</t>
  </si>
  <si>
    <t>2026-02-21T07:48:25.125067</t>
  </si>
  <si>
    <t>2026-02-21T07:55:22.305091</t>
  </si>
  <si>
    <t>72.476,29</t>
  </si>
  <si>
    <t>2026-02-21T07:55:23.317705</t>
  </si>
  <si>
    <t>2026-02-21T08:03:45.992101</t>
  </si>
  <si>
    <t>48.808,31</t>
  </si>
  <si>
    <t>2026-02-21T08:03:47.005828</t>
  </si>
  <si>
    <t>2026-02-21T08:13:41.169058</t>
  </si>
  <si>
    <t>85.632,26</t>
  </si>
  <si>
    <t>2026-02-21T08:13:42.177804</t>
  </si>
  <si>
    <t>2026-02-21T08:21:41.353552</t>
  </si>
  <si>
    <t>34.476,33</t>
  </si>
  <si>
    <t>2026-02-21T08:25:33.598222</t>
  </si>
  <si>
    <t>2026-02-21T08:29:09.398544</t>
  </si>
  <si>
    <t>68.908,29</t>
  </si>
  <si>
    <t>2026-02-21T08:29:10.401815</t>
  </si>
  <si>
    <t>2026-02-21T08:35:26.247924</t>
  </si>
  <si>
    <t>59.748,31</t>
  </si>
  <si>
    <t>2026-02-21T08:35:27.254977</t>
  </si>
  <si>
    <t>2026-02-21T08:42:06.963721</t>
  </si>
  <si>
    <t>77.528,32</t>
  </si>
  <si>
    <t>2026-02-21T08:42:07.974695</t>
  </si>
  <si>
    <t>2026-02-21T08:49:12.302960</t>
  </si>
  <si>
    <t>69.824,33</t>
  </si>
  <si>
    <t>2026-02-21T08:49:13.310929</t>
  </si>
  <si>
    <t>2026-02-21T08:55:50.701805</t>
  </si>
  <si>
    <t>60.280,36</t>
  </si>
  <si>
    <t>2026-02-21T08:55:51.709951</t>
  </si>
  <si>
    <t>2026-02-21T09:01:43.003098</t>
  </si>
  <si>
    <t>36.856,30</t>
  </si>
  <si>
    <t>2026-02-21T09:05:58.553666</t>
  </si>
  <si>
    <t>2026-02-21T09:10:32.273946</t>
  </si>
  <si>
    <t>50.772,33</t>
  </si>
  <si>
    <t>2026-02-21T09:10:33.278680</t>
  </si>
  <si>
    <t>2026-02-21T09:16:20.566920</t>
  </si>
  <si>
    <t>64.808,30</t>
  </si>
  <si>
    <t>2026-02-21T09:16:21.583085</t>
  </si>
  <si>
    <t>2026-02-21T09:23:01.313083</t>
  </si>
  <si>
    <t>49.364,30</t>
  </si>
  <si>
    <t>2026-02-21T09:23:02.326283</t>
  </si>
  <si>
    <t>2026-02-21T09:30:00.398259</t>
  </si>
  <si>
    <t>58.704,32</t>
  </si>
  <si>
    <t>2026-02-21T09:30:01.413474</t>
  </si>
  <si>
    <t>2026-02-21T09:37:42.422613</t>
  </si>
  <si>
    <t>66.192,33</t>
  </si>
  <si>
    <t>2026-02-21T09:37:43.433041</t>
  </si>
  <si>
    <t>2026-02-21T09:44:02.624959</t>
  </si>
  <si>
    <t>30.640,31</t>
  </si>
  <si>
    <t>2026-02-21T09:47:26.584925</t>
  </si>
  <si>
    <t>2026-02-21T09:50:54.765129</t>
  </si>
  <si>
    <t>57.444,26</t>
  </si>
  <si>
    <t>2026-02-21T09:50:55.776048</t>
  </si>
  <si>
    <t>2026-02-21T09:56:18.615489</t>
  </si>
  <si>
    <t>48.560,26</t>
  </si>
  <si>
    <t>2026-02-21T09:56:19.629460</t>
  </si>
  <si>
    <t>2026-02-21T10:02:00.805980</t>
  </si>
  <si>
    <t>58.976,26</t>
  </si>
  <si>
    <t>2026-02-21T10:02:01.814918</t>
  </si>
  <si>
    <t>2026-02-21T10:07:33.231477</t>
  </si>
  <si>
    <t>52.296,26</t>
  </si>
  <si>
    <t>2026-02-21T10:07:34.245795</t>
  </si>
  <si>
    <t>2026-02-21T10:13:19.287987</t>
  </si>
  <si>
    <t>43.168,26</t>
  </si>
  <si>
    <t>2026-02-21T10:13:20.301342</t>
  </si>
  <si>
    <t>2026-02-21T10:18:21.473749</t>
  </si>
  <si>
    <t>36.512,27</t>
  </si>
  <si>
    <t>2026-02-21T10:23:09.896572</t>
  </si>
  <si>
    <t>2026-02-21T10:27:08.193542</t>
  </si>
  <si>
    <t>52.752,25</t>
  </si>
  <si>
    <t>2026-02-21T10:27:09.204364</t>
  </si>
  <si>
    <t>2026-02-21T10:32:04.450601</t>
  </si>
  <si>
    <t>105.416,21</t>
  </si>
  <si>
    <t>2026-02-21T10:32:05.465933</t>
  </si>
  <si>
    <t>2026-02-21T10:42:05.605095</t>
  </si>
  <si>
    <t>46.828,26</t>
  </si>
  <si>
    <t>2026-02-21T10:42:06.613575</t>
  </si>
  <si>
    <t>2026-02-21T10:46:24.326104</t>
  </si>
  <si>
    <t>54.316,25</t>
  </si>
  <si>
    <t>2026-02-21T10:46:25.329587</t>
  </si>
  <si>
    <t>2026-02-21T10:51:17.107794</t>
  </si>
  <si>
    <t>44.960,26</t>
  </si>
  <si>
    <t>2026-02-21T10:51:18.117052</t>
  </si>
  <si>
    <t>2026-02-21T10:55:48.052915</t>
  </si>
  <si>
    <t>31.660,34</t>
  </si>
  <si>
    <t>2026-02-20T23:10:56.308864</t>
  </si>
  <si>
    <t>2026-02-20T23:13:35.027874</t>
  </si>
  <si>
    <t>50.756,31</t>
  </si>
  <si>
    <t>2026-02-20T23:13:36.032851</t>
  </si>
  <si>
    <t>2026-02-20T23:17:40.670770</t>
  </si>
  <si>
    <t>62.896,29</t>
  </si>
  <si>
    <t>2026-02-20T23:17:41.677574</t>
  </si>
  <si>
    <t>2026-02-20T23:23:38.923541</t>
  </si>
  <si>
    <t>43.612,28</t>
  </si>
  <si>
    <t>2026-02-20T23:23:39.927368</t>
  </si>
  <si>
    <t>2026-02-20T23:28:15.205135</t>
  </si>
  <si>
    <t>47.916,30</t>
  </si>
  <si>
    <t>2026-02-20T23:28:16.214604</t>
  </si>
  <si>
    <t>2026-02-20T23:32:35.122948</t>
  </si>
  <si>
    <t>45.768,33</t>
  </si>
  <si>
    <t>2026-02-20T23:32:36.129892</t>
  </si>
  <si>
    <t>2026-02-20T23:37:04.604095</t>
  </si>
  <si>
    <t>37.084,32</t>
  </si>
  <si>
    <t>2026-02-20T23:41:20.318757</t>
  </si>
  <si>
    <t>2026-02-20T23:45:11.243693</t>
  </si>
  <si>
    <t>41.908,27</t>
  </si>
  <si>
    <t>2026-02-20T23:45:12.247565</t>
  </si>
  <si>
    <t>2026-02-20T23:53:58.109717</t>
  </si>
  <si>
    <t>124.636,28</t>
  </si>
  <si>
    <t>2026-02-20T23:53:59.118430</t>
  </si>
  <si>
    <t>2026-02-21T00:05:51.263228</t>
  </si>
  <si>
    <t>72.876,27</t>
  </si>
  <si>
    <t>2026-02-21T00:05:52.277073</t>
  </si>
  <si>
    <t>2026-02-21T00:13:17.088130</t>
  </si>
  <si>
    <t>84.120,27</t>
  </si>
  <si>
    <t>2026-02-21T00:13:18.096680</t>
  </si>
  <si>
    <t>2026-02-21T00:20:57.797144</t>
  </si>
  <si>
    <t>52.952,31</t>
  </si>
  <si>
    <t>2026-02-21T00:20:58.803807</t>
  </si>
  <si>
    <t>2026-02-21T00:26:12.886946</t>
  </si>
  <si>
    <t>33.264,30</t>
  </si>
  <si>
    <t>2026-02-21T00:30:05.742492</t>
  </si>
  <si>
    <t>2026-02-21T00:33:27.367517</t>
  </si>
  <si>
    <t>74.052,29</t>
  </si>
  <si>
    <t>2026-02-21T00:33:28.377283</t>
  </si>
  <si>
    <t>2026-02-21T00:40:03.497071</t>
  </si>
  <si>
    <t>50.936,30</t>
  </si>
  <si>
    <t>2026-02-21T00:40:04.508570</t>
  </si>
  <si>
    <t>2026-02-21T00:44:32.207705</t>
  </si>
  <si>
    <t>66.808,31</t>
  </si>
  <si>
    <t>2026-02-21T00:44:33.219102</t>
  </si>
  <si>
    <t>2026-02-21T00:49:43.018137</t>
  </si>
  <si>
    <t>52.452,31</t>
  </si>
  <si>
    <t>2026-02-21T00:49:44.023588</t>
  </si>
  <si>
    <t>2026-02-21T00:54:45.330825</t>
  </si>
  <si>
    <t>45.544,30</t>
  </si>
  <si>
    <t>2026-02-21T00:54:46.338307</t>
  </si>
  <si>
    <t>2026-02-21T00:59:30.466342</t>
  </si>
  <si>
    <t>45.584,31</t>
  </si>
  <si>
    <t>2026-02-21T01:02:57.254388</t>
  </si>
  <si>
    <t>2026-02-21T01:07:45.776411</t>
  </si>
  <si>
    <t>67.984,31</t>
  </si>
  <si>
    <t>2026-02-21T01:07:46.784141</t>
  </si>
  <si>
    <t>2026-02-21T01:13:58.903652</t>
  </si>
  <si>
    <t>44.572,28</t>
  </si>
  <si>
    <t>2026-02-21T01:13:59.912857</t>
  </si>
  <si>
    <t>2026-02-21T01:18:43.849553</t>
  </si>
  <si>
    <t>68.236,30</t>
  </si>
  <si>
    <t>2026-02-21T01:18:44.862959</t>
  </si>
  <si>
    <t>2026-02-21T01:25:36.353924</t>
  </si>
  <si>
    <t>44.900,29</t>
  </si>
  <si>
    <t>2026-02-21T01:25:37.366101</t>
  </si>
  <si>
    <t>2026-02-21T01:30:22.097730</t>
  </si>
  <si>
    <t>61.320,27</t>
  </si>
  <si>
    <t>2026-02-21T01:30:23.108346</t>
  </si>
  <si>
    <t>2026-02-21T01:35:22.050174</t>
  </si>
  <si>
    <t>36.908,34</t>
  </si>
  <si>
    <t>2026-02-21T01:37:23.666878</t>
  </si>
  <si>
    <t>2026-02-21T01:41:39.243375</t>
  </si>
  <si>
    <t>82.928,29</t>
  </si>
  <si>
    <t>2026-02-21T01:41:40.255667</t>
  </si>
  <si>
    <t>2026-02-21T01:48:26.546562</t>
  </si>
  <si>
    <t>60.320,24</t>
  </si>
  <si>
    <t>2026-02-21T01:48:27.559366</t>
  </si>
  <si>
    <t>2026-02-21T01:55:00.726354</t>
  </si>
  <si>
    <t>40.580,31</t>
  </si>
  <si>
    <t>2026-02-21T01:55:01.730246</t>
  </si>
  <si>
    <t>2026-02-21T01:58:16.491196</t>
  </si>
  <si>
    <t>62.276,31</t>
  </si>
  <si>
    <t>2026-02-21T01:58:17.499551</t>
  </si>
  <si>
    <t>2026-02-21T02:04:32.807196</t>
  </si>
  <si>
    <t>57.476,27</t>
  </si>
  <si>
    <t>2026-02-21T02:04:33.819011</t>
  </si>
  <si>
    <t>2026-02-21T02:09:53.512335</t>
  </si>
  <si>
    <t>26.528,32</t>
  </si>
  <si>
    <t>2026-02-21T02:13:39.088735</t>
  </si>
  <si>
    <t>2026-02-21T02:16:17.522328</t>
  </si>
  <si>
    <t>40.924,30</t>
  </si>
  <si>
    <t>2026-02-21T02:16:18.534776</t>
  </si>
  <si>
    <t>2026-02-21T02:20:31.380292</t>
  </si>
  <si>
    <t>59.940,25</t>
  </si>
  <si>
    <t>2026-02-21T02:20:32.392339</t>
  </si>
  <si>
    <t>2026-02-21T02:27:29.238707</t>
  </si>
  <si>
    <t>99.652,32</t>
  </si>
  <si>
    <t>2026-02-21T02:27:30.250081</t>
  </si>
  <si>
    <t>2026-02-21T02:37:03.472627</t>
  </si>
  <si>
    <t>104.808,32</t>
  </si>
  <si>
    <t>2026-02-21T02:37:04.484401</t>
  </si>
  <si>
    <t>2026-02-21T02:45:43.314475</t>
  </si>
  <si>
    <t>48.084,27</t>
  </si>
  <si>
    <t>2026-02-21T02:45:44.327300</t>
  </si>
  <si>
    <t>2026-02-21T02:51:04.914202</t>
  </si>
  <si>
    <t>27.500,29</t>
  </si>
  <si>
    <t>2026-02-21T02:53:58.602882</t>
  </si>
  <si>
    <t>2026-02-21T02:57:16.750519</t>
  </si>
  <si>
    <t>46.848,20</t>
  </si>
  <si>
    <t>2026-02-21T02:57:17.763916</t>
  </si>
  <si>
    <t>2026-02-21T03:01:21.042374</t>
  </si>
  <si>
    <t>46.900,22</t>
  </si>
  <si>
    <t>2026-02-21T03:01:22.045446</t>
  </si>
  <si>
    <t>2026-02-21T03:06:36.860767</t>
  </si>
  <si>
    <t>47.684,24</t>
  </si>
  <si>
    <t>2026-02-21T03:06:37.873706</t>
  </si>
  <si>
    <t>2026-02-21T03:11:36.999763</t>
  </si>
  <si>
    <t>45.704,20</t>
  </si>
  <si>
    <t>2026-02-21T03:11:38.006126</t>
  </si>
  <si>
    <t>2026-02-21T03:15:00.517671</t>
  </si>
  <si>
    <t>65.780,23</t>
  </si>
  <si>
    <t>2026-02-21T03:15:01.530108</t>
  </si>
  <si>
    <t>2026-02-21T03:21:09.009930</t>
  </si>
  <si>
    <t>32.280,28</t>
  </si>
  <si>
    <t>2026-02-21T03:24:18.529412</t>
  </si>
  <si>
    <t>2026-02-21T03:27:59.140018</t>
  </si>
  <si>
    <t>66.988,21</t>
  </si>
  <si>
    <t>2026-02-21T03:28:00.152917</t>
  </si>
  <si>
    <t>2026-02-21T03:33:45.102818</t>
  </si>
  <si>
    <t>63.472,18</t>
  </si>
  <si>
    <t>2026-02-21T03:33:46.107135</t>
  </si>
  <si>
    <t>2026-02-21T03:39:32.036305</t>
  </si>
  <si>
    <t>35.724,22</t>
  </si>
  <si>
    <t>2026-02-21T03:39:33.040793</t>
  </si>
  <si>
    <t>2026-02-21T03:43:03.586595</t>
  </si>
  <si>
    <t>21.408,21</t>
  </si>
  <si>
    <t>2026-02-21T03:43:04.591335</t>
  </si>
  <si>
    <t>2026-02-21T03:47:52.337599</t>
  </si>
  <si>
    <t>28.432,22</t>
  </si>
  <si>
    <t>2026-02-21T03:47:53.349695</t>
  </si>
  <si>
    <t>2026-02-21T03:51:17.680791</t>
  </si>
  <si>
    <t>31.348,32</t>
  </si>
  <si>
    <t>2026-02-21T03:54:37.459092</t>
  </si>
  <si>
    <t>2026-02-21T03:57:39.933924</t>
  </si>
  <si>
    <t>39.752,29</t>
  </si>
  <si>
    <t>2026-02-21T03:57:40.938966</t>
  </si>
  <si>
    <t>2026-02-21T04:02:08.105277</t>
  </si>
  <si>
    <t>81.300,32</t>
  </si>
  <si>
    <t>2026-02-21T04:02:09.115679</t>
  </si>
  <si>
    <t>2026-02-21T04:08:54.808146</t>
  </si>
  <si>
    <t>56.808,34</t>
  </si>
  <si>
    <t>2026-02-21T04:08:55.820394</t>
  </si>
  <si>
    <t>2026-02-21T04:14:25.438488</t>
  </si>
  <si>
    <t>51.624,34</t>
  </si>
  <si>
    <t>2026-02-21T04:14:26.442159</t>
  </si>
  <si>
    <t>2026-02-21T04:19:12.268505</t>
  </si>
  <si>
    <t>47.204,27</t>
  </si>
  <si>
    <t>2026-02-21T04:19:13.281892</t>
  </si>
  <si>
    <t>2026-02-21T04:23:41.547201</t>
  </si>
  <si>
    <t>39.192,33</t>
  </si>
  <si>
    <t>2026-02-21T04:26:44.145233</t>
  </si>
  <si>
    <t>2026-02-21T04:30:23.630062</t>
  </si>
  <si>
    <t>53.224,29</t>
  </si>
  <si>
    <t>2026-02-21T04:30:24.638023</t>
  </si>
  <si>
    <t>2026-02-21T04:35:16.768956</t>
  </si>
  <si>
    <t>102.376,27</t>
  </si>
  <si>
    <t>2026-02-21T04:35:17.777964</t>
  </si>
  <si>
    <t>2026-02-21T04:45:38.418345</t>
  </si>
  <si>
    <t>91.892,34</t>
  </si>
  <si>
    <t>2026-02-21T04:45:39.431559</t>
  </si>
  <si>
    <t>2026-02-21T04:55:20.055269</t>
  </si>
  <si>
    <t>80.488,34</t>
  </si>
  <si>
    <t>2026-02-21T04:55:21.069468</t>
  </si>
  <si>
    <t>2026-02-21T05:03:16.591645</t>
  </si>
  <si>
    <t>55.000,32</t>
  </si>
  <si>
    <t>2026-02-21T05:03:17.604083</t>
  </si>
  <si>
    <t>2026-02-21T05:08:36.121020</t>
  </si>
  <si>
    <t>29.500,31</t>
  </si>
  <si>
    <t>2026-02-21T05:13:26.895910</t>
  </si>
  <si>
    <t>2026-02-21T05:16:01.761098</t>
  </si>
  <si>
    <t>56.836,26</t>
  </si>
  <si>
    <t>2026-02-21T05:16:02.770523</t>
  </si>
  <si>
    <t>2026-02-21T05:20:42.117776</t>
  </si>
  <si>
    <t>72.056,24</t>
  </si>
  <si>
    <t>2026-02-21T05:20:43.131133</t>
  </si>
  <si>
    <t>2026-02-21T05:28:01.040972</t>
  </si>
  <si>
    <t>43.588,24</t>
  </si>
  <si>
    <t>2026-02-21T05:28:02.053966</t>
  </si>
  <si>
    <t>2026-02-21T05:34:05.045983</t>
  </si>
  <si>
    <t>49.092,25</t>
  </si>
  <si>
    <t>2026-02-21T05:34:06.058672</t>
  </si>
  <si>
    <t>2026-02-21T05:38:43.092302</t>
  </si>
  <si>
    <t>44.348,25</t>
  </si>
  <si>
    <t>2026-02-21T05:38:44.102843</t>
  </si>
  <si>
    <t>2026-02-21T05:43:08.621438</t>
  </si>
  <si>
    <t>33.752,29</t>
  </si>
  <si>
    <t>2026-02-21T05:48:21.819906</t>
  </si>
  <si>
    <t>2026-02-21T05:51:22.832396</t>
  </si>
  <si>
    <t>180.000,24</t>
  </si>
  <si>
    <t>2026-02-21T05:51:23.846447</t>
  </si>
  <si>
    <t>2026-02-21T06:08:55.867249</t>
  </si>
  <si>
    <t>85.796,21</t>
  </si>
  <si>
    <t>2026-02-21T06:08:56.880348</t>
  </si>
  <si>
    <t>2026-02-21T06:17:21.553976</t>
  </si>
  <si>
    <t>72.728,26</t>
  </si>
  <si>
    <t>2026-02-21T06:17:22.563594</t>
  </si>
  <si>
    <t>2026-02-21T06:23:47.832796</t>
  </si>
  <si>
    <t>86.844,26</t>
  </si>
  <si>
    <t>2026-02-21T06:23:48.846512</t>
  </si>
  <si>
    <t>2026-02-21T06:31:35.791948</t>
  </si>
  <si>
    <t>53.636,26</t>
  </si>
  <si>
    <t>2026-02-21T06:31:36.805268</t>
  </si>
  <si>
    <t>2026-02-21T06:36:45.603515</t>
  </si>
  <si>
    <t>31.240,31</t>
  </si>
  <si>
    <t>2026-02-21T06:40:38.234159</t>
  </si>
  <si>
    <t>2026-02-21T06:44:24.814925</t>
  </si>
  <si>
    <t>37.120,24</t>
  </si>
  <si>
    <t>2026-02-21T06:44:25.828257</t>
  </si>
  <si>
    <t>2026-02-21T06:49:13.119492</t>
  </si>
  <si>
    <t>51.792,26</t>
  </si>
  <si>
    <t>2026-02-21T06:49:14.132792</t>
  </si>
  <si>
    <t>2026-02-21T06:54:14.093451</t>
  </si>
  <si>
    <t>41.488,26</t>
  </si>
  <si>
    <t>2026-02-21T06:54:15.104302</t>
  </si>
  <si>
    <t>2026-02-21T06:59:06.056338</t>
  </si>
  <si>
    <t>40.416,26</t>
  </si>
  <si>
    <t>2026-02-21T06:59:07.070950</t>
  </si>
  <si>
    <t>2026-02-21T07:03:52.760856</t>
  </si>
  <si>
    <t>45.140,28</t>
  </si>
  <si>
    <t>2026-02-21T07:03:53.772938</t>
  </si>
  <si>
    <t>2026-02-21T07:07:52.340014</t>
  </si>
  <si>
    <t>34.996,31</t>
  </si>
  <si>
    <t>2026-02-21T07:12:24.015441</t>
  </si>
  <si>
    <t>2026-02-21T07:16:30.386638</t>
  </si>
  <si>
    <t>40.692,24</t>
  </si>
  <si>
    <t>2026-02-21T07:16:31.391549</t>
  </si>
  <si>
    <t>2026-02-21T07:20:36.947327</t>
  </si>
  <si>
    <t>60.560,25</t>
  </si>
  <si>
    <t>2026-02-21T07:20:37.959832</t>
  </si>
  <si>
    <t>2026-02-21T07:26:38.528185</t>
  </si>
  <si>
    <t>83.620,24</t>
  </si>
  <si>
    <t>2026-02-21T07:26:39.532527</t>
  </si>
  <si>
    <t>2026-02-21T07:33:57.983655</t>
  </si>
  <si>
    <t>76.532,25</t>
  </si>
  <si>
    <t>2026-02-21T07:33:58.995516</t>
  </si>
  <si>
    <t>2026-02-21T07:40:16.632940</t>
  </si>
  <si>
    <t>48.132,25</t>
  </si>
  <si>
    <t>2026-02-21T07:40:17.646724</t>
  </si>
  <si>
    <t>2026-02-21T07:47:37.964893</t>
  </si>
  <si>
    <t>32.356,29</t>
  </si>
  <si>
    <t>2026-02-21T07:51:31.601693</t>
  </si>
  <si>
    <t>2026-02-21T07:54:23.475346</t>
  </si>
  <si>
    <t>51.504,25</t>
  </si>
  <si>
    <t>2026-02-21T07:54:24.481306</t>
  </si>
  <si>
    <t>2026-02-21T07:58:47.260256</t>
  </si>
  <si>
    <t>71.628,25</t>
  </si>
  <si>
    <t>2026-02-21T07:58:48.268205</t>
  </si>
  <si>
    <t>2026-02-21T08:05:05.452548</t>
  </si>
  <si>
    <t>73.532,24</t>
  </si>
  <si>
    <t>2026-02-21T08:05:06.464938</t>
  </si>
  <si>
    <t>2026-02-21T08:11:37.582742</t>
  </si>
  <si>
    <t>77.672,22</t>
  </si>
  <si>
    <t>2026-02-21T08:11:38.591125</t>
  </si>
  <si>
    <t>2026-02-21T08:19:27.686196</t>
  </si>
  <si>
    <t>38.652,25</t>
  </si>
  <si>
    <t>2026-02-21T08:19:28.693537</t>
  </si>
  <si>
    <t>2026-02-21T08:25:01.815423</t>
  </si>
  <si>
    <t>33.440,27</t>
  </si>
  <si>
    <t>2026-02-21T08:29:53.977270</t>
  </si>
  <si>
    <t>2026-02-21T08:34:04.299068</t>
  </si>
  <si>
    <t>116.496,26</t>
  </si>
  <si>
    <t>2026-02-21T08:34:05.312093</t>
  </si>
  <si>
    <t>2026-02-21T08:44:51.154517</t>
  </si>
  <si>
    <t>72.128,25</t>
  </si>
  <si>
    <t>2026-02-21T08:44:52.166944</t>
  </si>
  <si>
    <t>2026-02-21T08:52:36.168517</t>
  </si>
  <si>
    <t>82.688,22</t>
  </si>
  <si>
    <t>2026-02-21T08:52:37.180017</t>
  </si>
  <si>
    <t>2026-02-21T09:00:27.851138</t>
  </si>
  <si>
    <t>57.976,22</t>
  </si>
  <si>
    <t>2026-02-21T09:00:28.864387</t>
  </si>
  <si>
    <t>2026-02-21T09:06:10.747455</t>
  </si>
  <si>
    <t>66.468,23</t>
  </si>
  <si>
    <t>2026-02-21T09:06:11.757142</t>
  </si>
  <si>
    <t>2026-02-21T09:12:27.677053</t>
  </si>
  <si>
    <t>35.184,31</t>
  </si>
  <si>
    <t>2026-02-21T09:16:21.968937</t>
  </si>
  <si>
    <t>2026-02-21T09:19:33.095517</t>
  </si>
  <si>
    <t>49.380,29</t>
  </si>
  <si>
    <t>2026-02-21T09:19:34.102805</t>
  </si>
  <si>
    <t>2026-02-21T09:24:39.325567</t>
  </si>
  <si>
    <t>54.584,26</t>
  </si>
  <si>
    <t>2026-02-21T09:24:40.330244</t>
  </si>
  <si>
    <t>2026-02-21T09:29:45.253308</t>
  </si>
  <si>
    <t>43.044,29</t>
  </si>
  <si>
    <t>2026-02-21T09:29:46.268024</t>
  </si>
  <si>
    <t>2026-02-21T09:34:44.861261</t>
  </si>
  <si>
    <t>32.720,27</t>
  </si>
  <si>
    <t>2026-02-21T09:34:45.874506</t>
  </si>
  <si>
    <t>2026-02-21T09:38:05.515892</t>
  </si>
  <si>
    <t>49.760,30</t>
  </si>
  <si>
    <t>2026-02-21T09:38:06.529110</t>
  </si>
  <si>
    <t>2026-02-21T09:42:43.371420</t>
  </si>
  <si>
    <t>38.004,27</t>
  </si>
  <si>
    <t>2026-02-21T09:45:59.456764</t>
  </si>
  <si>
    <t>2026-02-21T09:50:02.684666</t>
  </si>
  <si>
    <t>76.580,19</t>
  </si>
  <si>
    <t>2026-02-21T09:50:03.697859</t>
  </si>
  <si>
    <t>2026-02-21T09:57:17.313615</t>
  </si>
  <si>
    <t>50.056,23</t>
  </si>
  <si>
    <t>2026-02-21T09:57:18.321018</t>
  </si>
  <si>
    <t>2026-02-21T10:02:48.961245</t>
  </si>
  <si>
    <t>74.096,25</t>
  </si>
  <si>
    <t>2026-02-21T10:02:49.968416</t>
  </si>
  <si>
    <t>2026-02-21T10:10:53.608023</t>
  </si>
  <si>
    <t>61.524,25</t>
  </si>
  <si>
    <t>2026-02-21T10:10:54.623681</t>
  </si>
  <si>
    <t>2026-02-21T10:17:44.809329</t>
  </si>
  <si>
    <t>92.232,24</t>
  </si>
  <si>
    <t>2026-02-21T10:17:45.823425</t>
  </si>
  <si>
    <t>2026-02-21T10:27:16.054474</t>
  </si>
  <si>
    <t>30.000,31</t>
  </si>
  <si>
    <t>2026-02-21T10:29:37.643683</t>
  </si>
  <si>
    <t>2026-02-21T10:32:37.230319</t>
  </si>
  <si>
    <t>55.400,27</t>
  </si>
  <si>
    <t>2026-02-21T10:32:38.242983</t>
  </si>
  <si>
    <t>2026-02-21T10:37:52.995003</t>
  </si>
  <si>
    <t>73.280,27</t>
  </si>
  <si>
    <t>2026-02-21T10:37:54.001422</t>
  </si>
  <si>
    <t>2026-02-21T10:45:40.101918</t>
  </si>
  <si>
    <t>35.024,28</t>
  </si>
  <si>
    <t>2026-02-21T10:45:41.115427</t>
  </si>
  <si>
    <t>2026-02-21T10:50:55.752891</t>
  </si>
  <si>
    <t>52.248,29</t>
  </si>
  <si>
    <t>2026-02-21T10:50:56.758854</t>
  </si>
  <si>
    <t>2026-02-21T10:55:55.786363</t>
  </si>
  <si>
    <t>50.924,28</t>
  </si>
  <si>
    <t>2026-02-21T10:55:56.790306</t>
  </si>
  <si>
    <t>2026-02-21T10:59:59.175667</t>
  </si>
  <si>
    <t>44.716,32</t>
  </si>
  <si>
    <t>2026-02-21T11:02:58.875533</t>
  </si>
  <si>
    <t>2026-02-21T11:05:31.193257</t>
  </si>
  <si>
    <t>100.020,28</t>
  </si>
  <si>
    <t>2026-02-21T11:05:32.204484</t>
  </si>
  <si>
    <t>2026-02-21T11:10:04.178440</t>
  </si>
  <si>
    <t>70.380,28</t>
  </si>
  <si>
    <t>2026-02-21T11:10:05.180315</t>
  </si>
  <si>
    <t>2026-02-21T11:13:44.351579</t>
  </si>
  <si>
    <t>66.916,29</t>
  </si>
  <si>
    <t>2026-02-21T11:13:45.357462</t>
  </si>
  <si>
    <t>2026-02-21T11:16:59.796676</t>
  </si>
  <si>
    <t>65.200,29</t>
  </si>
  <si>
    <t>2026-02-21T11:17:00.975329</t>
  </si>
  <si>
    <t>2026-02-21T11:19:22.889624</t>
  </si>
  <si>
    <t>73.232,27</t>
  </si>
  <si>
    <t>2026-02-21T11:19:23.920179</t>
  </si>
  <si>
    <t>2026-02-21T11:21:47.897958</t>
  </si>
  <si>
    <t>ball taking speed</t>
  </si>
  <si>
    <t>collision rate</t>
  </si>
  <si>
    <t>10s collision probablity</t>
  </si>
  <si>
    <t>nearest</t>
  </si>
  <si>
    <t>2026-02-21T11:45:04.141714</t>
  </si>
  <si>
    <t>2026-02-21T11:46:52.813683</t>
  </si>
  <si>
    <t>2026-02-21T11:46:53.820333</t>
  </si>
  <si>
    <t>2026-02-21T11:49:57.564562</t>
  </si>
  <si>
    <t>2026-02-21T11:49:58.573727</t>
  </si>
  <si>
    <t>2026-02-21T11:52:04.000030</t>
  </si>
  <si>
    <t>2026-02-21T11:52:05.008618</t>
  </si>
  <si>
    <t>2026-02-21T11:55:37.917964</t>
  </si>
  <si>
    <t>2026-02-21T11:55:38.924439</t>
  </si>
  <si>
    <t>2026-02-21T11:57:50.971706</t>
  </si>
  <si>
    <t>2026-02-21T11:57:51.982011</t>
  </si>
  <si>
    <t>2026-02-21T12:01:22.421545</t>
  </si>
  <si>
    <t>2026-02-21T12:01:23.426017</t>
  </si>
  <si>
    <t>2026-02-21T12:04:21.143976</t>
  </si>
  <si>
    <t>2026-02-21T12:04:22.151479</t>
  </si>
  <si>
    <t>2026-02-21T12:07:49.668359</t>
  </si>
  <si>
    <t>2026-02-21T12:07:50.677775</t>
  </si>
  <si>
    <t>2026-02-21T12:10:30.066101</t>
  </si>
  <si>
    <t>2026-02-21T12:10:31.081387</t>
  </si>
  <si>
    <t>2026-02-21T12:14:12.418020</t>
  </si>
  <si>
    <t>2026-02-21T12:14:13.427629</t>
  </si>
  <si>
    <t>2026-02-21T12:17:19.098074</t>
  </si>
  <si>
    <t>2026-02-21T12:17:20.101732</t>
  </si>
  <si>
    <t>2026-02-21T12:21:38.578595</t>
  </si>
  <si>
    <t>2026-02-21T12:21:39.584440</t>
  </si>
  <si>
    <t>2026-02-21T12:24:58.429272</t>
  </si>
  <si>
    <t>38.484,32</t>
  </si>
  <si>
    <t>2026-02-21T12:24:59.438054</t>
  </si>
  <si>
    <t>2026-02-21T12:29:26.521136</t>
  </si>
  <si>
    <t>2026-02-21T12:29:27.535551</t>
  </si>
  <si>
    <t>2026-02-21T12:32:14.927574</t>
  </si>
  <si>
    <t>2026-02-21T12:32:15.938570</t>
  </si>
  <si>
    <t>2026-02-21T12:35:09.967784</t>
  </si>
  <si>
    <t>43.584,32</t>
  </si>
  <si>
    <t>2026-02-21T12:35:10.974650</t>
  </si>
  <si>
    <t>2026-02-21T12:39:02.401239</t>
  </si>
  <si>
    <t>2026-02-21T12:39:03.411273</t>
  </si>
  <si>
    <t>2026-02-21T12:43:17.684717</t>
  </si>
  <si>
    <t>2026-02-21T12:43:18.687705</t>
  </si>
  <si>
    <t>2026-02-21T12:45:44.776723</t>
  </si>
  <si>
    <t>47.412,32</t>
  </si>
  <si>
    <t>2026-02-21T12:45:45.781052</t>
  </si>
  <si>
    <t>2026-02-21T12:47:57.357657</t>
  </si>
  <si>
    <t>2026-02-21T11:45:04.141700</t>
  </si>
  <si>
    <t>2026-02-21T11:48:16.929062</t>
  </si>
  <si>
    <t>2026-02-21T11:48:17.985551</t>
  </si>
  <si>
    <t>2026-02-21T11:50:33.460448</t>
  </si>
  <si>
    <t>2026-02-21T11:50:34.467820</t>
  </si>
  <si>
    <t>2026-02-21T11:52:45.070345</t>
  </si>
  <si>
    <t>2026-02-21T11:52:46.077842</t>
  </si>
  <si>
    <t>2026-02-21T11:55:40.981075</t>
  </si>
  <si>
    <t>2026-02-21T11:55:42.009994</t>
  </si>
  <si>
    <t>2026-02-21T11:58:14.650198</t>
  </si>
  <si>
    <t>2026-02-21T11:58:15.658070</t>
  </si>
  <si>
    <t>2026-02-21T12:02:15.393068</t>
  </si>
  <si>
    <t>2026-02-21T12:02:16.397043</t>
  </si>
  <si>
    <t>2026-02-21T12:05:06.646504</t>
  </si>
  <si>
    <t>2026-02-21T12:05:07.657057</t>
  </si>
  <si>
    <t>2026-02-21T12:08:26.674938</t>
  </si>
  <si>
    <t>2026-02-21T12:08:27.691414</t>
  </si>
  <si>
    <t>2026-02-21T12:10:38.346408</t>
  </si>
  <si>
    <t>41.676,31</t>
  </si>
  <si>
    <t>2026-02-21T12:10:39.359469</t>
  </si>
  <si>
    <t>2026-02-21T12:14:26.294747</t>
  </si>
  <si>
    <t>2026-02-21T12:14:27.304656</t>
  </si>
  <si>
    <t>2026-02-21T12:16:40.436371</t>
  </si>
  <si>
    <t>2026-02-21T12:16:41.444054</t>
  </si>
  <si>
    <t>2026-02-21T12:19:48.684917</t>
  </si>
  <si>
    <t>2026-02-21T12:19:49.693210</t>
  </si>
  <si>
    <t>2026-02-21T12:22:52.897936</t>
  </si>
  <si>
    <t>2026-02-21T12:22:53.909809</t>
  </si>
  <si>
    <t>2026-02-21T12:25:37.598423</t>
  </si>
  <si>
    <t>37.324,33</t>
  </si>
  <si>
    <t>2026-02-21T12:25:38.603392</t>
  </si>
  <si>
    <t>2026-02-21T12:28:59.796643</t>
  </si>
  <si>
    <t>37.248,32</t>
  </si>
  <si>
    <t>2026-02-21T12:29:00.799624</t>
  </si>
  <si>
    <t>2026-02-21T12:32:16.220744</t>
  </si>
  <si>
    <t>2026-02-21T12:32:17.228070</t>
  </si>
  <si>
    <t>2026-02-21T12:35:43.088155</t>
  </si>
  <si>
    <t>2026-02-21T12:35:44.100776</t>
  </si>
  <si>
    <t>2026-02-21T12:39:35.259135</t>
  </si>
  <si>
    <t>2026-02-21T12:39:36.273391</t>
  </si>
  <si>
    <t>2026-02-21T12:42:08.688138</t>
  </si>
  <si>
    <t>2026-02-21T12:42:09.701674</t>
  </si>
  <si>
    <t>2026-02-21T12:45:23.824666</t>
  </si>
  <si>
    <t>2026-02-21T11:45:04.141650</t>
  </si>
  <si>
    <t>2026-02-21T11:48:14.029211</t>
  </si>
  <si>
    <t>2026-02-21T11:48:15.034140</t>
  </si>
  <si>
    <t>2026-02-21T11:51:43.696161</t>
  </si>
  <si>
    <t>2026-02-21T11:51:44.707012</t>
  </si>
  <si>
    <t>2026-02-21T11:54:24.253451</t>
  </si>
  <si>
    <t>2026-02-21T11:54:25.260313</t>
  </si>
  <si>
    <t>2026-02-21T11:57:38.611680</t>
  </si>
  <si>
    <t>2026-02-21T11:57:39.621679</t>
  </si>
  <si>
    <t>2026-02-21T12:00:18.704307</t>
  </si>
  <si>
    <t>2026-02-21T12:00:19.711868</t>
  </si>
  <si>
    <t>2026-02-21T12:03:59.268839</t>
  </si>
  <si>
    <t>2026-02-21T12:04:00.278364</t>
  </si>
  <si>
    <t>2026-02-21T12:07:11.786701</t>
  </si>
  <si>
    <t>2026-02-21T12:07:12.793844</t>
  </si>
  <si>
    <t>2026-02-21T12:10:01.616254</t>
  </si>
  <si>
    <t>2026-02-21T12:10:02.623817</t>
  </si>
  <si>
    <t>2026-02-21T12:12:51.365927</t>
  </si>
  <si>
    <t>2026-02-21T12:12:52.373150</t>
  </si>
  <si>
    <t>2026-02-21T12:16:46.429106</t>
  </si>
  <si>
    <t>2026-02-21T12:16:47.437772</t>
  </si>
  <si>
    <t>2026-02-21T12:19:41.310820</t>
  </si>
  <si>
    <t>2026-02-21T12:19:42.318012</t>
  </si>
  <si>
    <t>2026-02-21T12:23:12.680917</t>
  </si>
  <si>
    <t>2026-02-21T12:23:13.695127</t>
  </si>
  <si>
    <t>2026-02-21T12:25:51.529434</t>
  </si>
  <si>
    <t>2026-02-21T12:25:52.537763</t>
  </si>
  <si>
    <t>2026-02-21T12:29:48.808882</t>
  </si>
  <si>
    <t>2026-02-21T12:29:49.819582</t>
  </si>
  <si>
    <t>2026-02-21T12:33:13.005754</t>
  </si>
  <si>
    <t>2026-02-21T12:33:14.018954</t>
  </si>
  <si>
    <t>2026-02-21T12:37:22.777776</t>
  </si>
  <si>
    <t>2026-02-21T12:37:23.784471</t>
  </si>
  <si>
    <t>2026-02-21T12:40:33.607299</t>
  </si>
  <si>
    <t>41.160,31</t>
  </si>
  <si>
    <t>2026-02-21T12:40:34.622365</t>
  </si>
  <si>
    <t>2026-02-21T12:44:25.154205</t>
  </si>
  <si>
    <t>2026-02-21T12:44:26.168185</t>
  </si>
  <si>
    <t>2026-02-21T12:46:26.446142</t>
  </si>
  <si>
    <t>2026-02-21T12:46:27.452807</t>
  </si>
  <si>
    <t>2026-02-21T12:48:01.706787</t>
  </si>
  <si>
    <t>2026-02-21T11:45:04.141390</t>
  </si>
  <si>
    <t>2026-02-21T11:46:57.583960</t>
  </si>
  <si>
    <t>2026-02-21T11:46:58.587906</t>
  </si>
  <si>
    <t>2026-02-21T11:49:53.317028</t>
  </si>
  <si>
    <t>2026-02-21T11:49:54.322831</t>
  </si>
  <si>
    <t>2026-02-21T11:53:25.607707</t>
  </si>
  <si>
    <t>2026-02-21T11:53:26.616561</t>
  </si>
  <si>
    <t>2026-02-21T11:56:58.082304</t>
  </si>
  <si>
    <t>2026-02-21T11:56:59.090904</t>
  </si>
  <si>
    <t>2026-02-21T11:59:52.095325</t>
  </si>
  <si>
    <t>2026-02-21T11:59:53.102300</t>
  </si>
  <si>
    <t>2026-02-21T12:02:03.355854</t>
  </si>
  <si>
    <t>2026-02-21T12:02:04.366813</t>
  </si>
  <si>
    <t>2026-02-21T12:04:25.514973</t>
  </si>
  <si>
    <t>32.248,28</t>
  </si>
  <si>
    <t>2026-02-21T12:04:26.522298</t>
  </si>
  <si>
    <t>2026-02-21T12:07:19.319612</t>
  </si>
  <si>
    <t>2026-02-21T12:07:20.328792</t>
  </si>
  <si>
    <t>2026-02-21T12:10:07.942378</t>
  </si>
  <si>
    <t>2026-02-21T12:10:08.956561</t>
  </si>
  <si>
    <t>2026-02-21T12:13:40.651920</t>
  </si>
  <si>
    <t>2026-02-21T12:13:41.661875</t>
  </si>
  <si>
    <t>2026-02-21T12:16:16.179400</t>
  </si>
  <si>
    <t>2026-02-21T12:16:17.185451</t>
  </si>
  <si>
    <t>2026-02-21T12:19:25.075261</t>
  </si>
  <si>
    <t>2026-02-21T12:19:26.083238</t>
  </si>
  <si>
    <t>2026-02-21T12:22:16.623509</t>
  </si>
  <si>
    <t>2026-02-21T12:22:17.628703</t>
  </si>
  <si>
    <t>2026-02-21T12:25:26.866777</t>
  </si>
  <si>
    <t>2026-02-21T12:25:27.871371</t>
  </si>
  <si>
    <t>2026-02-21T12:28:13.940522</t>
  </si>
  <si>
    <t>2026-02-21T12:28:14.947179</t>
  </si>
  <si>
    <t>2026-02-21T12:31:25.217136</t>
  </si>
  <si>
    <t>2026-02-21T12:31:26.230993</t>
  </si>
  <si>
    <t>2026-02-21T12:35:24.606886</t>
  </si>
  <si>
    <t>2026-02-21T12:35:25.621600</t>
  </si>
  <si>
    <t>2026-02-21T12:38:53.008316</t>
  </si>
  <si>
    <t>2026-02-21T12:38:54.012252</t>
  </si>
  <si>
    <t>2026-02-21T12:41:40.303927</t>
  </si>
  <si>
    <t>2026-02-21T12:41:41.318051</t>
  </si>
  <si>
    <t>2026-02-21T12:45:45.686639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</si>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</sst>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txData>
          <cx:v>total_balls_taken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total_balls_taken</a:t>
          </a:r>
        </a:p>
      </cx:txPr>
    </cx:title>
    <cx:plotArea>
      <cx:plotAreaRegion>
        <cx:series layoutId="boxWhisker" uniqueId="{88FB172F-BAC0-8C44-90EA-DDF1F1B1400F}">
          <cx:tx>
            <cx:txData>
              <cx:f>_xlchart.v1.16</cx:f>
              <cx:v>total_balls_taken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ball taking speed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balls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intake/sec</a:t>
            </a:r>
          </a:p>
        </cx:rich>
      </cx:tx>
    </cx:title>
    <cx:plotArea>
      <cx:plotAreaRegion>
        <cx:series layoutId="boxWhisker" uniqueId="{F48A3B88-29E2-5743-A077-17EAD98CF4C8}">
          <cx:tx>
            <cx:txData>
              <cx:f>_xlchart.v1.13</cx:f>
              <cx:v>ball taking speed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total_balls_taken</a:t>
            </a: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-1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=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collision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avoiding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off</a:t>
            </a: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2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=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collision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avoiding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on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endParaRPr>
          </a:p>
        </cx:rich>
      </cx:tx>
    </cx:title>
    <cx:plotArea>
      <cx:plotAreaRegion>
        <cx:series layoutId="boxWhisker" uniqueId="{CC8B3B53-B4A1-3A4E-A45D-2159593634FE}">
          <cx:tx>
            <cx:txData>
              <cx:f>_xlchart.v1.1</cx:f>
              <cx:v>total_balls_taken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ball taking speed</a:t>
            </a: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-1 = collision avoiding off</a:t>
            </a: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2 = collision avoiding on</a:t>
            </a:r>
          </a:p>
        </cx:rich>
      </cx:tx>
    </cx:title>
    <cx:plotArea>
      <cx:plotAreaRegion>
        <cx:series layoutId="boxWhisker" uniqueId="{FE085B73-B025-C34F-A112-518B1CE873AF}">
          <cx:tx>
            <cx:txData>
              <cx:f>_xlchart.v1.4</cx:f>
              <cx:v>ball taking speed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collision rate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-1 = collision avoiding off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2 = collision avoiding on</a:t>
            </a:r>
          </a:p>
        </cx:rich>
      </cx:tx>
    </cx:title>
    <cx:plotArea>
      <cx:plotAreaRegion>
        <cx:series layoutId="boxWhisker" uniqueId="{771DC271-79AC-5B46-9821-53836A13ABD1}">
          <cx:tx>
            <cx:txData>
              <cx:f>_xlchart.v1.7</cx:f>
              <cx:v>collision rate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1</a:t>
            </a: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0s collision probablity</a:t>
            </a: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-1 = collision avoiding off</a:t>
            </a: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2 = collision avoiding on</a:t>
            </a:r>
          </a:p>
        </cx:rich>
      </cx:tx>
    </cx:title>
    <cx:plotArea>
      <cx:plotAreaRegion>
        <cx:series layoutId="boxWhisker" uniqueId="{865A1848-995E-1041-AFF7-E97B7506A556}">
          <cx:tx>
            <cx:txData>
              <cx:f>_xlchart.v1.10</cx:f>
              <cx:v>10s collision probablity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215900</xdr:colOff>
      <xdr:row>3</xdr:row>
      <xdr:rowOff>12700</xdr:rowOff>
    </xdr:from>
    <xdr:to>
      <xdr:col>28</xdr:col>
      <xdr:colOff>419100</xdr:colOff>
      <xdr:row>40</xdr:row>
      <xdr:rowOff>201256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6BA689C-DA1E-D975-C4E8-2285E03695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05300" y="215900"/>
              <a:ext cx="6807200" cy="405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20</xdr:col>
      <xdr:colOff>228600</xdr:colOff>
      <xdr:row>43</xdr:row>
      <xdr:rowOff>25400</xdr:rowOff>
    </xdr:from>
    <xdr:to>
      <xdr:col>28</xdr:col>
      <xdr:colOff>431800</xdr:colOff>
      <xdr:row>85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58738CF-E5BB-5C17-F2EE-6658928F1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18000" y="4292600"/>
              <a:ext cx="6807200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28</xdr:col>
      <xdr:colOff>476250</xdr:colOff>
      <xdr:row>3</xdr:row>
      <xdr:rowOff>25400</xdr:rowOff>
    </xdr:from>
    <xdr:to>
      <xdr:col>31</xdr:col>
      <xdr:colOff>241300</xdr:colOff>
      <xdr:row>43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892587E-4C60-F5A8-8398-C054ECD44D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69650" y="228600"/>
              <a:ext cx="2241550" cy="40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28</xdr:col>
      <xdr:colOff>438150</xdr:colOff>
      <xdr:row>43</xdr:row>
      <xdr:rowOff>50800</xdr:rowOff>
    </xdr:from>
    <xdr:to>
      <xdr:col>31</xdr:col>
      <xdr:colOff>279400</xdr:colOff>
      <xdr:row>85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739C525-5A08-0A99-5DE4-046514D1E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31550" y="4318000"/>
              <a:ext cx="2317750" cy="396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31</xdr:col>
      <xdr:colOff>247650</xdr:colOff>
      <xdr:row>3</xdr:row>
      <xdr:rowOff>12700</xdr:rowOff>
    </xdr:from>
    <xdr:to>
      <xdr:col>34</xdr:col>
      <xdr:colOff>419100</xdr:colOff>
      <xdr:row>86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53BCEAE-62D8-C716-7664-7B69885F9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17550" y="215900"/>
              <a:ext cx="2647950" cy="811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34</xdr:col>
      <xdr:colOff>425450</xdr:colOff>
      <xdr:row>3</xdr:row>
      <xdr:rowOff>12700</xdr:rowOff>
    </xdr:from>
    <xdr:to>
      <xdr:col>37</xdr:col>
      <xdr:colOff>609600</xdr:colOff>
      <xdr:row>85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DD3966-AAF4-DBFB-D54B-19AA968A44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71850" y="215900"/>
              <a:ext cx="2660650" cy="810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A2AE-1630-1C44-9E2A-892A100B0E70}">
  <sheetPr filterMode="1"/>
  <dimension ref="A1:S561"/>
  <sheetViews>
    <sheetView tabSelected="1" zoomScale="150" workbookViewId="0">
      <selection activeCell="AP28" sqref="AP28"/>
    </sheetView>
  </sheetViews>
  <sheetFormatPr baseColWidth="10" defaultRowHeight="16" x14ac:dyDescent="0.2"/>
  <cols>
    <col min="17" max="17" width="14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1459</v>
      </c>
      <c r="R1" t="s">
        <v>1460</v>
      </c>
      <c r="S1" t="s">
        <v>1461</v>
      </c>
    </row>
    <row r="2" spans="1:19" hidden="1" x14ac:dyDescent="0.2">
      <c r="A2">
        <v>2</v>
      </c>
      <c r="B2" t="s">
        <v>17</v>
      </c>
      <c r="C2">
        <v>-1</v>
      </c>
      <c r="D2">
        <v>1</v>
      </c>
      <c r="E2">
        <v>1000</v>
      </c>
      <c r="F2" t="b">
        <v>1</v>
      </c>
      <c r="G2">
        <v>30.824000000000002</v>
      </c>
      <c r="H2">
        <v>31</v>
      </c>
      <c r="I2">
        <v>4</v>
      </c>
      <c r="J2">
        <v>3.18</v>
      </c>
      <c r="K2" t="s">
        <v>18</v>
      </c>
      <c r="L2">
        <v>0</v>
      </c>
      <c r="N2" t="s">
        <v>19</v>
      </c>
      <c r="O2" t="s">
        <v>20</v>
      </c>
      <c r="P2" t="s">
        <v>16</v>
      </c>
      <c r="Q2">
        <f t="shared" ref="Q2:Q65" si="0">H2/G2</f>
        <v>1.0057098364910459</v>
      </c>
      <c r="R2">
        <f t="shared" ref="R2:R65" si="1">I2/G2</f>
        <v>0.12976901116013495</v>
      </c>
      <c r="S2">
        <f t="shared" ref="S2:S65" si="2">1-EXP((-10*R2))</f>
        <v>0.72683796132066991</v>
      </c>
    </row>
    <row r="3" spans="1:19" hidden="1" x14ac:dyDescent="0.2">
      <c r="A3">
        <v>1</v>
      </c>
      <c r="B3" t="s">
        <v>1462</v>
      </c>
      <c r="C3">
        <v>-1</v>
      </c>
      <c r="D3">
        <v>1</v>
      </c>
      <c r="E3">
        <v>1000</v>
      </c>
      <c r="F3" t="b">
        <v>1</v>
      </c>
      <c r="G3">
        <v>30.824000000000002</v>
      </c>
      <c r="H3">
        <v>31</v>
      </c>
      <c r="I3">
        <v>4</v>
      </c>
      <c r="J3">
        <v>3.12</v>
      </c>
      <c r="K3" t="s">
        <v>18</v>
      </c>
      <c r="L3">
        <v>0</v>
      </c>
      <c r="N3" t="s">
        <v>1463</v>
      </c>
      <c r="O3" t="s">
        <v>1464</v>
      </c>
      <c r="P3" t="s">
        <v>16</v>
      </c>
      <c r="Q3">
        <f t="shared" si="0"/>
        <v>1.0057098364910459</v>
      </c>
      <c r="R3">
        <f t="shared" si="1"/>
        <v>0.12976901116013495</v>
      </c>
      <c r="S3">
        <f t="shared" si="2"/>
        <v>0.72683796132066991</v>
      </c>
    </row>
    <row r="4" spans="1:19" x14ac:dyDescent="0.2">
      <c r="A4">
        <v>9</v>
      </c>
      <c r="B4" t="s">
        <v>17</v>
      </c>
      <c r="C4">
        <v>2</v>
      </c>
      <c r="D4">
        <v>1</v>
      </c>
      <c r="E4">
        <v>1000</v>
      </c>
      <c r="F4" t="b">
        <v>1</v>
      </c>
      <c r="G4">
        <v>40.143999999999998</v>
      </c>
      <c r="H4">
        <v>31</v>
      </c>
      <c r="I4">
        <v>0</v>
      </c>
      <c r="J4">
        <v>0</v>
      </c>
      <c r="K4" t="s">
        <v>41</v>
      </c>
      <c r="L4">
        <v>0</v>
      </c>
      <c r="N4" t="s">
        <v>42</v>
      </c>
      <c r="O4" t="s">
        <v>43</v>
      </c>
      <c r="P4" t="s">
        <v>16</v>
      </c>
      <c r="Q4">
        <f t="shared" si="0"/>
        <v>0.7722200079713033</v>
      </c>
      <c r="R4">
        <f t="shared" si="1"/>
        <v>0</v>
      </c>
      <c r="S4">
        <f t="shared" si="2"/>
        <v>0</v>
      </c>
    </row>
    <row r="5" spans="1:19" x14ac:dyDescent="0.2">
      <c r="A5">
        <v>2</v>
      </c>
      <c r="B5" t="s">
        <v>1462</v>
      </c>
      <c r="C5">
        <v>2</v>
      </c>
      <c r="D5">
        <v>1</v>
      </c>
      <c r="E5">
        <v>1000</v>
      </c>
      <c r="F5" t="b">
        <v>1</v>
      </c>
      <c r="G5">
        <v>40.143999999999998</v>
      </c>
      <c r="H5">
        <v>31</v>
      </c>
      <c r="I5">
        <v>0</v>
      </c>
      <c r="J5">
        <v>0</v>
      </c>
      <c r="K5" t="s">
        <v>41</v>
      </c>
      <c r="L5">
        <v>0</v>
      </c>
      <c r="N5" t="s">
        <v>1465</v>
      </c>
      <c r="O5" t="s">
        <v>1466</v>
      </c>
      <c r="P5" t="s">
        <v>16</v>
      </c>
      <c r="Q5">
        <f t="shared" si="0"/>
        <v>0.7722200079713033</v>
      </c>
      <c r="R5">
        <f t="shared" si="1"/>
        <v>0</v>
      </c>
      <c r="S5">
        <f t="shared" si="2"/>
        <v>0</v>
      </c>
    </row>
    <row r="6" spans="1:19" hidden="1" x14ac:dyDescent="0.2">
      <c r="A6">
        <v>16</v>
      </c>
      <c r="B6" t="s">
        <v>17</v>
      </c>
      <c r="C6">
        <v>-1</v>
      </c>
      <c r="D6">
        <v>2</v>
      </c>
      <c r="E6">
        <v>1001</v>
      </c>
      <c r="F6" t="b">
        <v>1</v>
      </c>
      <c r="G6">
        <v>26.404</v>
      </c>
      <c r="H6">
        <v>32</v>
      </c>
      <c r="I6">
        <v>4</v>
      </c>
      <c r="J6">
        <v>2.34</v>
      </c>
      <c r="K6" t="s">
        <v>59</v>
      </c>
      <c r="L6">
        <v>0</v>
      </c>
      <c r="N6" t="s">
        <v>60</v>
      </c>
      <c r="O6" t="s">
        <v>61</v>
      </c>
      <c r="P6" t="s">
        <v>16</v>
      </c>
      <c r="Q6">
        <f t="shared" si="0"/>
        <v>1.2119375852143615</v>
      </c>
      <c r="R6">
        <f t="shared" si="1"/>
        <v>0.15149219815179518</v>
      </c>
      <c r="S6">
        <f t="shared" si="2"/>
        <v>0.78017466538232383</v>
      </c>
    </row>
    <row r="7" spans="1:19" hidden="1" x14ac:dyDescent="0.2">
      <c r="A7">
        <v>3</v>
      </c>
      <c r="B7" t="s">
        <v>1462</v>
      </c>
      <c r="C7">
        <v>-1</v>
      </c>
      <c r="D7">
        <v>2</v>
      </c>
      <c r="E7">
        <v>1001</v>
      </c>
      <c r="F7" t="b">
        <v>1</v>
      </c>
      <c r="G7">
        <v>26.404</v>
      </c>
      <c r="H7">
        <v>32</v>
      </c>
      <c r="I7">
        <v>4</v>
      </c>
      <c r="J7">
        <v>2.34</v>
      </c>
      <c r="K7" t="s">
        <v>59</v>
      </c>
      <c r="L7">
        <v>0</v>
      </c>
      <c r="N7" t="s">
        <v>1467</v>
      </c>
      <c r="O7" t="s">
        <v>1468</v>
      </c>
      <c r="P7" t="s">
        <v>16</v>
      </c>
      <c r="Q7">
        <f t="shared" si="0"/>
        <v>1.2119375852143615</v>
      </c>
      <c r="R7">
        <f t="shared" si="1"/>
        <v>0.15149219815179518</v>
      </c>
      <c r="S7">
        <f t="shared" si="2"/>
        <v>0.78017466538232383</v>
      </c>
    </row>
    <row r="8" spans="1:19" x14ac:dyDescent="0.2">
      <c r="A8">
        <v>23</v>
      </c>
      <c r="B8" t="s">
        <v>17</v>
      </c>
      <c r="C8">
        <v>2</v>
      </c>
      <c r="D8">
        <v>2</v>
      </c>
      <c r="E8">
        <v>1001</v>
      </c>
      <c r="F8" t="b">
        <v>1</v>
      </c>
      <c r="G8">
        <v>46.024000000000001</v>
      </c>
      <c r="H8">
        <v>32</v>
      </c>
      <c r="I8">
        <v>0</v>
      </c>
      <c r="J8">
        <v>0</v>
      </c>
      <c r="K8" t="s">
        <v>77</v>
      </c>
      <c r="L8">
        <v>0</v>
      </c>
      <c r="N8" t="s">
        <v>78</v>
      </c>
      <c r="O8" t="s">
        <v>79</v>
      </c>
      <c r="P8" t="s">
        <v>16</v>
      </c>
      <c r="Q8">
        <f t="shared" si="0"/>
        <v>0.69528941421866852</v>
      </c>
      <c r="R8">
        <f t="shared" si="1"/>
        <v>0</v>
      </c>
      <c r="S8">
        <f t="shared" si="2"/>
        <v>0</v>
      </c>
    </row>
    <row r="9" spans="1:19" x14ac:dyDescent="0.2">
      <c r="A9">
        <v>4</v>
      </c>
      <c r="B9" t="s">
        <v>1462</v>
      </c>
      <c r="C9">
        <v>2</v>
      </c>
      <c r="D9">
        <v>2</v>
      </c>
      <c r="E9">
        <v>1001</v>
      </c>
      <c r="F9" t="b">
        <v>1</v>
      </c>
      <c r="G9">
        <v>46.024000000000001</v>
      </c>
      <c r="H9">
        <v>32</v>
      </c>
      <c r="I9">
        <v>0</v>
      </c>
      <c r="J9">
        <v>0</v>
      </c>
      <c r="K9" t="s">
        <v>77</v>
      </c>
      <c r="L9">
        <v>0</v>
      </c>
      <c r="N9" t="s">
        <v>1469</v>
      </c>
      <c r="O9" t="s">
        <v>1470</v>
      </c>
      <c r="P9" t="s">
        <v>16</v>
      </c>
      <c r="Q9">
        <f t="shared" si="0"/>
        <v>0.69528941421866852</v>
      </c>
      <c r="R9">
        <f t="shared" si="1"/>
        <v>0</v>
      </c>
      <c r="S9">
        <f t="shared" si="2"/>
        <v>0</v>
      </c>
    </row>
    <row r="10" spans="1:19" hidden="1" x14ac:dyDescent="0.2">
      <c r="A10">
        <v>30</v>
      </c>
      <c r="B10" t="s">
        <v>17</v>
      </c>
      <c r="C10">
        <v>-1</v>
      </c>
      <c r="D10">
        <v>3</v>
      </c>
      <c r="E10">
        <v>1002</v>
      </c>
      <c r="F10" t="b">
        <v>1</v>
      </c>
      <c r="G10">
        <v>26.968</v>
      </c>
      <c r="H10">
        <v>30</v>
      </c>
      <c r="I10">
        <v>4</v>
      </c>
      <c r="J10">
        <v>2.2200000000000002</v>
      </c>
      <c r="K10" t="s">
        <v>95</v>
      </c>
      <c r="L10">
        <v>0</v>
      </c>
      <c r="N10" t="s">
        <v>96</v>
      </c>
      <c r="O10" t="s">
        <v>97</v>
      </c>
      <c r="P10" t="s">
        <v>16</v>
      </c>
      <c r="Q10">
        <f t="shared" si="0"/>
        <v>1.1124295461287452</v>
      </c>
      <c r="R10">
        <f t="shared" si="1"/>
        <v>0.14832393948383268</v>
      </c>
      <c r="S10">
        <f t="shared" si="2"/>
        <v>0.77309852687918457</v>
      </c>
    </row>
    <row r="11" spans="1:19" hidden="1" x14ac:dyDescent="0.2">
      <c r="A11" t="s">
        <v>1631</v>
      </c>
      <c r="B11" t="s">
        <v>1462</v>
      </c>
      <c r="C11">
        <v>-1</v>
      </c>
      <c r="D11">
        <v>3</v>
      </c>
      <c r="E11">
        <v>1002</v>
      </c>
      <c r="F11" t="b">
        <v>1</v>
      </c>
      <c r="G11">
        <v>26.968</v>
      </c>
      <c r="H11">
        <v>30</v>
      </c>
      <c r="I11">
        <v>4</v>
      </c>
      <c r="J11">
        <v>2.2200000000000002</v>
      </c>
      <c r="K11" t="s">
        <v>95</v>
      </c>
      <c r="L11">
        <v>0</v>
      </c>
      <c r="N11" t="s">
        <v>1471</v>
      </c>
      <c r="O11" t="s">
        <v>1472</v>
      </c>
      <c r="P11" t="s">
        <v>16</v>
      </c>
      <c r="Q11">
        <f t="shared" si="0"/>
        <v>1.1124295461287452</v>
      </c>
      <c r="R11">
        <f t="shared" si="1"/>
        <v>0.14832393948383268</v>
      </c>
      <c r="S11">
        <f t="shared" si="2"/>
        <v>0.77309852687918457</v>
      </c>
    </row>
    <row r="12" spans="1:19" x14ac:dyDescent="0.2">
      <c r="A12">
        <v>37</v>
      </c>
      <c r="B12" t="s">
        <v>17</v>
      </c>
      <c r="C12">
        <v>2</v>
      </c>
      <c r="D12">
        <v>3</v>
      </c>
      <c r="E12">
        <v>1002</v>
      </c>
      <c r="F12" t="b">
        <v>1</v>
      </c>
      <c r="G12">
        <v>45.095999999999997</v>
      </c>
      <c r="H12">
        <v>29</v>
      </c>
      <c r="I12">
        <v>2</v>
      </c>
      <c r="J12">
        <v>0.48</v>
      </c>
      <c r="K12" t="s">
        <v>113</v>
      </c>
      <c r="L12">
        <v>0</v>
      </c>
      <c r="N12" t="s">
        <v>114</v>
      </c>
      <c r="O12" t="s">
        <v>115</v>
      </c>
      <c r="P12" t="s">
        <v>16</v>
      </c>
      <c r="Q12">
        <f t="shared" si="0"/>
        <v>0.64307255632428606</v>
      </c>
      <c r="R12">
        <f t="shared" si="1"/>
        <v>4.4349831470640415E-2</v>
      </c>
      <c r="S12">
        <f t="shared" si="2"/>
        <v>0.35821268466658229</v>
      </c>
    </row>
    <row r="13" spans="1:19" x14ac:dyDescent="0.2">
      <c r="A13">
        <v>6</v>
      </c>
      <c r="B13" t="s">
        <v>1462</v>
      </c>
      <c r="C13">
        <v>2</v>
      </c>
      <c r="D13">
        <v>3</v>
      </c>
      <c r="E13">
        <v>1002</v>
      </c>
      <c r="F13" t="b">
        <v>1</v>
      </c>
      <c r="G13">
        <v>45.095999999999997</v>
      </c>
      <c r="H13">
        <v>29</v>
      </c>
      <c r="I13">
        <v>2</v>
      </c>
      <c r="J13">
        <v>0.48</v>
      </c>
      <c r="K13" t="s">
        <v>113</v>
      </c>
      <c r="L13">
        <v>0</v>
      </c>
      <c r="N13" t="s">
        <v>1473</v>
      </c>
      <c r="O13" t="s">
        <v>1474</v>
      </c>
      <c r="P13" t="s">
        <v>16</v>
      </c>
      <c r="Q13">
        <f t="shared" si="0"/>
        <v>0.64307255632428606</v>
      </c>
      <c r="R13">
        <f t="shared" si="1"/>
        <v>4.4349831470640415E-2</v>
      </c>
      <c r="S13">
        <f t="shared" si="2"/>
        <v>0.35821268466658229</v>
      </c>
    </row>
    <row r="14" spans="1:19" hidden="1" x14ac:dyDescent="0.2">
      <c r="A14">
        <v>44</v>
      </c>
      <c r="B14" t="s">
        <v>17</v>
      </c>
      <c r="C14">
        <v>-1</v>
      </c>
      <c r="D14">
        <v>4</v>
      </c>
      <c r="E14">
        <v>1003</v>
      </c>
      <c r="F14" t="b">
        <v>1</v>
      </c>
      <c r="G14">
        <v>34.631999999999998</v>
      </c>
      <c r="H14">
        <v>32</v>
      </c>
      <c r="I14">
        <v>4</v>
      </c>
      <c r="J14">
        <v>2.76</v>
      </c>
      <c r="K14" t="s">
        <v>131</v>
      </c>
      <c r="L14">
        <v>0</v>
      </c>
      <c r="N14" t="s">
        <v>132</v>
      </c>
      <c r="O14" t="s">
        <v>133</v>
      </c>
      <c r="P14" t="s">
        <v>16</v>
      </c>
      <c r="Q14">
        <f t="shared" si="0"/>
        <v>0.92400092400092404</v>
      </c>
      <c r="R14">
        <f t="shared" si="1"/>
        <v>0.1155001155001155</v>
      </c>
      <c r="S14">
        <f t="shared" si="2"/>
        <v>0.68494282698819553</v>
      </c>
    </row>
    <row r="15" spans="1:19" hidden="1" x14ac:dyDescent="0.2">
      <c r="A15">
        <v>7</v>
      </c>
      <c r="B15" t="s">
        <v>1462</v>
      </c>
      <c r="C15">
        <v>-1</v>
      </c>
      <c r="D15">
        <v>4</v>
      </c>
      <c r="E15">
        <v>1003</v>
      </c>
      <c r="F15" t="b">
        <v>1</v>
      </c>
      <c r="G15">
        <v>34.631999999999998</v>
      </c>
      <c r="H15">
        <v>32</v>
      </c>
      <c r="I15">
        <v>4</v>
      </c>
      <c r="J15">
        <v>2.76</v>
      </c>
      <c r="K15" t="s">
        <v>131</v>
      </c>
      <c r="L15">
        <v>0</v>
      </c>
      <c r="N15" t="s">
        <v>1475</v>
      </c>
      <c r="O15" t="s">
        <v>1476</v>
      </c>
      <c r="P15" t="s">
        <v>16</v>
      </c>
      <c r="Q15">
        <f t="shared" si="0"/>
        <v>0.92400092400092404</v>
      </c>
      <c r="R15">
        <f t="shared" si="1"/>
        <v>0.1155001155001155</v>
      </c>
      <c r="S15">
        <f t="shared" si="2"/>
        <v>0.68494282698819553</v>
      </c>
    </row>
    <row r="16" spans="1:19" x14ac:dyDescent="0.2">
      <c r="A16">
        <v>51</v>
      </c>
      <c r="B16" t="s">
        <v>17</v>
      </c>
      <c r="C16">
        <v>2</v>
      </c>
      <c r="D16">
        <v>4</v>
      </c>
      <c r="E16">
        <v>1003</v>
      </c>
      <c r="F16" t="b">
        <v>1</v>
      </c>
      <c r="G16">
        <v>38.392000000000003</v>
      </c>
      <c r="H16">
        <v>33</v>
      </c>
      <c r="I16">
        <v>0</v>
      </c>
      <c r="J16">
        <v>0</v>
      </c>
      <c r="K16" t="s">
        <v>149</v>
      </c>
      <c r="L16">
        <v>0</v>
      </c>
      <c r="N16" t="s">
        <v>150</v>
      </c>
      <c r="O16" t="s">
        <v>151</v>
      </c>
      <c r="P16" t="s">
        <v>16</v>
      </c>
      <c r="Q16">
        <f t="shared" si="0"/>
        <v>0.85955407376536774</v>
      </c>
      <c r="R16">
        <f t="shared" si="1"/>
        <v>0</v>
      </c>
      <c r="S16">
        <f t="shared" si="2"/>
        <v>0</v>
      </c>
    </row>
    <row r="17" spans="1:19" x14ac:dyDescent="0.2">
      <c r="A17">
        <v>8</v>
      </c>
      <c r="B17" t="s">
        <v>1462</v>
      </c>
      <c r="C17">
        <v>2</v>
      </c>
      <c r="D17">
        <v>4</v>
      </c>
      <c r="E17">
        <v>1003</v>
      </c>
      <c r="F17" t="b">
        <v>1</v>
      </c>
      <c r="G17">
        <v>38.392000000000003</v>
      </c>
      <c r="H17">
        <v>33</v>
      </c>
      <c r="I17">
        <v>0</v>
      </c>
      <c r="J17">
        <v>0</v>
      </c>
      <c r="K17" t="s">
        <v>149</v>
      </c>
      <c r="L17">
        <v>0</v>
      </c>
      <c r="N17" t="s">
        <v>1477</v>
      </c>
      <c r="O17" t="s">
        <v>1478</v>
      </c>
      <c r="P17" t="s">
        <v>16</v>
      </c>
      <c r="Q17">
        <f t="shared" si="0"/>
        <v>0.85955407376536774</v>
      </c>
      <c r="R17">
        <f t="shared" si="1"/>
        <v>0</v>
      </c>
      <c r="S17">
        <f t="shared" si="2"/>
        <v>0</v>
      </c>
    </row>
    <row r="18" spans="1:19" hidden="1" x14ac:dyDescent="0.2">
      <c r="A18">
        <v>58</v>
      </c>
      <c r="B18" t="s">
        <v>17</v>
      </c>
      <c r="C18">
        <v>-1</v>
      </c>
      <c r="D18">
        <v>5</v>
      </c>
      <c r="E18">
        <v>1004</v>
      </c>
      <c r="F18" t="b">
        <v>1</v>
      </c>
      <c r="G18">
        <v>29.492000000000001</v>
      </c>
      <c r="H18">
        <v>36</v>
      </c>
      <c r="I18">
        <v>5</v>
      </c>
      <c r="J18">
        <v>3.24</v>
      </c>
      <c r="K18" t="s">
        <v>167</v>
      </c>
      <c r="L18">
        <v>0</v>
      </c>
      <c r="N18" t="s">
        <v>168</v>
      </c>
      <c r="O18" t="s">
        <v>169</v>
      </c>
      <c r="P18" t="s">
        <v>16</v>
      </c>
      <c r="Q18">
        <f t="shared" si="0"/>
        <v>1.2206700122067</v>
      </c>
      <c r="R18">
        <f t="shared" si="1"/>
        <v>0.16953750169537501</v>
      </c>
      <c r="S18">
        <f t="shared" si="2"/>
        <v>0.81646961088698866</v>
      </c>
    </row>
    <row r="19" spans="1:19" hidden="1" x14ac:dyDescent="0.2">
      <c r="A19">
        <v>9</v>
      </c>
      <c r="B19" t="s">
        <v>1462</v>
      </c>
      <c r="C19">
        <v>-1</v>
      </c>
      <c r="D19">
        <v>5</v>
      </c>
      <c r="E19">
        <v>1004</v>
      </c>
      <c r="F19" t="b">
        <v>1</v>
      </c>
      <c r="G19">
        <v>29.492000000000001</v>
      </c>
      <c r="H19">
        <v>36</v>
      </c>
      <c r="I19">
        <v>5</v>
      </c>
      <c r="J19">
        <v>3.24</v>
      </c>
      <c r="K19" t="s">
        <v>167</v>
      </c>
      <c r="L19">
        <v>0</v>
      </c>
      <c r="N19" t="s">
        <v>1479</v>
      </c>
      <c r="O19" t="s">
        <v>1480</v>
      </c>
      <c r="P19" t="s">
        <v>16</v>
      </c>
      <c r="Q19">
        <f t="shared" si="0"/>
        <v>1.2206700122067</v>
      </c>
      <c r="R19">
        <f t="shared" si="1"/>
        <v>0.16953750169537501</v>
      </c>
      <c r="S19">
        <f t="shared" si="2"/>
        <v>0.81646961088698866</v>
      </c>
    </row>
    <row r="20" spans="1:19" x14ac:dyDescent="0.2">
      <c r="A20">
        <v>65</v>
      </c>
      <c r="B20" t="s">
        <v>17</v>
      </c>
      <c r="C20">
        <v>2</v>
      </c>
      <c r="D20">
        <v>5</v>
      </c>
      <c r="E20">
        <v>1004</v>
      </c>
      <c r="F20" t="b">
        <v>1</v>
      </c>
      <c r="G20">
        <v>40.64</v>
      </c>
      <c r="H20">
        <v>31</v>
      </c>
      <c r="I20">
        <v>0</v>
      </c>
      <c r="J20">
        <v>0</v>
      </c>
      <c r="K20" t="s">
        <v>185</v>
      </c>
      <c r="L20">
        <v>0</v>
      </c>
      <c r="N20" t="s">
        <v>186</v>
      </c>
      <c r="O20" t="s">
        <v>187</v>
      </c>
      <c r="P20" t="s">
        <v>16</v>
      </c>
      <c r="Q20">
        <f t="shared" si="0"/>
        <v>0.76279527559055116</v>
      </c>
      <c r="R20">
        <f t="shared" si="1"/>
        <v>0</v>
      </c>
      <c r="S20">
        <f t="shared" si="2"/>
        <v>0</v>
      </c>
    </row>
    <row r="21" spans="1:19" x14ac:dyDescent="0.2">
      <c r="A21">
        <v>10</v>
      </c>
      <c r="B21" t="s">
        <v>1462</v>
      </c>
      <c r="C21">
        <v>2</v>
      </c>
      <c r="D21">
        <v>5</v>
      </c>
      <c r="E21">
        <v>1004</v>
      </c>
      <c r="F21" t="b">
        <v>1</v>
      </c>
      <c r="G21">
        <v>40.64</v>
      </c>
      <c r="H21">
        <v>31</v>
      </c>
      <c r="I21">
        <v>0</v>
      </c>
      <c r="J21">
        <v>0</v>
      </c>
      <c r="K21" t="s">
        <v>185</v>
      </c>
      <c r="L21">
        <v>0</v>
      </c>
      <c r="N21" t="s">
        <v>1481</v>
      </c>
      <c r="O21" t="s">
        <v>1482</v>
      </c>
      <c r="P21" t="s">
        <v>16</v>
      </c>
      <c r="Q21">
        <f t="shared" si="0"/>
        <v>0.76279527559055116</v>
      </c>
      <c r="R21">
        <f t="shared" si="1"/>
        <v>0</v>
      </c>
      <c r="S21">
        <f t="shared" si="2"/>
        <v>0</v>
      </c>
    </row>
    <row r="22" spans="1:19" hidden="1" x14ac:dyDescent="0.2">
      <c r="A22">
        <v>72</v>
      </c>
      <c r="B22" t="s">
        <v>17</v>
      </c>
      <c r="C22">
        <v>-1</v>
      </c>
      <c r="D22">
        <v>6</v>
      </c>
      <c r="E22">
        <v>1005</v>
      </c>
      <c r="F22" t="b">
        <v>1</v>
      </c>
      <c r="G22">
        <v>33.816000000000003</v>
      </c>
      <c r="H22">
        <v>28</v>
      </c>
      <c r="I22">
        <v>3</v>
      </c>
      <c r="J22">
        <v>5.16</v>
      </c>
      <c r="K22" t="s">
        <v>203</v>
      </c>
      <c r="L22">
        <v>0</v>
      </c>
      <c r="N22" t="s">
        <v>204</v>
      </c>
      <c r="O22" t="s">
        <v>205</v>
      </c>
      <c r="P22" t="s">
        <v>16</v>
      </c>
      <c r="Q22">
        <f t="shared" si="0"/>
        <v>0.8280104092737165</v>
      </c>
      <c r="R22">
        <f t="shared" si="1"/>
        <v>8.8715400993612484E-2</v>
      </c>
      <c r="S22">
        <f t="shared" si="2"/>
        <v>0.58817386039094344</v>
      </c>
    </row>
    <row r="23" spans="1:19" hidden="1" x14ac:dyDescent="0.2">
      <c r="A23">
        <v>11</v>
      </c>
      <c r="B23" t="s">
        <v>1462</v>
      </c>
      <c r="C23">
        <v>-1</v>
      </c>
      <c r="D23">
        <v>6</v>
      </c>
      <c r="E23">
        <v>1005</v>
      </c>
      <c r="F23" t="b">
        <v>1</v>
      </c>
      <c r="G23">
        <v>33.816000000000003</v>
      </c>
      <c r="H23">
        <v>28</v>
      </c>
      <c r="I23">
        <v>3</v>
      </c>
      <c r="J23">
        <v>5.16</v>
      </c>
      <c r="K23" t="s">
        <v>203</v>
      </c>
      <c r="L23">
        <v>0</v>
      </c>
      <c r="N23" t="s">
        <v>1483</v>
      </c>
      <c r="O23" t="s">
        <v>1484</v>
      </c>
      <c r="P23" t="s">
        <v>16</v>
      </c>
      <c r="Q23">
        <f t="shared" si="0"/>
        <v>0.8280104092737165</v>
      </c>
      <c r="R23">
        <f t="shared" si="1"/>
        <v>8.8715400993612484E-2</v>
      </c>
      <c r="S23">
        <f t="shared" si="2"/>
        <v>0.58817386039094344</v>
      </c>
    </row>
    <row r="24" spans="1:19" x14ac:dyDescent="0.2">
      <c r="A24">
        <v>79</v>
      </c>
      <c r="B24" t="s">
        <v>17</v>
      </c>
      <c r="C24">
        <v>2</v>
      </c>
      <c r="D24">
        <v>6</v>
      </c>
      <c r="E24">
        <v>1005</v>
      </c>
      <c r="F24" t="b">
        <v>1</v>
      </c>
      <c r="G24">
        <v>48.375999999999998</v>
      </c>
      <c r="H24">
        <v>30</v>
      </c>
      <c r="I24">
        <v>3</v>
      </c>
      <c r="J24">
        <v>0.36</v>
      </c>
      <c r="K24" t="s">
        <v>221</v>
      </c>
      <c r="L24">
        <v>0</v>
      </c>
      <c r="N24" t="s">
        <v>222</v>
      </c>
      <c r="O24" t="s">
        <v>223</v>
      </c>
      <c r="P24" t="s">
        <v>16</v>
      </c>
      <c r="Q24">
        <f t="shared" si="0"/>
        <v>0.62014221928228874</v>
      </c>
      <c r="R24">
        <f t="shared" si="1"/>
        <v>6.2014221928228877E-2</v>
      </c>
      <c r="S24">
        <f t="shared" si="2"/>
        <v>0.46213206303708998</v>
      </c>
    </row>
    <row r="25" spans="1:19" x14ac:dyDescent="0.2">
      <c r="A25">
        <v>12</v>
      </c>
      <c r="B25" t="s">
        <v>1462</v>
      </c>
      <c r="C25">
        <v>2</v>
      </c>
      <c r="D25">
        <v>6</v>
      </c>
      <c r="E25">
        <v>1005</v>
      </c>
      <c r="F25" t="b">
        <v>1</v>
      </c>
      <c r="G25">
        <v>48.375999999999998</v>
      </c>
      <c r="H25">
        <v>30</v>
      </c>
      <c r="I25">
        <v>3</v>
      </c>
      <c r="J25">
        <v>0.36</v>
      </c>
      <c r="K25" t="s">
        <v>221</v>
      </c>
      <c r="L25">
        <v>0</v>
      </c>
      <c r="N25" t="s">
        <v>1485</v>
      </c>
      <c r="O25" t="s">
        <v>1486</v>
      </c>
      <c r="P25" t="s">
        <v>16</v>
      </c>
      <c r="Q25">
        <f t="shared" si="0"/>
        <v>0.62014221928228874</v>
      </c>
      <c r="R25">
        <f t="shared" si="1"/>
        <v>6.2014221928228877E-2</v>
      </c>
      <c r="S25">
        <f t="shared" si="2"/>
        <v>0.46213206303708998</v>
      </c>
    </row>
    <row r="26" spans="1:19" hidden="1" x14ac:dyDescent="0.2">
      <c r="A26">
        <v>86</v>
      </c>
      <c r="B26" t="s">
        <v>17</v>
      </c>
      <c r="C26">
        <v>-1</v>
      </c>
      <c r="D26">
        <v>7</v>
      </c>
      <c r="E26">
        <v>1006</v>
      </c>
      <c r="F26" t="b">
        <v>1</v>
      </c>
      <c r="G26">
        <v>36.816000000000003</v>
      </c>
      <c r="H26">
        <v>35</v>
      </c>
      <c r="I26">
        <v>6</v>
      </c>
      <c r="J26">
        <v>11.7</v>
      </c>
      <c r="K26" t="s">
        <v>239</v>
      </c>
      <c r="L26">
        <v>0</v>
      </c>
      <c r="N26" t="s">
        <v>240</v>
      </c>
      <c r="O26" t="s">
        <v>241</v>
      </c>
      <c r="P26" t="s">
        <v>16</v>
      </c>
      <c r="Q26">
        <f t="shared" si="0"/>
        <v>0.95067362016514556</v>
      </c>
      <c r="R26">
        <f t="shared" si="1"/>
        <v>0.16297262059973924</v>
      </c>
      <c r="S26">
        <f t="shared" si="2"/>
        <v>0.80401677418634132</v>
      </c>
    </row>
    <row r="27" spans="1:19" hidden="1" x14ac:dyDescent="0.2">
      <c r="A27">
        <v>13</v>
      </c>
      <c r="B27" t="s">
        <v>1462</v>
      </c>
      <c r="C27">
        <v>-1</v>
      </c>
      <c r="D27">
        <v>7</v>
      </c>
      <c r="E27">
        <v>1006</v>
      </c>
      <c r="F27" t="b">
        <v>1</v>
      </c>
      <c r="G27">
        <v>36.816000000000003</v>
      </c>
      <c r="H27">
        <v>35</v>
      </c>
      <c r="I27">
        <v>6</v>
      </c>
      <c r="J27">
        <v>11.7</v>
      </c>
      <c r="K27" t="s">
        <v>239</v>
      </c>
      <c r="L27">
        <v>0</v>
      </c>
      <c r="N27" t="s">
        <v>1487</v>
      </c>
      <c r="O27" t="s">
        <v>1488</v>
      </c>
      <c r="P27" t="s">
        <v>16</v>
      </c>
      <c r="Q27">
        <f t="shared" si="0"/>
        <v>0.95067362016514556</v>
      </c>
      <c r="R27">
        <f t="shared" si="1"/>
        <v>0.16297262059973924</v>
      </c>
      <c r="S27">
        <f t="shared" si="2"/>
        <v>0.80401677418634132</v>
      </c>
    </row>
    <row r="28" spans="1:19" x14ac:dyDescent="0.2">
      <c r="A28">
        <v>93</v>
      </c>
      <c r="B28" t="s">
        <v>17</v>
      </c>
      <c r="C28">
        <v>2</v>
      </c>
      <c r="D28">
        <v>7</v>
      </c>
      <c r="E28">
        <v>1006</v>
      </c>
      <c r="F28" t="b">
        <v>1</v>
      </c>
      <c r="G28">
        <v>37.923999999999999</v>
      </c>
      <c r="H28">
        <v>32</v>
      </c>
      <c r="I28">
        <v>2</v>
      </c>
      <c r="J28">
        <v>0.36</v>
      </c>
      <c r="K28" t="s">
        <v>257</v>
      </c>
      <c r="L28">
        <v>0</v>
      </c>
      <c r="N28" t="s">
        <v>258</v>
      </c>
      <c r="O28" t="s">
        <v>259</v>
      </c>
      <c r="P28" t="s">
        <v>16</v>
      </c>
      <c r="Q28">
        <f t="shared" si="0"/>
        <v>0.84379284885560601</v>
      </c>
      <c r="R28">
        <f t="shared" si="1"/>
        <v>5.2737053053475376E-2</v>
      </c>
      <c r="S28">
        <f t="shared" si="2"/>
        <v>0.40984527490243816</v>
      </c>
    </row>
    <row r="29" spans="1:19" x14ac:dyDescent="0.2">
      <c r="A29">
        <v>14</v>
      </c>
      <c r="B29" t="s">
        <v>1462</v>
      </c>
      <c r="C29">
        <v>2</v>
      </c>
      <c r="D29">
        <v>7</v>
      </c>
      <c r="E29">
        <v>1006</v>
      </c>
      <c r="F29" t="b">
        <v>1</v>
      </c>
      <c r="G29">
        <v>38.484000000000002</v>
      </c>
      <c r="H29">
        <v>32</v>
      </c>
      <c r="I29">
        <v>2</v>
      </c>
      <c r="J29">
        <v>0.36</v>
      </c>
      <c r="K29" t="s">
        <v>1489</v>
      </c>
      <c r="L29">
        <v>0</v>
      </c>
      <c r="N29" t="s">
        <v>1490</v>
      </c>
      <c r="O29" t="s">
        <v>1491</v>
      </c>
      <c r="P29" t="s">
        <v>16</v>
      </c>
      <c r="Q29">
        <f t="shared" si="0"/>
        <v>0.83151439559297369</v>
      </c>
      <c r="R29">
        <f t="shared" si="1"/>
        <v>5.1969649724560855E-2</v>
      </c>
      <c r="S29">
        <f t="shared" si="2"/>
        <v>0.40529898602137437</v>
      </c>
    </row>
    <row r="30" spans="1:19" hidden="1" x14ac:dyDescent="0.2">
      <c r="A30">
        <v>100</v>
      </c>
      <c r="B30" t="s">
        <v>17</v>
      </c>
      <c r="C30">
        <v>-1</v>
      </c>
      <c r="D30">
        <v>8</v>
      </c>
      <c r="E30">
        <v>1007</v>
      </c>
      <c r="F30" t="b">
        <v>1</v>
      </c>
      <c r="G30">
        <v>33.783999999999999</v>
      </c>
      <c r="H30">
        <v>34</v>
      </c>
      <c r="I30">
        <v>7</v>
      </c>
      <c r="J30">
        <v>6.72</v>
      </c>
      <c r="K30" t="s">
        <v>275</v>
      </c>
      <c r="L30">
        <v>0</v>
      </c>
      <c r="N30" t="s">
        <v>276</v>
      </c>
      <c r="O30" t="s">
        <v>277</v>
      </c>
      <c r="P30" t="s">
        <v>16</v>
      </c>
      <c r="Q30">
        <f t="shared" si="0"/>
        <v>1.0063935590812219</v>
      </c>
      <c r="R30">
        <f t="shared" si="1"/>
        <v>0.20719867392848687</v>
      </c>
      <c r="S30">
        <f t="shared" si="2"/>
        <v>0.87406466767347724</v>
      </c>
    </row>
    <row r="31" spans="1:19" hidden="1" x14ac:dyDescent="0.2">
      <c r="A31">
        <v>15</v>
      </c>
      <c r="B31" t="s">
        <v>1462</v>
      </c>
      <c r="C31">
        <v>-1</v>
      </c>
      <c r="D31">
        <v>8</v>
      </c>
      <c r="E31">
        <v>1007</v>
      </c>
      <c r="F31" t="b">
        <v>1</v>
      </c>
      <c r="G31">
        <v>33.783999999999999</v>
      </c>
      <c r="H31">
        <v>34</v>
      </c>
      <c r="I31">
        <v>7</v>
      </c>
      <c r="J31">
        <v>6.72</v>
      </c>
      <c r="K31" t="s">
        <v>275</v>
      </c>
      <c r="L31">
        <v>0</v>
      </c>
      <c r="N31" t="s">
        <v>1492</v>
      </c>
      <c r="O31" t="s">
        <v>1493</v>
      </c>
      <c r="P31" t="s">
        <v>16</v>
      </c>
      <c r="Q31">
        <f t="shared" si="0"/>
        <v>1.0063935590812219</v>
      </c>
      <c r="R31">
        <f t="shared" si="1"/>
        <v>0.20719867392848687</v>
      </c>
      <c r="S31">
        <f t="shared" si="2"/>
        <v>0.87406466767347724</v>
      </c>
    </row>
    <row r="32" spans="1:19" x14ac:dyDescent="0.2">
      <c r="A32">
        <v>107</v>
      </c>
      <c r="B32" t="s">
        <v>17</v>
      </c>
      <c r="C32">
        <v>2</v>
      </c>
      <c r="D32">
        <v>8</v>
      </c>
      <c r="E32">
        <v>1007</v>
      </c>
      <c r="F32" t="b">
        <v>1</v>
      </c>
      <c r="G32">
        <v>31.372</v>
      </c>
      <c r="H32">
        <v>31</v>
      </c>
      <c r="I32">
        <v>0</v>
      </c>
      <c r="J32">
        <v>0</v>
      </c>
      <c r="K32" t="s">
        <v>293</v>
      </c>
      <c r="L32">
        <v>0</v>
      </c>
      <c r="N32" t="s">
        <v>294</v>
      </c>
      <c r="O32" t="s">
        <v>295</v>
      </c>
      <c r="P32" t="s">
        <v>16</v>
      </c>
      <c r="Q32">
        <f t="shared" si="0"/>
        <v>0.98814229249011853</v>
      </c>
      <c r="R32">
        <f t="shared" si="1"/>
        <v>0</v>
      </c>
      <c r="S32">
        <f t="shared" si="2"/>
        <v>0</v>
      </c>
    </row>
    <row r="33" spans="1:19" x14ac:dyDescent="0.2">
      <c r="A33">
        <v>16</v>
      </c>
      <c r="B33" t="s">
        <v>1462</v>
      </c>
      <c r="C33">
        <v>2</v>
      </c>
      <c r="D33">
        <v>8</v>
      </c>
      <c r="E33">
        <v>1007</v>
      </c>
      <c r="F33" t="b">
        <v>1</v>
      </c>
      <c r="G33">
        <v>31.372</v>
      </c>
      <c r="H33">
        <v>31</v>
      </c>
      <c r="I33">
        <v>0</v>
      </c>
      <c r="J33">
        <v>0</v>
      </c>
      <c r="K33" t="s">
        <v>293</v>
      </c>
      <c r="L33">
        <v>0</v>
      </c>
      <c r="N33" t="s">
        <v>1494</v>
      </c>
      <c r="O33" t="s">
        <v>1495</v>
      </c>
      <c r="P33" t="s">
        <v>16</v>
      </c>
      <c r="Q33">
        <f t="shared" si="0"/>
        <v>0.98814229249011853</v>
      </c>
      <c r="R33">
        <f t="shared" si="1"/>
        <v>0</v>
      </c>
      <c r="S33">
        <f t="shared" si="2"/>
        <v>0</v>
      </c>
    </row>
    <row r="34" spans="1:19" hidden="1" x14ac:dyDescent="0.2">
      <c r="A34">
        <v>114</v>
      </c>
      <c r="B34" t="s">
        <v>17</v>
      </c>
      <c r="C34">
        <v>-1</v>
      </c>
      <c r="D34">
        <v>9</v>
      </c>
      <c r="E34">
        <v>1008</v>
      </c>
      <c r="F34" t="b">
        <v>1</v>
      </c>
      <c r="G34">
        <v>43.363999999999997</v>
      </c>
      <c r="H34">
        <v>32</v>
      </c>
      <c r="I34">
        <v>6</v>
      </c>
      <c r="J34">
        <v>5.16</v>
      </c>
      <c r="K34" t="s">
        <v>311</v>
      </c>
      <c r="L34">
        <v>0</v>
      </c>
      <c r="N34" t="s">
        <v>312</v>
      </c>
      <c r="O34" t="s">
        <v>313</v>
      </c>
      <c r="P34" t="s">
        <v>16</v>
      </c>
      <c r="Q34">
        <f t="shared" si="0"/>
        <v>0.73793930449220557</v>
      </c>
      <c r="R34">
        <f t="shared" si="1"/>
        <v>0.13836361959228854</v>
      </c>
      <c r="S34">
        <f t="shared" si="2"/>
        <v>0.74933457468736098</v>
      </c>
    </row>
    <row r="35" spans="1:19" hidden="1" x14ac:dyDescent="0.2">
      <c r="A35">
        <v>17</v>
      </c>
      <c r="B35" t="s">
        <v>1462</v>
      </c>
      <c r="C35">
        <v>-1</v>
      </c>
      <c r="D35">
        <v>9</v>
      </c>
      <c r="E35">
        <v>1008</v>
      </c>
      <c r="F35" t="b">
        <v>1</v>
      </c>
      <c r="G35">
        <v>43.584000000000003</v>
      </c>
      <c r="H35">
        <v>32</v>
      </c>
      <c r="I35">
        <v>6</v>
      </c>
      <c r="J35">
        <v>5.28</v>
      </c>
      <c r="K35" t="s">
        <v>1496</v>
      </c>
      <c r="L35">
        <v>0</v>
      </c>
      <c r="N35" t="s">
        <v>1497</v>
      </c>
      <c r="O35" t="s">
        <v>1498</v>
      </c>
      <c r="P35" t="s">
        <v>16</v>
      </c>
      <c r="Q35">
        <f t="shared" si="0"/>
        <v>0.73421439060205573</v>
      </c>
      <c r="R35">
        <f t="shared" si="1"/>
        <v>0.13766519823788545</v>
      </c>
      <c r="S35">
        <f t="shared" si="2"/>
        <v>0.74757774593668613</v>
      </c>
    </row>
    <row r="36" spans="1:19" x14ac:dyDescent="0.2">
      <c r="A36">
        <v>121</v>
      </c>
      <c r="B36" t="s">
        <v>17</v>
      </c>
      <c r="C36">
        <v>2</v>
      </c>
      <c r="D36">
        <v>9</v>
      </c>
      <c r="E36">
        <v>1008</v>
      </c>
      <c r="F36" t="b">
        <v>1</v>
      </c>
      <c r="G36">
        <v>45.247999999999998</v>
      </c>
      <c r="H36">
        <v>29</v>
      </c>
      <c r="I36">
        <v>2</v>
      </c>
      <c r="J36">
        <v>0.3</v>
      </c>
      <c r="K36" t="s">
        <v>329</v>
      </c>
      <c r="L36">
        <v>0</v>
      </c>
      <c r="N36" t="s">
        <v>330</v>
      </c>
      <c r="O36" t="s">
        <v>331</v>
      </c>
      <c r="P36" t="s">
        <v>16</v>
      </c>
      <c r="Q36">
        <f t="shared" si="0"/>
        <v>0.64091230551626599</v>
      </c>
      <c r="R36">
        <f t="shared" si="1"/>
        <v>4.42008486562942E-2</v>
      </c>
      <c r="S36">
        <f t="shared" si="2"/>
        <v>0.35725581925656014</v>
      </c>
    </row>
    <row r="37" spans="1:19" x14ac:dyDescent="0.2">
      <c r="A37">
        <v>18</v>
      </c>
      <c r="B37" t="s">
        <v>1462</v>
      </c>
      <c r="C37">
        <v>2</v>
      </c>
      <c r="D37">
        <v>9</v>
      </c>
      <c r="E37">
        <v>1008</v>
      </c>
      <c r="F37" t="b">
        <v>1</v>
      </c>
      <c r="G37">
        <v>45.247999999999998</v>
      </c>
      <c r="H37">
        <v>29</v>
      </c>
      <c r="I37">
        <v>2</v>
      </c>
      <c r="J37">
        <v>0.3</v>
      </c>
      <c r="K37" t="s">
        <v>329</v>
      </c>
      <c r="L37">
        <v>0</v>
      </c>
      <c r="N37" t="s">
        <v>1499</v>
      </c>
      <c r="O37" t="s">
        <v>1500</v>
      </c>
      <c r="P37" t="s">
        <v>16</v>
      </c>
      <c r="Q37">
        <f t="shared" si="0"/>
        <v>0.64091230551626599</v>
      </c>
      <c r="R37">
        <f t="shared" si="1"/>
        <v>4.42008486562942E-2</v>
      </c>
      <c r="S37">
        <f t="shared" si="2"/>
        <v>0.35725581925656014</v>
      </c>
    </row>
    <row r="38" spans="1:19" hidden="1" x14ac:dyDescent="0.2">
      <c r="A38">
        <v>128</v>
      </c>
      <c r="B38" t="s">
        <v>17</v>
      </c>
      <c r="C38">
        <v>-1</v>
      </c>
      <c r="D38">
        <v>10</v>
      </c>
      <c r="E38">
        <v>1009</v>
      </c>
      <c r="F38" t="b">
        <v>1</v>
      </c>
      <c r="G38">
        <v>27.716000000000001</v>
      </c>
      <c r="H38">
        <v>33</v>
      </c>
      <c r="I38">
        <v>6</v>
      </c>
      <c r="J38">
        <v>7.68</v>
      </c>
      <c r="K38" t="s">
        <v>347</v>
      </c>
      <c r="L38">
        <v>0</v>
      </c>
      <c r="N38" t="s">
        <v>348</v>
      </c>
      <c r="O38" t="s">
        <v>349</v>
      </c>
      <c r="P38" t="s">
        <v>16</v>
      </c>
      <c r="Q38">
        <f t="shared" si="0"/>
        <v>1.1906480011545677</v>
      </c>
      <c r="R38">
        <f t="shared" si="1"/>
        <v>0.21648145475537595</v>
      </c>
      <c r="S38">
        <f t="shared" si="2"/>
        <v>0.88522878277324735</v>
      </c>
    </row>
    <row r="39" spans="1:19" hidden="1" x14ac:dyDescent="0.2">
      <c r="A39">
        <v>19</v>
      </c>
      <c r="B39" t="s">
        <v>1462</v>
      </c>
      <c r="C39">
        <v>-1</v>
      </c>
      <c r="D39">
        <v>10</v>
      </c>
      <c r="E39">
        <v>1009</v>
      </c>
      <c r="F39" t="b">
        <v>1</v>
      </c>
      <c r="G39">
        <v>27.716000000000001</v>
      </c>
      <c r="H39">
        <v>33</v>
      </c>
      <c r="I39">
        <v>6</v>
      </c>
      <c r="J39">
        <v>7.68</v>
      </c>
      <c r="K39" t="s">
        <v>347</v>
      </c>
      <c r="L39">
        <v>0</v>
      </c>
      <c r="N39" t="s">
        <v>1501</v>
      </c>
      <c r="O39" t="s">
        <v>1502</v>
      </c>
      <c r="P39" t="s">
        <v>16</v>
      </c>
      <c r="Q39">
        <f t="shared" si="0"/>
        <v>1.1906480011545677</v>
      </c>
      <c r="R39">
        <f t="shared" si="1"/>
        <v>0.21648145475537595</v>
      </c>
      <c r="S39">
        <f t="shared" si="2"/>
        <v>0.88522878277324735</v>
      </c>
    </row>
    <row r="40" spans="1:19" x14ac:dyDescent="0.2">
      <c r="A40">
        <v>135</v>
      </c>
      <c r="B40" t="s">
        <v>17</v>
      </c>
      <c r="C40">
        <v>2</v>
      </c>
      <c r="D40">
        <v>10</v>
      </c>
      <c r="E40">
        <v>1009</v>
      </c>
      <c r="F40" t="b">
        <v>1</v>
      </c>
      <c r="G40">
        <v>30.847999999999999</v>
      </c>
      <c r="H40">
        <v>32</v>
      </c>
      <c r="I40">
        <v>3</v>
      </c>
      <c r="J40">
        <v>0.48</v>
      </c>
      <c r="K40" t="s">
        <v>365</v>
      </c>
      <c r="L40">
        <v>0</v>
      </c>
      <c r="N40" t="s">
        <v>366</v>
      </c>
      <c r="O40" t="s">
        <v>367</v>
      </c>
      <c r="P40" t="s">
        <v>16</v>
      </c>
      <c r="Q40">
        <f t="shared" si="0"/>
        <v>1.0373443983402491</v>
      </c>
      <c r="R40">
        <f t="shared" si="1"/>
        <v>9.7251037344398342E-2</v>
      </c>
      <c r="S40">
        <f t="shared" si="2"/>
        <v>0.62186740840154675</v>
      </c>
    </row>
    <row r="41" spans="1:19" x14ac:dyDescent="0.2">
      <c r="A41">
        <v>20</v>
      </c>
      <c r="B41" t="s">
        <v>1462</v>
      </c>
      <c r="C41">
        <v>2</v>
      </c>
      <c r="D41">
        <v>10</v>
      </c>
      <c r="E41">
        <v>1009</v>
      </c>
      <c r="F41" t="b">
        <v>1</v>
      </c>
      <c r="G41">
        <v>47.411999999999999</v>
      </c>
      <c r="H41">
        <v>32</v>
      </c>
      <c r="I41">
        <v>4</v>
      </c>
      <c r="J41">
        <v>0.36</v>
      </c>
      <c r="K41" t="s">
        <v>1503</v>
      </c>
      <c r="L41">
        <v>0</v>
      </c>
      <c r="N41" t="s">
        <v>1504</v>
      </c>
      <c r="O41" t="s">
        <v>1505</v>
      </c>
      <c r="P41" t="s">
        <v>16</v>
      </c>
      <c r="Q41">
        <f t="shared" si="0"/>
        <v>0.67493461570910318</v>
      </c>
      <c r="R41">
        <f t="shared" si="1"/>
        <v>8.4366826963637898E-2</v>
      </c>
      <c r="S41">
        <f t="shared" si="2"/>
        <v>0.56987020613204331</v>
      </c>
    </row>
    <row r="42" spans="1:19" hidden="1" x14ac:dyDescent="0.2">
      <c r="A42">
        <v>2</v>
      </c>
      <c r="B42" t="s">
        <v>17</v>
      </c>
      <c r="C42">
        <v>-1</v>
      </c>
      <c r="D42">
        <v>1</v>
      </c>
      <c r="E42">
        <v>1010</v>
      </c>
      <c r="F42" t="b">
        <v>1</v>
      </c>
      <c r="G42">
        <v>29.687999999999999</v>
      </c>
      <c r="H42">
        <v>34</v>
      </c>
      <c r="I42">
        <v>4</v>
      </c>
      <c r="J42">
        <v>3.48</v>
      </c>
      <c r="K42" t="s">
        <v>383</v>
      </c>
      <c r="L42">
        <v>0</v>
      </c>
      <c r="N42" t="s">
        <v>384</v>
      </c>
      <c r="O42" t="s">
        <v>385</v>
      </c>
      <c r="P42" t="s">
        <v>16</v>
      </c>
      <c r="Q42">
        <f t="shared" si="0"/>
        <v>1.1452438695769336</v>
      </c>
      <c r="R42">
        <f t="shared" si="1"/>
        <v>0.13473457289140395</v>
      </c>
      <c r="S42">
        <f t="shared" si="2"/>
        <v>0.74007073142355917</v>
      </c>
    </row>
    <row r="43" spans="1:19" hidden="1" x14ac:dyDescent="0.2">
      <c r="A43">
        <v>1</v>
      </c>
      <c r="B43" t="s">
        <v>1462</v>
      </c>
      <c r="C43">
        <v>-1</v>
      </c>
      <c r="D43">
        <v>1</v>
      </c>
      <c r="E43">
        <v>1010</v>
      </c>
      <c r="F43" t="b">
        <v>1</v>
      </c>
      <c r="G43">
        <v>29.687999999999999</v>
      </c>
      <c r="H43">
        <v>34</v>
      </c>
      <c r="I43">
        <v>4</v>
      </c>
      <c r="J43">
        <v>3.48</v>
      </c>
      <c r="K43" t="s">
        <v>383</v>
      </c>
      <c r="L43">
        <v>0</v>
      </c>
      <c r="N43" t="s">
        <v>1506</v>
      </c>
      <c r="O43" t="s">
        <v>1507</v>
      </c>
      <c r="P43" t="s">
        <v>16</v>
      </c>
      <c r="Q43">
        <f t="shared" si="0"/>
        <v>1.1452438695769336</v>
      </c>
      <c r="R43">
        <f t="shared" si="1"/>
        <v>0.13473457289140395</v>
      </c>
      <c r="S43">
        <f t="shared" si="2"/>
        <v>0.74007073142355917</v>
      </c>
    </row>
    <row r="44" spans="1:19" x14ac:dyDescent="0.2">
      <c r="A44">
        <v>9</v>
      </c>
      <c r="B44" t="s">
        <v>17</v>
      </c>
      <c r="C44">
        <v>2</v>
      </c>
      <c r="D44">
        <v>1</v>
      </c>
      <c r="E44">
        <v>1010</v>
      </c>
      <c r="F44" t="b">
        <v>1</v>
      </c>
      <c r="G44">
        <v>29.02</v>
      </c>
      <c r="H44">
        <v>32</v>
      </c>
      <c r="I44">
        <v>0</v>
      </c>
      <c r="J44">
        <v>0</v>
      </c>
      <c r="K44" t="s">
        <v>401</v>
      </c>
      <c r="L44">
        <v>0</v>
      </c>
      <c r="N44" t="s">
        <v>402</v>
      </c>
      <c r="O44" t="s">
        <v>403</v>
      </c>
      <c r="P44" t="s">
        <v>16</v>
      </c>
      <c r="Q44">
        <f t="shared" si="0"/>
        <v>1.1026878015161958</v>
      </c>
      <c r="R44">
        <f t="shared" si="1"/>
        <v>0</v>
      </c>
      <c r="S44">
        <f t="shared" si="2"/>
        <v>0</v>
      </c>
    </row>
    <row r="45" spans="1:19" x14ac:dyDescent="0.2">
      <c r="A45">
        <v>2</v>
      </c>
      <c r="B45" t="s">
        <v>1462</v>
      </c>
      <c r="C45">
        <v>2</v>
      </c>
      <c r="D45">
        <v>1</v>
      </c>
      <c r="E45">
        <v>1010</v>
      </c>
      <c r="F45" t="b">
        <v>1</v>
      </c>
      <c r="G45">
        <v>29.02</v>
      </c>
      <c r="H45">
        <v>32</v>
      </c>
      <c r="I45">
        <v>0</v>
      </c>
      <c r="J45">
        <v>0</v>
      </c>
      <c r="K45" t="s">
        <v>401</v>
      </c>
      <c r="L45">
        <v>0</v>
      </c>
      <c r="N45" t="s">
        <v>1508</v>
      </c>
      <c r="O45" t="s">
        <v>1509</v>
      </c>
      <c r="P45" t="s">
        <v>16</v>
      </c>
      <c r="Q45">
        <f t="shared" si="0"/>
        <v>1.1026878015161958</v>
      </c>
      <c r="R45">
        <f t="shared" si="1"/>
        <v>0</v>
      </c>
      <c r="S45">
        <f t="shared" si="2"/>
        <v>0</v>
      </c>
    </row>
    <row r="46" spans="1:19" hidden="1" x14ac:dyDescent="0.2">
      <c r="A46">
        <v>16</v>
      </c>
      <c r="B46" t="s">
        <v>17</v>
      </c>
      <c r="C46">
        <v>-1</v>
      </c>
      <c r="D46">
        <v>2</v>
      </c>
      <c r="E46">
        <v>1011</v>
      </c>
      <c r="F46" t="b">
        <v>1</v>
      </c>
      <c r="G46">
        <v>27.596</v>
      </c>
      <c r="H46">
        <v>33</v>
      </c>
      <c r="I46">
        <v>4</v>
      </c>
      <c r="J46">
        <v>7.62</v>
      </c>
      <c r="K46" t="s">
        <v>419</v>
      </c>
      <c r="L46">
        <v>0</v>
      </c>
      <c r="N46" t="s">
        <v>420</v>
      </c>
      <c r="O46" t="s">
        <v>421</v>
      </c>
      <c r="P46" t="s">
        <v>16</v>
      </c>
      <c r="Q46">
        <f t="shared" si="0"/>
        <v>1.1958254819539063</v>
      </c>
      <c r="R46">
        <f t="shared" si="1"/>
        <v>0.14494854326714016</v>
      </c>
      <c r="S46">
        <f t="shared" si="2"/>
        <v>0.76530897863965608</v>
      </c>
    </row>
    <row r="47" spans="1:19" hidden="1" x14ac:dyDescent="0.2">
      <c r="A47">
        <v>3</v>
      </c>
      <c r="B47" t="s">
        <v>1462</v>
      </c>
      <c r="C47">
        <v>-1</v>
      </c>
      <c r="D47">
        <v>2</v>
      </c>
      <c r="E47">
        <v>1011</v>
      </c>
      <c r="F47" t="b">
        <v>1</v>
      </c>
      <c r="G47">
        <v>27.596</v>
      </c>
      <c r="H47">
        <v>33</v>
      </c>
      <c r="I47">
        <v>4</v>
      </c>
      <c r="J47">
        <v>7.62</v>
      </c>
      <c r="K47" t="s">
        <v>419</v>
      </c>
      <c r="L47">
        <v>0</v>
      </c>
      <c r="N47" t="s">
        <v>1510</v>
      </c>
      <c r="O47" t="s">
        <v>1511</v>
      </c>
      <c r="P47" t="s">
        <v>16</v>
      </c>
      <c r="Q47">
        <f t="shared" si="0"/>
        <v>1.1958254819539063</v>
      </c>
      <c r="R47">
        <f t="shared" si="1"/>
        <v>0.14494854326714016</v>
      </c>
      <c r="S47">
        <f t="shared" si="2"/>
        <v>0.76530897863965608</v>
      </c>
    </row>
    <row r="48" spans="1:19" x14ac:dyDescent="0.2">
      <c r="A48">
        <v>23</v>
      </c>
      <c r="B48" t="s">
        <v>17</v>
      </c>
      <c r="C48">
        <v>2</v>
      </c>
      <c r="D48">
        <v>2</v>
      </c>
      <c r="E48">
        <v>1011</v>
      </c>
      <c r="F48" t="b">
        <v>1</v>
      </c>
      <c r="G48">
        <v>37.923999999999999</v>
      </c>
      <c r="H48">
        <v>31</v>
      </c>
      <c r="I48">
        <v>1</v>
      </c>
      <c r="J48">
        <v>0.06</v>
      </c>
      <c r="K48" t="s">
        <v>437</v>
      </c>
      <c r="L48">
        <v>0</v>
      </c>
      <c r="N48" t="s">
        <v>438</v>
      </c>
      <c r="O48" t="s">
        <v>439</v>
      </c>
      <c r="P48" t="s">
        <v>16</v>
      </c>
      <c r="Q48">
        <f t="shared" si="0"/>
        <v>0.8174243223288683</v>
      </c>
      <c r="R48">
        <f t="shared" si="1"/>
        <v>2.6368526526737688E-2</v>
      </c>
      <c r="S48">
        <f t="shared" si="2"/>
        <v>0.23178471435569459</v>
      </c>
    </row>
    <row r="49" spans="1:19" x14ac:dyDescent="0.2">
      <c r="A49">
        <v>4</v>
      </c>
      <c r="B49" t="s">
        <v>1462</v>
      </c>
      <c r="C49">
        <v>2</v>
      </c>
      <c r="D49">
        <v>2</v>
      </c>
      <c r="E49">
        <v>1011</v>
      </c>
      <c r="F49" t="b">
        <v>1</v>
      </c>
      <c r="G49">
        <v>37.923999999999999</v>
      </c>
      <c r="H49">
        <v>31</v>
      </c>
      <c r="I49">
        <v>1</v>
      </c>
      <c r="J49">
        <v>0.06</v>
      </c>
      <c r="K49" t="s">
        <v>437</v>
      </c>
      <c r="L49">
        <v>0</v>
      </c>
      <c r="N49" t="s">
        <v>1512</v>
      </c>
      <c r="O49" t="s">
        <v>1513</v>
      </c>
      <c r="P49" t="s">
        <v>16</v>
      </c>
      <c r="Q49">
        <f t="shared" si="0"/>
        <v>0.8174243223288683</v>
      </c>
      <c r="R49">
        <f t="shared" si="1"/>
        <v>2.6368526526737688E-2</v>
      </c>
      <c r="S49">
        <f t="shared" si="2"/>
        <v>0.23178471435569459</v>
      </c>
    </row>
    <row r="50" spans="1:19" hidden="1" x14ac:dyDescent="0.2">
      <c r="A50">
        <v>30</v>
      </c>
      <c r="B50" t="s">
        <v>17</v>
      </c>
      <c r="C50">
        <v>-1</v>
      </c>
      <c r="D50">
        <v>3</v>
      </c>
      <c r="E50">
        <v>1012</v>
      </c>
      <c r="F50" t="b">
        <v>1</v>
      </c>
      <c r="G50">
        <v>32.451999999999998</v>
      </c>
      <c r="H50">
        <v>32</v>
      </c>
      <c r="I50">
        <v>6</v>
      </c>
      <c r="J50">
        <v>6.48</v>
      </c>
      <c r="K50" t="s">
        <v>455</v>
      </c>
      <c r="L50">
        <v>0</v>
      </c>
      <c r="N50" t="s">
        <v>456</v>
      </c>
      <c r="O50" t="s">
        <v>457</v>
      </c>
      <c r="P50" t="s">
        <v>16</v>
      </c>
      <c r="Q50">
        <f t="shared" si="0"/>
        <v>0.9860717367188464</v>
      </c>
      <c r="R50">
        <f t="shared" si="1"/>
        <v>0.18488845063478368</v>
      </c>
      <c r="S50">
        <f t="shared" si="2"/>
        <v>0.84258733876192604</v>
      </c>
    </row>
    <row r="51" spans="1:19" hidden="1" x14ac:dyDescent="0.2">
      <c r="A51">
        <v>5</v>
      </c>
      <c r="B51" t="s">
        <v>1462</v>
      </c>
      <c r="C51">
        <v>-1</v>
      </c>
      <c r="D51">
        <v>3</v>
      </c>
      <c r="E51">
        <v>1012</v>
      </c>
      <c r="F51" t="b">
        <v>1</v>
      </c>
      <c r="G51">
        <v>32.451999999999998</v>
      </c>
      <c r="H51">
        <v>32</v>
      </c>
      <c r="I51">
        <v>6</v>
      </c>
      <c r="J51">
        <v>6.48</v>
      </c>
      <c r="K51" t="s">
        <v>455</v>
      </c>
      <c r="L51">
        <v>0</v>
      </c>
      <c r="N51" t="s">
        <v>1514</v>
      </c>
      <c r="O51" t="s">
        <v>1515</v>
      </c>
      <c r="P51" t="s">
        <v>16</v>
      </c>
      <c r="Q51">
        <f t="shared" si="0"/>
        <v>0.9860717367188464</v>
      </c>
      <c r="R51">
        <f t="shared" si="1"/>
        <v>0.18488845063478368</v>
      </c>
      <c r="S51">
        <f t="shared" si="2"/>
        <v>0.84258733876192604</v>
      </c>
    </row>
    <row r="52" spans="1:19" x14ac:dyDescent="0.2">
      <c r="A52">
        <v>37</v>
      </c>
      <c r="B52" t="s">
        <v>17</v>
      </c>
      <c r="C52">
        <v>2</v>
      </c>
      <c r="D52">
        <v>3</v>
      </c>
      <c r="E52">
        <v>1012</v>
      </c>
      <c r="F52" t="b">
        <v>1</v>
      </c>
      <c r="G52">
        <v>38.828000000000003</v>
      </c>
      <c r="H52">
        <v>28</v>
      </c>
      <c r="I52">
        <v>2</v>
      </c>
      <c r="J52">
        <v>0.78</v>
      </c>
      <c r="K52" t="s">
        <v>473</v>
      </c>
      <c r="L52">
        <v>0</v>
      </c>
      <c r="N52" t="s">
        <v>474</v>
      </c>
      <c r="O52" t="s">
        <v>475</v>
      </c>
      <c r="P52" t="s">
        <v>16</v>
      </c>
      <c r="Q52">
        <f t="shared" si="0"/>
        <v>0.72112908210569682</v>
      </c>
      <c r="R52">
        <f t="shared" si="1"/>
        <v>5.1509220150406917E-2</v>
      </c>
      <c r="S52">
        <f t="shared" si="2"/>
        <v>0.40255449329563531</v>
      </c>
    </row>
    <row r="53" spans="1:19" x14ac:dyDescent="0.2">
      <c r="A53">
        <v>6</v>
      </c>
      <c r="B53" t="s">
        <v>1462</v>
      </c>
      <c r="C53">
        <v>2</v>
      </c>
      <c r="D53">
        <v>3</v>
      </c>
      <c r="E53">
        <v>1012</v>
      </c>
      <c r="F53" t="b">
        <v>1</v>
      </c>
      <c r="G53">
        <v>38.828000000000003</v>
      </c>
      <c r="H53">
        <v>28</v>
      </c>
      <c r="I53">
        <v>2</v>
      </c>
      <c r="J53">
        <v>0.78</v>
      </c>
      <c r="K53" t="s">
        <v>473</v>
      </c>
      <c r="L53">
        <v>0</v>
      </c>
      <c r="N53" t="s">
        <v>1516</v>
      </c>
      <c r="O53" t="s">
        <v>1517</v>
      </c>
      <c r="P53" t="s">
        <v>16</v>
      </c>
      <c r="Q53">
        <f t="shared" si="0"/>
        <v>0.72112908210569682</v>
      </c>
      <c r="R53">
        <f t="shared" si="1"/>
        <v>5.1509220150406917E-2</v>
      </c>
      <c r="S53">
        <f t="shared" si="2"/>
        <v>0.40255449329563531</v>
      </c>
    </row>
    <row r="54" spans="1:19" hidden="1" x14ac:dyDescent="0.2">
      <c r="A54">
        <v>44</v>
      </c>
      <c r="B54" t="s">
        <v>17</v>
      </c>
      <c r="C54">
        <v>-1</v>
      </c>
      <c r="D54">
        <v>4</v>
      </c>
      <c r="E54">
        <v>1013</v>
      </c>
      <c r="F54" t="b">
        <v>1</v>
      </c>
      <c r="G54">
        <v>33.584000000000003</v>
      </c>
      <c r="H54">
        <v>27</v>
      </c>
      <c r="I54">
        <v>6</v>
      </c>
      <c r="J54">
        <v>9.18</v>
      </c>
      <c r="K54" t="s">
        <v>490</v>
      </c>
      <c r="L54">
        <v>0</v>
      </c>
      <c r="N54" t="s">
        <v>491</v>
      </c>
      <c r="O54" t="s">
        <v>492</v>
      </c>
      <c r="P54" t="s">
        <v>16</v>
      </c>
      <c r="Q54">
        <f t="shared" si="0"/>
        <v>0.80395426393520719</v>
      </c>
      <c r="R54">
        <f t="shared" si="1"/>
        <v>0.17865650309671272</v>
      </c>
      <c r="S54">
        <f t="shared" si="2"/>
        <v>0.83246534120912163</v>
      </c>
    </row>
    <row r="55" spans="1:19" hidden="1" x14ac:dyDescent="0.2">
      <c r="A55">
        <v>7</v>
      </c>
      <c r="B55" t="s">
        <v>1462</v>
      </c>
      <c r="C55">
        <v>-1</v>
      </c>
      <c r="D55">
        <v>4</v>
      </c>
      <c r="E55">
        <v>1013</v>
      </c>
      <c r="F55" t="b">
        <v>1</v>
      </c>
      <c r="G55">
        <v>33.584000000000003</v>
      </c>
      <c r="H55">
        <v>27</v>
      </c>
      <c r="I55">
        <v>6</v>
      </c>
      <c r="J55">
        <v>9.18</v>
      </c>
      <c r="K55" t="s">
        <v>490</v>
      </c>
      <c r="L55">
        <v>0</v>
      </c>
      <c r="N55" t="s">
        <v>1518</v>
      </c>
      <c r="O55" t="s">
        <v>1519</v>
      </c>
      <c r="P55" t="s">
        <v>16</v>
      </c>
      <c r="Q55">
        <f t="shared" si="0"/>
        <v>0.80395426393520719</v>
      </c>
      <c r="R55">
        <f t="shared" si="1"/>
        <v>0.17865650309671272</v>
      </c>
      <c r="S55">
        <f t="shared" si="2"/>
        <v>0.83246534120912163</v>
      </c>
    </row>
    <row r="56" spans="1:19" x14ac:dyDescent="0.2">
      <c r="A56">
        <v>51</v>
      </c>
      <c r="B56" t="s">
        <v>17</v>
      </c>
      <c r="C56">
        <v>2</v>
      </c>
      <c r="D56">
        <v>4</v>
      </c>
      <c r="E56">
        <v>1013</v>
      </c>
      <c r="F56" t="b">
        <v>1</v>
      </c>
      <c r="G56">
        <v>36.664000000000001</v>
      </c>
      <c r="H56">
        <v>26</v>
      </c>
      <c r="I56">
        <v>0</v>
      </c>
      <c r="J56">
        <v>0</v>
      </c>
      <c r="K56" t="s">
        <v>508</v>
      </c>
      <c r="L56">
        <v>0</v>
      </c>
      <c r="N56" t="s">
        <v>509</v>
      </c>
      <c r="O56" t="s">
        <v>510</v>
      </c>
      <c r="P56" t="s">
        <v>16</v>
      </c>
      <c r="Q56">
        <f t="shared" si="0"/>
        <v>0.7091424830896792</v>
      </c>
      <c r="R56">
        <f t="shared" si="1"/>
        <v>0</v>
      </c>
      <c r="S56">
        <f t="shared" si="2"/>
        <v>0</v>
      </c>
    </row>
    <row r="57" spans="1:19" x14ac:dyDescent="0.2">
      <c r="A57">
        <v>8</v>
      </c>
      <c r="B57" t="s">
        <v>1462</v>
      </c>
      <c r="C57">
        <v>2</v>
      </c>
      <c r="D57">
        <v>4</v>
      </c>
      <c r="E57">
        <v>1013</v>
      </c>
      <c r="F57" t="b">
        <v>1</v>
      </c>
      <c r="G57">
        <v>36.664000000000001</v>
      </c>
      <c r="H57">
        <v>26</v>
      </c>
      <c r="I57">
        <v>0</v>
      </c>
      <c r="J57">
        <v>0</v>
      </c>
      <c r="K57" t="s">
        <v>508</v>
      </c>
      <c r="L57">
        <v>0</v>
      </c>
      <c r="N57" t="s">
        <v>1520</v>
      </c>
      <c r="O57" t="s">
        <v>1521</v>
      </c>
      <c r="P57" t="s">
        <v>16</v>
      </c>
      <c r="Q57">
        <f t="shared" si="0"/>
        <v>0.7091424830896792</v>
      </c>
      <c r="R57">
        <f t="shared" si="1"/>
        <v>0</v>
      </c>
      <c r="S57">
        <f t="shared" si="2"/>
        <v>0</v>
      </c>
    </row>
    <row r="58" spans="1:19" hidden="1" x14ac:dyDescent="0.2">
      <c r="A58">
        <v>58</v>
      </c>
      <c r="B58" t="s">
        <v>17</v>
      </c>
      <c r="C58">
        <v>-1</v>
      </c>
      <c r="D58">
        <v>5</v>
      </c>
      <c r="E58">
        <v>1014</v>
      </c>
      <c r="F58" t="b">
        <v>1</v>
      </c>
      <c r="G58">
        <v>24.536000000000001</v>
      </c>
      <c r="H58">
        <v>31</v>
      </c>
      <c r="I58">
        <v>5</v>
      </c>
      <c r="J58">
        <v>4.5</v>
      </c>
      <c r="K58" t="s">
        <v>526</v>
      </c>
      <c r="L58">
        <v>0</v>
      </c>
      <c r="N58" t="s">
        <v>527</v>
      </c>
      <c r="O58" t="s">
        <v>528</v>
      </c>
      <c r="P58" t="s">
        <v>16</v>
      </c>
      <c r="Q58">
        <f t="shared" si="0"/>
        <v>1.2634496250407563</v>
      </c>
      <c r="R58">
        <f t="shared" si="1"/>
        <v>0.20378219758721877</v>
      </c>
      <c r="S58">
        <f t="shared" si="2"/>
        <v>0.86968777481354853</v>
      </c>
    </row>
    <row r="59" spans="1:19" x14ac:dyDescent="0.2">
      <c r="A59">
        <v>55</v>
      </c>
      <c r="B59" t="s">
        <v>33</v>
      </c>
      <c r="C59">
        <v>2</v>
      </c>
      <c r="D59">
        <v>4</v>
      </c>
      <c r="E59">
        <v>1033</v>
      </c>
      <c r="F59" t="b">
        <v>1</v>
      </c>
      <c r="G59">
        <v>21.408000000000001</v>
      </c>
      <c r="H59">
        <v>21</v>
      </c>
      <c r="I59">
        <v>1</v>
      </c>
      <c r="J59">
        <v>0.06</v>
      </c>
      <c r="K59" t="s">
        <v>1237</v>
      </c>
      <c r="L59">
        <v>0</v>
      </c>
      <c r="N59" t="s">
        <v>1238</v>
      </c>
      <c r="O59" t="s">
        <v>1239</v>
      </c>
      <c r="P59" t="s">
        <v>16</v>
      </c>
      <c r="Q59">
        <f t="shared" si="0"/>
        <v>0.98094170403587433</v>
      </c>
      <c r="R59">
        <f t="shared" si="1"/>
        <v>4.6711509715994019E-2</v>
      </c>
      <c r="S59">
        <f t="shared" si="2"/>
        <v>0.37319205755355989</v>
      </c>
    </row>
    <row r="60" spans="1:19" hidden="1" x14ac:dyDescent="0.2">
      <c r="A60">
        <v>9</v>
      </c>
      <c r="B60" t="s">
        <v>1462</v>
      </c>
      <c r="C60">
        <v>-1</v>
      </c>
      <c r="D60">
        <v>5</v>
      </c>
      <c r="E60">
        <v>1014</v>
      </c>
      <c r="F60" t="b">
        <v>1</v>
      </c>
      <c r="G60">
        <v>24.536000000000001</v>
      </c>
      <c r="H60">
        <v>31</v>
      </c>
      <c r="I60">
        <v>5</v>
      </c>
      <c r="J60">
        <v>4.5</v>
      </c>
      <c r="K60" t="s">
        <v>526</v>
      </c>
      <c r="L60">
        <v>0</v>
      </c>
      <c r="N60" t="s">
        <v>1522</v>
      </c>
      <c r="O60" t="s">
        <v>1523</v>
      </c>
      <c r="P60" t="s">
        <v>16</v>
      </c>
      <c r="Q60">
        <f t="shared" si="0"/>
        <v>1.2634496250407563</v>
      </c>
      <c r="R60">
        <f t="shared" si="1"/>
        <v>0.20378219758721877</v>
      </c>
      <c r="S60">
        <f t="shared" si="2"/>
        <v>0.86968777481354853</v>
      </c>
    </row>
    <row r="61" spans="1:19" x14ac:dyDescent="0.2">
      <c r="A61">
        <v>65</v>
      </c>
      <c r="B61" t="s">
        <v>17</v>
      </c>
      <c r="C61">
        <v>2</v>
      </c>
      <c r="D61">
        <v>5</v>
      </c>
      <c r="E61">
        <v>1014</v>
      </c>
      <c r="F61" t="b">
        <v>1</v>
      </c>
      <c r="G61">
        <v>39.32</v>
      </c>
      <c r="H61">
        <v>31</v>
      </c>
      <c r="I61">
        <v>3</v>
      </c>
      <c r="J61">
        <v>0.78</v>
      </c>
      <c r="K61" t="s">
        <v>544</v>
      </c>
      <c r="L61">
        <v>0</v>
      </c>
      <c r="N61" t="s">
        <v>545</v>
      </c>
      <c r="O61" t="s">
        <v>546</v>
      </c>
      <c r="P61" t="s">
        <v>16</v>
      </c>
      <c r="Q61">
        <f t="shared" si="0"/>
        <v>0.7884028484231943</v>
      </c>
      <c r="R61">
        <f t="shared" si="1"/>
        <v>7.6297049847405901E-2</v>
      </c>
      <c r="S61">
        <f t="shared" si="2"/>
        <v>0.53372071412758126</v>
      </c>
    </row>
    <row r="62" spans="1:19" x14ac:dyDescent="0.2">
      <c r="A62">
        <v>10</v>
      </c>
      <c r="B62" t="s">
        <v>1462</v>
      </c>
      <c r="C62">
        <v>2</v>
      </c>
      <c r="D62">
        <v>5</v>
      </c>
      <c r="E62">
        <v>1014</v>
      </c>
      <c r="F62" t="b">
        <v>1</v>
      </c>
      <c r="G62">
        <v>41.676000000000002</v>
      </c>
      <c r="H62">
        <v>31</v>
      </c>
      <c r="I62">
        <v>0</v>
      </c>
      <c r="J62">
        <v>0.6</v>
      </c>
      <c r="K62" t="s">
        <v>1524</v>
      </c>
      <c r="L62">
        <v>-9</v>
      </c>
      <c r="N62" t="s">
        <v>1525</v>
      </c>
      <c r="O62" t="s">
        <v>1526</v>
      </c>
      <c r="P62" t="s">
        <v>16</v>
      </c>
      <c r="Q62">
        <f t="shared" si="0"/>
        <v>0.7438333813225837</v>
      </c>
      <c r="R62">
        <f t="shared" si="1"/>
        <v>0</v>
      </c>
      <c r="S62">
        <f t="shared" si="2"/>
        <v>0</v>
      </c>
    </row>
    <row r="63" spans="1:19" hidden="1" x14ac:dyDescent="0.2">
      <c r="A63">
        <v>72</v>
      </c>
      <c r="B63" t="s">
        <v>17</v>
      </c>
      <c r="C63">
        <v>-1</v>
      </c>
      <c r="D63">
        <v>6</v>
      </c>
      <c r="E63">
        <v>1015</v>
      </c>
      <c r="F63" t="b">
        <v>1</v>
      </c>
      <c r="G63">
        <v>25.02</v>
      </c>
      <c r="H63">
        <v>28</v>
      </c>
      <c r="I63">
        <v>3</v>
      </c>
      <c r="J63">
        <v>2.1</v>
      </c>
      <c r="K63" t="s">
        <v>562</v>
      </c>
      <c r="L63">
        <v>0</v>
      </c>
      <c r="N63" t="s">
        <v>563</v>
      </c>
      <c r="O63" t="s">
        <v>564</v>
      </c>
      <c r="P63" t="s">
        <v>16</v>
      </c>
      <c r="Q63">
        <f t="shared" si="0"/>
        <v>1.1191047162270185</v>
      </c>
      <c r="R63">
        <f t="shared" si="1"/>
        <v>0.11990407673860912</v>
      </c>
      <c r="S63">
        <f t="shared" si="2"/>
        <v>0.69851673416379945</v>
      </c>
    </row>
    <row r="64" spans="1:19" hidden="1" x14ac:dyDescent="0.2">
      <c r="A64">
        <v>11</v>
      </c>
      <c r="B64" t="s">
        <v>1462</v>
      </c>
      <c r="C64">
        <v>-1</v>
      </c>
      <c r="D64">
        <v>6</v>
      </c>
      <c r="E64">
        <v>1015</v>
      </c>
      <c r="F64" t="b">
        <v>1</v>
      </c>
      <c r="G64">
        <v>25.02</v>
      </c>
      <c r="H64">
        <v>28</v>
      </c>
      <c r="I64">
        <v>3</v>
      </c>
      <c r="J64">
        <v>2.1</v>
      </c>
      <c r="K64" t="s">
        <v>562</v>
      </c>
      <c r="L64">
        <v>0</v>
      </c>
      <c r="N64" t="s">
        <v>1527</v>
      </c>
      <c r="O64" t="s">
        <v>1528</v>
      </c>
      <c r="P64" t="s">
        <v>16</v>
      </c>
      <c r="Q64">
        <f t="shared" si="0"/>
        <v>1.1191047162270185</v>
      </c>
      <c r="R64">
        <f t="shared" si="1"/>
        <v>0.11990407673860912</v>
      </c>
      <c r="S64">
        <f t="shared" si="2"/>
        <v>0.69851673416379945</v>
      </c>
    </row>
    <row r="65" spans="1:19" x14ac:dyDescent="0.2">
      <c r="A65">
        <v>79</v>
      </c>
      <c r="B65" t="s">
        <v>17</v>
      </c>
      <c r="C65">
        <v>2</v>
      </c>
      <c r="D65">
        <v>6</v>
      </c>
      <c r="E65">
        <v>1015</v>
      </c>
      <c r="F65" t="b">
        <v>1</v>
      </c>
      <c r="G65">
        <v>33.652000000000001</v>
      </c>
      <c r="H65">
        <v>28</v>
      </c>
      <c r="I65">
        <v>2</v>
      </c>
      <c r="J65">
        <v>0.24</v>
      </c>
      <c r="K65" t="s">
        <v>580</v>
      </c>
      <c r="L65">
        <v>0</v>
      </c>
      <c r="N65" t="s">
        <v>581</v>
      </c>
      <c r="O65" t="s">
        <v>582</v>
      </c>
      <c r="P65" t="s">
        <v>16</v>
      </c>
      <c r="Q65">
        <f t="shared" si="0"/>
        <v>0.83204564364673717</v>
      </c>
      <c r="R65">
        <f t="shared" si="1"/>
        <v>5.9431831689052653E-2</v>
      </c>
      <c r="S65">
        <f t="shared" si="2"/>
        <v>0.44806131506475755</v>
      </c>
    </row>
    <row r="66" spans="1:19" x14ac:dyDescent="0.2">
      <c r="A66">
        <v>12</v>
      </c>
      <c r="B66" t="s">
        <v>1462</v>
      </c>
      <c r="C66">
        <v>2</v>
      </c>
      <c r="D66">
        <v>6</v>
      </c>
      <c r="E66">
        <v>1015</v>
      </c>
      <c r="F66" t="b">
        <v>1</v>
      </c>
      <c r="G66">
        <v>33.652000000000001</v>
      </c>
      <c r="H66">
        <v>28</v>
      </c>
      <c r="I66">
        <v>2</v>
      </c>
      <c r="J66">
        <v>0.24</v>
      </c>
      <c r="K66" t="s">
        <v>580</v>
      </c>
      <c r="L66">
        <v>0</v>
      </c>
      <c r="N66" t="s">
        <v>1529</v>
      </c>
      <c r="O66" t="s">
        <v>1530</v>
      </c>
      <c r="P66" t="s">
        <v>16</v>
      </c>
      <c r="Q66">
        <f t="shared" ref="Q66:Q129" si="3">H66/G66</f>
        <v>0.83204564364673717</v>
      </c>
      <c r="R66">
        <f t="shared" ref="R66:R129" si="4">I66/G66</f>
        <v>5.9431831689052653E-2</v>
      </c>
      <c r="S66">
        <f t="shared" ref="S66:S129" si="5">1-EXP((-10*R66))</f>
        <v>0.44806131506475755</v>
      </c>
    </row>
    <row r="67" spans="1:19" x14ac:dyDescent="0.2">
      <c r="A67">
        <v>93</v>
      </c>
      <c r="B67" t="s">
        <v>17</v>
      </c>
      <c r="C67">
        <v>2</v>
      </c>
      <c r="D67">
        <v>7</v>
      </c>
      <c r="E67">
        <v>1016</v>
      </c>
      <c r="F67" t="b">
        <v>1</v>
      </c>
      <c r="G67">
        <v>31.015999999999998</v>
      </c>
      <c r="H67">
        <v>32</v>
      </c>
      <c r="I67">
        <v>1</v>
      </c>
      <c r="J67">
        <v>0.06</v>
      </c>
      <c r="K67" t="s">
        <v>616</v>
      </c>
      <c r="L67">
        <v>0</v>
      </c>
      <c r="N67" t="s">
        <v>617</v>
      </c>
      <c r="O67" t="s">
        <v>618</v>
      </c>
      <c r="P67" t="s">
        <v>16</v>
      </c>
      <c r="Q67">
        <f t="shared" si="3"/>
        <v>1.0317255610007738</v>
      </c>
      <c r="R67">
        <f t="shared" si="4"/>
        <v>3.2241423781274182E-2</v>
      </c>
      <c r="S67">
        <f t="shared" si="5"/>
        <v>0.27560194489538592</v>
      </c>
    </row>
    <row r="68" spans="1:19" x14ac:dyDescent="0.2">
      <c r="A68">
        <v>14</v>
      </c>
      <c r="B68" t="s">
        <v>1462</v>
      </c>
      <c r="C68">
        <v>2</v>
      </c>
      <c r="D68">
        <v>7</v>
      </c>
      <c r="E68">
        <v>1016</v>
      </c>
      <c r="F68" t="b">
        <v>1</v>
      </c>
      <c r="G68">
        <v>31.015999999999998</v>
      </c>
      <c r="H68">
        <v>32</v>
      </c>
      <c r="I68">
        <v>1</v>
      </c>
      <c r="J68">
        <v>0.06</v>
      </c>
      <c r="K68" t="s">
        <v>616</v>
      </c>
      <c r="L68">
        <v>0</v>
      </c>
      <c r="N68" t="s">
        <v>1533</v>
      </c>
      <c r="O68" t="s">
        <v>1534</v>
      </c>
      <c r="P68" t="s">
        <v>16</v>
      </c>
      <c r="Q68">
        <f t="shared" si="3"/>
        <v>1.0317255610007738</v>
      </c>
      <c r="R68">
        <f t="shared" si="4"/>
        <v>3.2241423781274182E-2</v>
      </c>
      <c r="S68">
        <f t="shared" si="5"/>
        <v>0.27560194489538592</v>
      </c>
    </row>
    <row r="69" spans="1:19" hidden="1" x14ac:dyDescent="0.2">
      <c r="A69">
        <v>87</v>
      </c>
      <c r="B69" t="s">
        <v>21</v>
      </c>
      <c r="C69">
        <v>-1</v>
      </c>
      <c r="D69">
        <v>7</v>
      </c>
      <c r="E69">
        <v>1026</v>
      </c>
      <c r="F69" t="b">
        <v>1</v>
      </c>
      <c r="G69">
        <v>29.251999999999999</v>
      </c>
      <c r="H69">
        <v>27</v>
      </c>
      <c r="I69">
        <v>4</v>
      </c>
      <c r="J69">
        <v>3</v>
      </c>
      <c r="K69" t="s">
        <v>960</v>
      </c>
      <c r="L69">
        <v>0</v>
      </c>
      <c r="N69" t="s">
        <v>961</v>
      </c>
      <c r="O69" t="s">
        <v>962</v>
      </c>
      <c r="P69" t="s">
        <v>16</v>
      </c>
      <c r="Q69">
        <f t="shared" si="3"/>
        <v>0.92301381102146862</v>
      </c>
      <c r="R69">
        <f t="shared" si="4"/>
        <v>0.13674278681799534</v>
      </c>
      <c r="S69">
        <f t="shared" si="5"/>
        <v>0.7452386025613893</v>
      </c>
    </row>
    <row r="70" spans="1:19" hidden="1" x14ac:dyDescent="0.2">
      <c r="A70">
        <v>91</v>
      </c>
      <c r="B70" t="s">
        <v>37</v>
      </c>
      <c r="C70">
        <v>-1</v>
      </c>
      <c r="D70">
        <v>7</v>
      </c>
      <c r="E70">
        <v>1026</v>
      </c>
      <c r="F70" t="b">
        <v>1</v>
      </c>
      <c r="G70">
        <v>29.28</v>
      </c>
      <c r="H70">
        <v>27</v>
      </c>
      <c r="I70">
        <v>1</v>
      </c>
      <c r="J70">
        <v>2.2799999999999998</v>
      </c>
      <c r="K70" t="s">
        <v>971</v>
      </c>
      <c r="L70">
        <v>0</v>
      </c>
      <c r="N70" t="s">
        <v>972</v>
      </c>
      <c r="O70" t="s">
        <v>973</v>
      </c>
      <c r="P70" t="s">
        <v>16</v>
      </c>
      <c r="Q70">
        <f t="shared" si="3"/>
        <v>0.92213114754098358</v>
      </c>
      <c r="R70">
        <f t="shared" si="4"/>
        <v>3.4153005464480871E-2</v>
      </c>
      <c r="S70">
        <f t="shared" si="5"/>
        <v>0.28931789199944591</v>
      </c>
    </row>
    <row r="71" spans="1:19" hidden="1" x14ac:dyDescent="0.2">
      <c r="A71">
        <v>86</v>
      </c>
      <c r="B71" t="s">
        <v>17</v>
      </c>
      <c r="C71">
        <v>-1</v>
      </c>
      <c r="D71">
        <v>7</v>
      </c>
      <c r="E71">
        <v>1016</v>
      </c>
      <c r="F71" t="b">
        <v>1</v>
      </c>
      <c r="G71">
        <v>31.256</v>
      </c>
      <c r="H71">
        <v>32</v>
      </c>
      <c r="I71">
        <v>9</v>
      </c>
      <c r="J71">
        <v>5.34</v>
      </c>
      <c r="K71" t="s">
        <v>598</v>
      </c>
      <c r="L71">
        <v>0</v>
      </c>
      <c r="N71" t="s">
        <v>599</v>
      </c>
      <c r="O71" t="s">
        <v>600</v>
      </c>
      <c r="P71" t="s">
        <v>16</v>
      </c>
      <c r="Q71">
        <f t="shared" si="3"/>
        <v>1.0238034297414895</v>
      </c>
      <c r="R71">
        <f t="shared" si="4"/>
        <v>0.28794471461479398</v>
      </c>
      <c r="S71">
        <f t="shared" si="5"/>
        <v>0.94383419426569615</v>
      </c>
    </row>
    <row r="72" spans="1:19" hidden="1" x14ac:dyDescent="0.2">
      <c r="A72">
        <v>13</v>
      </c>
      <c r="B72" t="s">
        <v>1462</v>
      </c>
      <c r="C72">
        <v>-1</v>
      </c>
      <c r="D72">
        <v>7</v>
      </c>
      <c r="E72">
        <v>1016</v>
      </c>
      <c r="F72" t="b">
        <v>1</v>
      </c>
      <c r="G72">
        <v>31.256</v>
      </c>
      <c r="H72">
        <v>32</v>
      </c>
      <c r="I72">
        <v>9</v>
      </c>
      <c r="J72">
        <v>5.34</v>
      </c>
      <c r="K72" t="s">
        <v>598</v>
      </c>
      <c r="L72">
        <v>0</v>
      </c>
      <c r="N72" t="s">
        <v>1531</v>
      </c>
      <c r="O72" t="s">
        <v>1532</v>
      </c>
      <c r="P72" t="s">
        <v>16</v>
      </c>
      <c r="Q72">
        <f t="shared" si="3"/>
        <v>1.0238034297414895</v>
      </c>
      <c r="R72">
        <f t="shared" si="4"/>
        <v>0.28794471461479398</v>
      </c>
      <c r="S72">
        <f t="shared" si="5"/>
        <v>0.94383419426569615</v>
      </c>
    </row>
    <row r="73" spans="1:19" hidden="1" x14ac:dyDescent="0.2">
      <c r="A73">
        <v>100</v>
      </c>
      <c r="B73" t="s">
        <v>17</v>
      </c>
      <c r="C73">
        <v>-1</v>
      </c>
      <c r="D73">
        <v>8</v>
      </c>
      <c r="E73">
        <v>1017</v>
      </c>
      <c r="F73" t="b">
        <v>1</v>
      </c>
      <c r="G73">
        <v>33.756</v>
      </c>
      <c r="H73">
        <v>33</v>
      </c>
      <c r="I73">
        <v>2</v>
      </c>
      <c r="J73">
        <v>1.56</v>
      </c>
      <c r="K73" t="s">
        <v>634</v>
      </c>
      <c r="L73">
        <v>0</v>
      </c>
      <c r="N73" t="s">
        <v>635</v>
      </c>
      <c r="O73" t="s">
        <v>636</v>
      </c>
      <c r="P73" t="s">
        <v>16</v>
      </c>
      <c r="Q73">
        <f t="shared" si="3"/>
        <v>0.97760398151439742</v>
      </c>
      <c r="R73">
        <f t="shared" si="4"/>
        <v>5.9248726152387722E-2</v>
      </c>
      <c r="S73">
        <f t="shared" si="5"/>
        <v>0.44704975894864363</v>
      </c>
    </row>
    <row r="74" spans="1:19" hidden="1" x14ac:dyDescent="0.2">
      <c r="A74">
        <v>15</v>
      </c>
      <c r="B74" t="s">
        <v>1462</v>
      </c>
      <c r="C74">
        <v>-1</v>
      </c>
      <c r="D74">
        <v>8</v>
      </c>
      <c r="E74">
        <v>1017</v>
      </c>
      <c r="F74" t="b">
        <v>1</v>
      </c>
      <c r="G74">
        <v>37.323999999999998</v>
      </c>
      <c r="H74">
        <v>33</v>
      </c>
      <c r="I74">
        <v>5</v>
      </c>
      <c r="J74">
        <v>4.5</v>
      </c>
      <c r="K74" t="s">
        <v>1535</v>
      </c>
      <c r="L74">
        <v>0</v>
      </c>
      <c r="N74" t="s">
        <v>1536</v>
      </c>
      <c r="O74" t="s">
        <v>1537</v>
      </c>
      <c r="P74" t="s">
        <v>16</v>
      </c>
      <c r="Q74">
        <f t="shared" si="3"/>
        <v>0.8841496088307792</v>
      </c>
      <c r="R74">
        <f t="shared" si="4"/>
        <v>0.13396206194405744</v>
      </c>
      <c r="S74">
        <f t="shared" si="5"/>
        <v>0.73805497341738935</v>
      </c>
    </row>
    <row r="75" spans="1:19" hidden="1" x14ac:dyDescent="0.2">
      <c r="A75">
        <v>5</v>
      </c>
      <c r="B75" t="s">
        <v>29</v>
      </c>
      <c r="C75">
        <v>-1</v>
      </c>
      <c r="D75">
        <v>1</v>
      </c>
      <c r="E75">
        <v>1010</v>
      </c>
      <c r="F75" t="b">
        <v>1</v>
      </c>
      <c r="G75">
        <v>31.655999999999999</v>
      </c>
      <c r="H75">
        <v>29</v>
      </c>
      <c r="I75">
        <v>1</v>
      </c>
      <c r="J75">
        <v>0.78</v>
      </c>
      <c r="K75" t="s">
        <v>392</v>
      </c>
      <c r="L75">
        <v>0</v>
      </c>
      <c r="N75" t="s">
        <v>393</v>
      </c>
      <c r="O75" t="s">
        <v>394</v>
      </c>
      <c r="P75" t="s">
        <v>16</v>
      </c>
      <c r="Q75">
        <f t="shared" si="3"/>
        <v>0.91609805408137479</v>
      </c>
      <c r="R75">
        <f t="shared" si="4"/>
        <v>3.1589588071771542E-2</v>
      </c>
      <c r="S75">
        <f t="shared" si="5"/>
        <v>0.27086463673374184</v>
      </c>
    </row>
    <row r="76" spans="1:19" x14ac:dyDescent="0.2">
      <c r="A76">
        <v>107</v>
      </c>
      <c r="B76" t="s">
        <v>17</v>
      </c>
      <c r="C76">
        <v>2</v>
      </c>
      <c r="D76">
        <v>8</v>
      </c>
      <c r="E76">
        <v>1017</v>
      </c>
      <c r="F76" t="b">
        <v>1</v>
      </c>
      <c r="G76">
        <v>37.124000000000002</v>
      </c>
      <c r="H76">
        <v>32</v>
      </c>
      <c r="I76">
        <v>0</v>
      </c>
      <c r="J76">
        <v>0</v>
      </c>
      <c r="K76" t="s">
        <v>652</v>
      </c>
      <c r="L76">
        <v>0</v>
      </c>
      <c r="N76" t="s">
        <v>653</v>
      </c>
      <c r="O76" t="s">
        <v>654</v>
      </c>
      <c r="P76" t="s">
        <v>16</v>
      </c>
      <c r="Q76">
        <f t="shared" si="3"/>
        <v>0.86197608016377536</v>
      </c>
      <c r="R76">
        <f t="shared" si="4"/>
        <v>0</v>
      </c>
      <c r="S76">
        <f t="shared" si="5"/>
        <v>0</v>
      </c>
    </row>
    <row r="77" spans="1:19" x14ac:dyDescent="0.2">
      <c r="A77">
        <v>16</v>
      </c>
      <c r="B77" t="s">
        <v>1462</v>
      </c>
      <c r="C77">
        <v>2</v>
      </c>
      <c r="D77">
        <v>8</v>
      </c>
      <c r="E77">
        <v>1017</v>
      </c>
      <c r="F77" t="b">
        <v>1</v>
      </c>
      <c r="G77">
        <v>37.247999999999998</v>
      </c>
      <c r="H77">
        <v>32</v>
      </c>
      <c r="I77">
        <v>1</v>
      </c>
      <c r="J77">
        <v>0.3</v>
      </c>
      <c r="K77" t="s">
        <v>1538</v>
      </c>
      <c r="L77">
        <v>0</v>
      </c>
      <c r="N77" t="s">
        <v>1539</v>
      </c>
      <c r="O77" t="s">
        <v>1540</v>
      </c>
      <c r="P77" t="s">
        <v>16</v>
      </c>
      <c r="Q77">
        <f t="shared" si="3"/>
        <v>0.85910652920962205</v>
      </c>
      <c r="R77">
        <f t="shared" si="4"/>
        <v>2.6847079037800689E-2</v>
      </c>
      <c r="S77">
        <f t="shared" si="5"/>
        <v>0.23545224536539344</v>
      </c>
    </row>
    <row r="78" spans="1:19" hidden="1" x14ac:dyDescent="0.2">
      <c r="A78">
        <v>114</v>
      </c>
      <c r="B78" t="s">
        <v>17</v>
      </c>
      <c r="C78">
        <v>-1</v>
      </c>
      <c r="D78">
        <v>9</v>
      </c>
      <c r="E78">
        <v>1018</v>
      </c>
      <c r="F78" t="b">
        <v>1</v>
      </c>
      <c r="G78">
        <v>37.972000000000001</v>
      </c>
      <c r="H78">
        <v>35</v>
      </c>
      <c r="I78">
        <v>7</v>
      </c>
      <c r="J78">
        <v>5.76</v>
      </c>
      <c r="K78" t="s">
        <v>669</v>
      </c>
      <c r="L78">
        <v>0</v>
      </c>
      <c r="N78" t="s">
        <v>670</v>
      </c>
      <c r="O78" t="s">
        <v>671</v>
      </c>
      <c r="P78" t="s">
        <v>16</v>
      </c>
      <c r="Q78">
        <f t="shared" si="3"/>
        <v>0.92173180238070151</v>
      </c>
      <c r="R78">
        <f t="shared" si="4"/>
        <v>0.18434636047614031</v>
      </c>
      <c r="S78">
        <f t="shared" si="5"/>
        <v>0.84173170315400392</v>
      </c>
    </row>
    <row r="79" spans="1:19" hidden="1" x14ac:dyDescent="0.2">
      <c r="A79">
        <v>17</v>
      </c>
      <c r="B79" t="s">
        <v>1462</v>
      </c>
      <c r="C79">
        <v>-1</v>
      </c>
      <c r="D79">
        <v>9</v>
      </c>
      <c r="E79">
        <v>1018</v>
      </c>
      <c r="F79" t="b">
        <v>1</v>
      </c>
      <c r="G79">
        <v>37.972000000000001</v>
      </c>
      <c r="H79">
        <v>35</v>
      </c>
      <c r="I79">
        <v>7</v>
      </c>
      <c r="J79">
        <v>5.76</v>
      </c>
      <c r="K79" t="s">
        <v>669</v>
      </c>
      <c r="L79">
        <v>0</v>
      </c>
      <c r="N79" t="s">
        <v>1541</v>
      </c>
      <c r="O79" t="s">
        <v>1542</v>
      </c>
      <c r="P79" t="s">
        <v>16</v>
      </c>
      <c r="Q79">
        <f t="shared" si="3"/>
        <v>0.92173180238070151</v>
      </c>
      <c r="R79">
        <f t="shared" si="4"/>
        <v>0.18434636047614031</v>
      </c>
      <c r="S79">
        <f t="shared" si="5"/>
        <v>0.84173170315400392</v>
      </c>
    </row>
    <row r="80" spans="1:19" x14ac:dyDescent="0.2">
      <c r="A80">
        <v>121</v>
      </c>
      <c r="B80" t="s">
        <v>17</v>
      </c>
      <c r="C80">
        <v>2</v>
      </c>
      <c r="D80">
        <v>9</v>
      </c>
      <c r="E80">
        <v>1018</v>
      </c>
      <c r="F80" t="b">
        <v>1</v>
      </c>
      <c r="G80">
        <v>41.204000000000001</v>
      </c>
      <c r="H80">
        <v>32</v>
      </c>
      <c r="I80">
        <v>0</v>
      </c>
      <c r="J80">
        <v>0</v>
      </c>
      <c r="K80" t="s">
        <v>687</v>
      </c>
      <c r="L80">
        <v>0</v>
      </c>
      <c r="N80" t="s">
        <v>688</v>
      </c>
      <c r="O80" t="s">
        <v>689</v>
      </c>
      <c r="P80" t="s">
        <v>16</v>
      </c>
      <c r="Q80">
        <f t="shared" si="3"/>
        <v>0.77662362877390545</v>
      </c>
      <c r="R80">
        <f t="shared" si="4"/>
        <v>0</v>
      </c>
      <c r="S80">
        <f t="shared" si="5"/>
        <v>0</v>
      </c>
    </row>
    <row r="81" spans="1:19" x14ac:dyDescent="0.2">
      <c r="A81">
        <v>18</v>
      </c>
      <c r="B81" t="s">
        <v>1462</v>
      </c>
      <c r="C81">
        <v>2</v>
      </c>
      <c r="D81">
        <v>9</v>
      </c>
      <c r="E81">
        <v>1018</v>
      </c>
      <c r="F81" t="b">
        <v>1</v>
      </c>
      <c r="G81">
        <v>41.204000000000001</v>
      </c>
      <c r="H81">
        <v>32</v>
      </c>
      <c r="I81">
        <v>0</v>
      </c>
      <c r="J81">
        <v>0</v>
      </c>
      <c r="K81" t="s">
        <v>687</v>
      </c>
      <c r="L81">
        <v>0</v>
      </c>
      <c r="N81" t="s">
        <v>1543</v>
      </c>
      <c r="O81" t="s">
        <v>1544</v>
      </c>
      <c r="P81" t="s">
        <v>16</v>
      </c>
      <c r="Q81">
        <f t="shared" si="3"/>
        <v>0.77662362877390545</v>
      </c>
      <c r="R81">
        <f t="shared" si="4"/>
        <v>0</v>
      </c>
      <c r="S81">
        <f t="shared" si="5"/>
        <v>0</v>
      </c>
    </row>
    <row r="82" spans="1:19" hidden="1" x14ac:dyDescent="0.2">
      <c r="A82">
        <v>128</v>
      </c>
      <c r="B82" t="s">
        <v>17</v>
      </c>
      <c r="C82">
        <v>-1</v>
      </c>
      <c r="D82">
        <v>10</v>
      </c>
      <c r="E82">
        <v>1019</v>
      </c>
      <c r="F82" t="b">
        <v>1</v>
      </c>
      <c r="G82">
        <v>27.763999999999999</v>
      </c>
      <c r="H82">
        <v>31</v>
      </c>
      <c r="I82">
        <v>4</v>
      </c>
      <c r="J82">
        <v>2.94</v>
      </c>
      <c r="K82" t="s">
        <v>705</v>
      </c>
      <c r="L82">
        <v>0</v>
      </c>
      <c r="N82" t="s">
        <v>706</v>
      </c>
      <c r="O82" t="s">
        <v>707</v>
      </c>
      <c r="P82" t="s">
        <v>16</v>
      </c>
      <c r="Q82">
        <f t="shared" si="3"/>
        <v>1.1165538106901023</v>
      </c>
      <c r="R82">
        <f t="shared" si="4"/>
        <v>0.14407145944388416</v>
      </c>
      <c r="S82">
        <f t="shared" si="5"/>
        <v>0.7632414880980336</v>
      </c>
    </row>
    <row r="83" spans="1:19" hidden="1" x14ac:dyDescent="0.2">
      <c r="A83">
        <v>19</v>
      </c>
      <c r="B83" t="s">
        <v>1462</v>
      </c>
      <c r="C83">
        <v>-1</v>
      </c>
      <c r="D83">
        <v>10</v>
      </c>
      <c r="E83">
        <v>1019</v>
      </c>
      <c r="F83" t="b">
        <v>1</v>
      </c>
      <c r="G83">
        <v>27.763999999999999</v>
      </c>
      <c r="H83">
        <v>31</v>
      </c>
      <c r="I83">
        <v>4</v>
      </c>
      <c r="J83">
        <v>2.94</v>
      </c>
      <c r="K83" t="s">
        <v>705</v>
      </c>
      <c r="L83">
        <v>0</v>
      </c>
      <c r="N83" t="s">
        <v>1545</v>
      </c>
      <c r="O83" t="s">
        <v>1546</v>
      </c>
      <c r="P83" t="s">
        <v>16</v>
      </c>
      <c r="Q83">
        <f t="shared" si="3"/>
        <v>1.1165538106901023</v>
      </c>
      <c r="R83">
        <f t="shared" si="4"/>
        <v>0.14407145944388416</v>
      </c>
      <c r="S83">
        <f t="shared" si="5"/>
        <v>0.7632414880980336</v>
      </c>
    </row>
    <row r="84" spans="1:19" hidden="1" x14ac:dyDescent="0.2">
      <c r="A84">
        <v>89</v>
      </c>
      <c r="B84" t="s">
        <v>29</v>
      </c>
      <c r="C84">
        <v>-1</v>
      </c>
      <c r="D84">
        <v>7</v>
      </c>
      <c r="E84">
        <v>1026</v>
      </c>
      <c r="F84" t="b">
        <v>1</v>
      </c>
      <c r="G84">
        <v>31.515999999999998</v>
      </c>
      <c r="H84">
        <v>28</v>
      </c>
      <c r="I84">
        <v>4</v>
      </c>
      <c r="J84">
        <v>2.58</v>
      </c>
      <c r="K84" t="s">
        <v>966</v>
      </c>
      <c r="L84">
        <v>0</v>
      </c>
      <c r="N84" t="s">
        <v>967</v>
      </c>
      <c r="O84" t="s">
        <v>968</v>
      </c>
      <c r="P84" t="s">
        <v>16</v>
      </c>
      <c r="Q84">
        <f t="shared" si="3"/>
        <v>0.88843761898718121</v>
      </c>
      <c r="R84">
        <f t="shared" si="4"/>
        <v>0.12691965985531159</v>
      </c>
      <c r="S84">
        <f t="shared" si="5"/>
        <v>0.71894266703414589</v>
      </c>
    </row>
    <row r="85" spans="1:19" hidden="1" x14ac:dyDescent="0.2">
      <c r="A85">
        <v>90</v>
      </c>
      <c r="B85" t="s">
        <v>33</v>
      </c>
      <c r="C85">
        <v>-1</v>
      </c>
      <c r="D85">
        <v>7</v>
      </c>
      <c r="E85">
        <v>1026</v>
      </c>
      <c r="F85" t="b">
        <v>1</v>
      </c>
      <c r="G85">
        <v>31.515999999999998</v>
      </c>
      <c r="H85">
        <v>28</v>
      </c>
      <c r="I85">
        <v>4</v>
      </c>
      <c r="J85">
        <v>2.58</v>
      </c>
      <c r="K85" t="s">
        <v>966</v>
      </c>
      <c r="L85">
        <v>0</v>
      </c>
      <c r="N85" t="s">
        <v>969</v>
      </c>
      <c r="O85" t="s">
        <v>970</v>
      </c>
      <c r="P85" t="s">
        <v>16</v>
      </c>
      <c r="Q85">
        <f t="shared" si="3"/>
        <v>0.88843761898718121</v>
      </c>
      <c r="R85">
        <f t="shared" si="4"/>
        <v>0.12691965985531159</v>
      </c>
      <c r="S85">
        <f t="shared" si="5"/>
        <v>0.71894266703414589</v>
      </c>
    </row>
    <row r="86" spans="1:19" x14ac:dyDescent="0.2">
      <c r="A86">
        <v>135</v>
      </c>
      <c r="B86" t="s">
        <v>17</v>
      </c>
      <c r="C86">
        <v>2</v>
      </c>
      <c r="D86">
        <v>10</v>
      </c>
      <c r="E86">
        <v>1019</v>
      </c>
      <c r="F86" t="b">
        <v>1</v>
      </c>
      <c r="G86">
        <v>34.880000000000003</v>
      </c>
      <c r="H86">
        <v>31</v>
      </c>
      <c r="I86">
        <v>0</v>
      </c>
      <c r="J86">
        <v>0</v>
      </c>
      <c r="K86" t="s">
        <v>723</v>
      </c>
      <c r="L86">
        <v>0</v>
      </c>
      <c r="N86" t="s">
        <v>724</v>
      </c>
      <c r="O86" t="s">
        <v>725</v>
      </c>
      <c r="P86" t="s">
        <v>16</v>
      </c>
      <c r="Q86">
        <f t="shared" si="3"/>
        <v>0.88876146788990817</v>
      </c>
      <c r="R86">
        <f t="shared" si="4"/>
        <v>0</v>
      </c>
      <c r="S86">
        <f t="shared" si="5"/>
        <v>0</v>
      </c>
    </row>
    <row r="87" spans="1:19" x14ac:dyDescent="0.2">
      <c r="A87">
        <v>20</v>
      </c>
      <c r="B87" t="s">
        <v>1462</v>
      </c>
      <c r="C87">
        <v>2</v>
      </c>
      <c r="D87">
        <v>10</v>
      </c>
      <c r="E87">
        <v>1019</v>
      </c>
      <c r="F87" t="b">
        <v>1</v>
      </c>
      <c r="G87">
        <v>34.880000000000003</v>
      </c>
      <c r="H87">
        <v>31</v>
      </c>
      <c r="I87">
        <v>0</v>
      </c>
      <c r="J87">
        <v>0</v>
      </c>
      <c r="K87" t="s">
        <v>723</v>
      </c>
      <c r="L87">
        <v>0</v>
      </c>
      <c r="N87" t="s">
        <v>1547</v>
      </c>
      <c r="O87" t="s">
        <v>1548</v>
      </c>
      <c r="P87" t="s">
        <v>16</v>
      </c>
      <c r="Q87">
        <f t="shared" si="3"/>
        <v>0.88876146788990817</v>
      </c>
      <c r="R87">
        <f t="shared" si="4"/>
        <v>0</v>
      </c>
      <c r="S87">
        <f t="shared" si="5"/>
        <v>0</v>
      </c>
    </row>
    <row r="88" spans="1:19" hidden="1" x14ac:dyDescent="0.2">
      <c r="A88">
        <v>17</v>
      </c>
      <c r="B88" t="s">
        <v>21</v>
      </c>
      <c r="C88">
        <v>-1</v>
      </c>
      <c r="D88">
        <v>2</v>
      </c>
      <c r="E88">
        <v>1011</v>
      </c>
      <c r="F88" t="b">
        <v>1</v>
      </c>
      <c r="G88">
        <v>36.143999999999998</v>
      </c>
      <c r="H88">
        <v>32</v>
      </c>
      <c r="I88">
        <v>5</v>
      </c>
      <c r="J88">
        <v>5.04</v>
      </c>
      <c r="K88" t="s">
        <v>422</v>
      </c>
      <c r="L88">
        <v>0</v>
      </c>
      <c r="N88" t="s">
        <v>423</v>
      </c>
      <c r="O88" t="s">
        <v>424</v>
      </c>
      <c r="P88" t="s">
        <v>16</v>
      </c>
      <c r="Q88">
        <f t="shared" si="3"/>
        <v>0.88534749889331565</v>
      </c>
      <c r="R88">
        <f t="shared" si="4"/>
        <v>0.13833554670208056</v>
      </c>
      <c r="S88">
        <f t="shared" si="5"/>
        <v>0.749264195779489</v>
      </c>
    </row>
    <row r="89" spans="1:19" hidden="1" x14ac:dyDescent="0.2">
      <c r="A89">
        <v>2</v>
      </c>
      <c r="B89" t="s">
        <v>17</v>
      </c>
      <c r="C89">
        <v>-1</v>
      </c>
      <c r="D89">
        <v>1</v>
      </c>
      <c r="E89">
        <v>1020</v>
      </c>
      <c r="F89" t="b">
        <v>1</v>
      </c>
      <c r="G89">
        <v>29.68</v>
      </c>
      <c r="H89">
        <v>37</v>
      </c>
      <c r="I89">
        <v>2</v>
      </c>
      <c r="J89">
        <v>1.56</v>
      </c>
      <c r="K89" t="s">
        <v>741</v>
      </c>
      <c r="L89">
        <v>0</v>
      </c>
      <c r="N89" t="s">
        <v>742</v>
      </c>
      <c r="O89" t="s">
        <v>743</v>
      </c>
      <c r="P89" t="s">
        <v>16</v>
      </c>
      <c r="Q89">
        <f t="shared" si="3"/>
        <v>1.2466307277628033</v>
      </c>
      <c r="R89">
        <f t="shared" si="4"/>
        <v>6.7385444743935305E-2</v>
      </c>
      <c r="S89">
        <f t="shared" si="5"/>
        <v>0.49025997974283853</v>
      </c>
    </row>
    <row r="90" spans="1:19" hidden="1" x14ac:dyDescent="0.2">
      <c r="A90">
        <v>1</v>
      </c>
      <c r="B90" t="s">
        <v>1462</v>
      </c>
      <c r="C90">
        <v>-1</v>
      </c>
      <c r="D90">
        <v>1</v>
      </c>
      <c r="E90">
        <v>1020</v>
      </c>
      <c r="F90" t="b">
        <v>1</v>
      </c>
      <c r="G90">
        <v>29.68</v>
      </c>
      <c r="H90">
        <v>37</v>
      </c>
      <c r="I90">
        <v>2</v>
      </c>
      <c r="J90">
        <v>1.56</v>
      </c>
      <c r="K90" t="s">
        <v>741</v>
      </c>
      <c r="L90">
        <v>0</v>
      </c>
      <c r="N90" t="s">
        <v>1549</v>
      </c>
      <c r="O90" t="s">
        <v>1550</v>
      </c>
      <c r="P90" t="s">
        <v>16</v>
      </c>
      <c r="Q90">
        <f t="shared" si="3"/>
        <v>1.2466307277628033</v>
      </c>
      <c r="R90">
        <f t="shared" si="4"/>
        <v>6.7385444743935305E-2</v>
      </c>
      <c r="S90">
        <f t="shared" si="5"/>
        <v>0.49025997974283853</v>
      </c>
    </row>
    <row r="91" spans="1:19" x14ac:dyDescent="0.2">
      <c r="A91">
        <v>9</v>
      </c>
      <c r="B91" t="s">
        <v>17</v>
      </c>
      <c r="C91">
        <v>2</v>
      </c>
      <c r="D91">
        <v>1</v>
      </c>
      <c r="E91">
        <v>1020</v>
      </c>
      <c r="F91" t="b">
        <v>1</v>
      </c>
      <c r="G91">
        <v>45.436</v>
      </c>
      <c r="H91">
        <v>32</v>
      </c>
      <c r="I91">
        <v>3</v>
      </c>
      <c r="J91">
        <v>0.36</v>
      </c>
      <c r="K91" t="s">
        <v>759</v>
      </c>
      <c r="L91">
        <v>0</v>
      </c>
      <c r="N91" t="s">
        <v>760</v>
      </c>
      <c r="O91" t="s">
        <v>761</v>
      </c>
      <c r="P91" t="s">
        <v>16</v>
      </c>
      <c r="Q91">
        <f t="shared" si="3"/>
        <v>0.70428734923848935</v>
      </c>
      <c r="R91">
        <f t="shared" si="4"/>
        <v>6.6026938991108369E-2</v>
      </c>
      <c r="S91">
        <f t="shared" si="5"/>
        <v>0.48328788129083733</v>
      </c>
    </row>
    <row r="92" spans="1:19" hidden="1" x14ac:dyDescent="0.2">
      <c r="A92">
        <v>21</v>
      </c>
      <c r="B92" t="s">
        <v>37</v>
      </c>
      <c r="C92">
        <v>-1</v>
      </c>
      <c r="D92">
        <v>2</v>
      </c>
      <c r="E92">
        <v>1011</v>
      </c>
      <c r="F92" t="b">
        <v>1</v>
      </c>
      <c r="G92">
        <v>35.567999999999998</v>
      </c>
      <c r="H92">
        <v>31</v>
      </c>
      <c r="I92">
        <v>7</v>
      </c>
      <c r="J92">
        <v>6.78</v>
      </c>
      <c r="K92" t="s">
        <v>434</v>
      </c>
      <c r="L92">
        <v>0</v>
      </c>
      <c r="N92" t="s">
        <v>435</v>
      </c>
      <c r="O92" t="s">
        <v>436</v>
      </c>
      <c r="P92" t="s">
        <v>16</v>
      </c>
      <c r="Q92">
        <f t="shared" si="3"/>
        <v>0.871569950517319</v>
      </c>
      <c r="R92">
        <f t="shared" si="4"/>
        <v>0.19680611785874946</v>
      </c>
      <c r="S92">
        <f t="shared" si="5"/>
        <v>0.86027249956537455</v>
      </c>
    </row>
    <row r="93" spans="1:19" x14ac:dyDescent="0.2">
      <c r="A93">
        <v>2</v>
      </c>
      <c r="B93" t="s">
        <v>1462</v>
      </c>
      <c r="C93">
        <v>2</v>
      </c>
      <c r="D93">
        <v>1</v>
      </c>
      <c r="E93">
        <v>1020</v>
      </c>
      <c r="F93" t="b">
        <v>1</v>
      </c>
      <c r="G93">
        <v>45.436</v>
      </c>
      <c r="H93">
        <v>32</v>
      </c>
      <c r="I93">
        <v>3</v>
      </c>
      <c r="J93">
        <v>0.36</v>
      </c>
      <c r="K93" t="s">
        <v>759</v>
      </c>
      <c r="L93">
        <v>0</v>
      </c>
      <c r="N93" t="s">
        <v>1551</v>
      </c>
      <c r="O93" t="s">
        <v>1552</v>
      </c>
      <c r="P93" t="s">
        <v>16</v>
      </c>
      <c r="Q93">
        <f t="shared" si="3"/>
        <v>0.70428734923848935</v>
      </c>
      <c r="R93">
        <f t="shared" si="4"/>
        <v>6.6026938991108369E-2</v>
      </c>
      <c r="S93">
        <f t="shared" si="5"/>
        <v>0.48328788129083733</v>
      </c>
    </row>
    <row r="94" spans="1:19" hidden="1" x14ac:dyDescent="0.2">
      <c r="A94">
        <v>16</v>
      </c>
      <c r="B94" t="s">
        <v>17</v>
      </c>
      <c r="C94">
        <v>-1</v>
      </c>
      <c r="D94">
        <v>2</v>
      </c>
      <c r="E94">
        <v>1021</v>
      </c>
      <c r="F94" t="b">
        <v>1</v>
      </c>
      <c r="G94">
        <v>32.968000000000004</v>
      </c>
      <c r="H94">
        <v>28</v>
      </c>
      <c r="I94">
        <v>5</v>
      </c>
      <c r="J94">
        <v>4.38</v>
      </c>
      <c r="K94" t="s">
        <v>777</v>
      </c>
      <c r="L94">
        <v>0</v>
      </c>
      <c r="N94" t="s">
        <v>778</v>
      </c>
      <c r="O94" t="s">
        <v>779</v>
      </c>
      <c r="P94" t="s">
        <v>16</v>
      </c>
      <c r="Q94">
        <f t="shared" si="3"/>
        <v>0.84930842028633813</v>
      </c>
      <c r="R94">
        <f t="shared" si="4"/>
        <v>0.15166221790827467</v>
      </c>
      <c r="S94">
        <f t="shared" si="5"/>
        <v>0.78054809433946426</v>
      </c>
    </row>
    <row r="95" spans="1:19" hidden="1" x14ac:dyDescent="0.2">
      <c r="A95">
        <v>3</v>
      </c>
      <c r="B95" t="s">
        <v>1462</v>
      </c>
      <c r="C95">
        <v>-1</v>
      </c>
      <c r="D95">
        <v>2</v>
      </c>
      <c r="E95">
        <v>1021</v>
      </c>
      <c r="F95" t="b">
        <v>1</v>
      </c>
      <c r="G95">
        <v>32.968000000000004</v>
      </c>
      <c r="H95">
        <v>28</v>
      </c>
      <c r="I95">
        <v>5</v>
      </c>
      <c r="J95">
        <v>4.38</v>
      </c>
      <c r="K95" t="s">
        <v>777</v>
      </c>
      <c r="L95">
        <v>0</v>
      </c>
      <c r="N95" t="s">
        <v>1553</v>
      </c>
      <c r="O95" t="s">
        <v>1554</v>
      </c>
      <c r="P95" t="s">
        <v>16</v>
      </c>
      <c r="Q95">
        <f t="shared" si="3"/>
        <v>0.84930842028633813</v>
      </c>
      <c r="R95">
        <f t="shared" si="4"/>
        <v>0.15166221790827467</v>
      </c>
      <c r="S95">
        <f t="shared" si="5"/>
        <v>0.78054809433946426</v>
      </c>
    </row>
    <row r="96" spans="1:19" x14ac:dyDescent="0.2">
      <c r="A96">
        <v>23</v>
      </c>
      <c r="B96" t="s">
        <v>17</v>
      </c>
      <c r="C96">
        <v>2</v>
      </c>
      <c r="D96">
        <v>2</v>
      </c>
      <c r="E96">
        <v>1021</v>
      </c>
      <c r="F96" t="b">
        <v>1</v>
      </c>
      <c r="G96">
        <v>42.183999999999997</v>
      </c>
      <c r="H96">
        <v>29</v>
      </c>
      <c r="I96">
        <v>0</v>
      </c>
      <c r="J96">
        <v>0</v>
      </c>
      <c r="K96" t="s">
        <v>795</v>
      </c>
      <c r="L96">
        <v>0</v>
      </c>
      <c r="N96" t="s">
        <v>796</v>
      </c>
      <c r="O96" t="s">
        <v>797</v>
      </c>
      <c r="P96" t="s">
        <v>16</v>
      </c>
      <c r="Q96">
        <f t="shared" si="3"/>
        <v>0.68746444149440555</v>
      </c>
      <c r="R96">
        <f t="shared" si="4"/>
        <v>0</v>
      </c>
      <c r="S96">
        <f t="shared" si="5"/>
        <v>0</v>
      </c>
    </row>
    <row r="97" spans="1:19" x14ac:dyDescent="0.2">
      <c r="A97">
        <v>4</v>
      </c>
      <c r="B97" t="s">
        <v>1462</v>
      </c>
      <c r="C97">
        <v>2</v>
      </c>
      <c r="D97">
        <v>2</v>
      </c>
      <c r="E97">
        <v>1021</v>
      </c>
      <c r="F97" t="b">
        <v>1</v>
      </c>
      <c r="G97">
        <v>42.183999999999997</v>
      </c>
      <c r="H97">
        <v>29</v>
      </c>
      <c r="I97">
        <v>0</v>
      </c>
      <c r="J97">
        <v>0</v>
      </c>
      <c r="K97" t="s">
        <v>795</v>
      </c>
      <c r="L97">
        <v>0</v>
      </c>
      <c r="N97" t="s">
        <v>1555</v>
      </c>
      <c r="O97" t="s">
        <v>1556</v>
      </c>
      <c r="P97" t="s">
        <v>16</v>
      </c>
      <c r="Q97">
        <f t="shared" si="3"/>
        <v>0.68746444149440555</v>
      </c>
      <c r="R97">
        <f t="shared" si="4"/>
        <v>0</v>
      </c>
      <c r="S97">
        <f t="shared" si="5"/>
        <v>0</v>
      </c>
    </row>
    <row r="98" spans="1:19" hidden="1" x14ac:dyDescent="0.2">
      <c r="A98">
        <v>30</v>
      </c>
      <c r="B98" t="s">
        <v>17</v>
      </c>
      <c r="C98">
        <v>-1</v>
      </c>
      <c r="D98">
        <v>3</v>
      </c>
      <c r="E98">
        <v>1022</v>
      </c>
      <c r="F98" t="b">
        <v>1</v>
      </c>
      <c r="G98">
        <v>33.591999999999999</v>
      </c>
      <c r="H98">
        <v>28</v>
      </c>
      <c r="I98">
        <v>3</v>
      </c>
      <c r="J98">
        <v>3.48</v>
      </c>
      <c r="K98" t="s">
        <v>813</v>
      </c>
      <c r="L98">
        <v>0</v>
      </c>
      <c r="N98" t="s">
        <v>814</v>
      </c>
      <c r="O98" t="s">
        <v>815</v>
      </c>
      <c r="P98" t="s">
        <v>16</v>
      </c>
      <c r="Q98">
        <f t="shared" si="3"/>
        <v>0.83353179328411531</v>
      </c>
      <c r="R98">
        <f t="shared" si="4"/>
        <v>8.9306977851869501E-2</v>
      </c>
      <c r="S98">
        <f t="shared" si="5"/>
        <v>0.59060293651894658</v>
      </c>
    </row>
    <row r="99" spans="1:19" hidden="1" x14ac:dyDescent="0.2">
      <c r="A99">
        <v>5</v>
      </c>
      <c r="B99" t="s">
        <v>1462</v>
      </c>
      <c r="C99">
        <v>-1</v>
      </c>
      <c r="D99">
        <v>3</v>
      </c>
      <c r="E99">
        <v>1022</v>
      </c>
      <c r="F99" t="b">
        <v>1</v>
      </c>
      <c r="G99">
        <v>33.591999999999999</v>
      </c>
      <c r="H99">
        <v>28</v>
      </c>
      <c r="I99">
        <v>3</v>
      </c>
      <c r="J99">
        <v>3.48</v>
      </c>
      <c r="K99" t="s">
        <v>813</v>
      </c>
      <c r="L99">
        <v>0</v>
      </c>
      <c r="N99" t="s">
        <v>1557</v>
      </c>
      <c r="O99" t="s">
        <v>1558</v>
      </c>
      <c r="P99" t="s">
        <v>16</v>
      </c>
      <c r="Q99">
        <f t="shared" si="3"/>
        <v>0.83353179328411531</v>
      </c>
      <c r="R99">
        <f t="shared" si="4"/>
        <v>8.9306977851869501E-2</v>
      </c>
      <c r="S99">
        <f t="shared" si="5"/>
        <v>0.59060293651894658</v>
      </c>
    </row>
    <row r="100" spans="1:19" x14ac:dyDescent="0.2">
      <c r="A100">
        <v>37</v>
      </c>
      <c r="B100" t="s">
        <v>17</v>
      </c>
      <c r="C100">
        <v>2</v>
      </c>
      <c r="D100">
        <v>3</v>
      </c>
      <c r="E100">
        <v>1022</v>
      </c>
      <c r="F100" t="b">
        <v>1</v>
      </c>
      <c r="G100">
        <v>43.112000000000002</v>
      </c>
      <c r="H100">
        <v>28</v>
      </c>
      <c r="I100">
        <v>1</v>
      </c>
      <c r="J100">
        <v>0.18</v>
      </c>
      <c r="K100" t="s">
        <v>831</v>
      </c>
      <c r="L100">
        <v>0</v>
      </c>
      <c r="N100" t="s">
        <v>832</v>
      </c>
      <c r="O100" t="s">
        <v>833</v>
      </c>
      <c r="P100" t="s">
        <v>16</v>
      </c>
      <c r="Q100">
        <f t="shared" si="3"/>
        <v>0.64947114492484692</v>
      </c>
      <c r="R100">
        <f t="shared" si="4"/>
        <v>2.3195398033030244E-2</v>
      </c>
      <c r="S100">
        <f t="shared" si="5"/>
        <v>0.20701738473496634</v>
      </c>
    </row>
    <row r="101" spans="1:19" x14ac:dyDescent="0.2">
      <c r="A101">
        <v>6</v>
      </c>
      <c r="B101" t="s">
        <v>1462</v>
      </c>
      <c r="C101">
        <v>2</v>
      </c>
      <c r="D101">
        <v>3</v>
      </c>
      <c r="E101">
        <v>1022</v>
      </c>
      <c r="F101" t="b">
        <v>1</v>
      </c>
      <c r="G101">
        <v>43.112000000000002</v>
      </c>
      <c r="H101">
        <v>28</v>
      </c>
      <c r="I101">
        <v>1</v>
      </c>
      <c r="J101">
        <v>0.18</v>
      </c>
      <c r="K101" t="s">
        <v>831</v>
      </c>
      <c r="L101">
        <v>0</v>
      </c>
      <c r="N101" t="s">
        <v>1559</v>
      </c>
      <c r="O101" t="s">
        <v>1560</v>
      </c>
      <c r="P101" t="s">
        <v>16</v>
      </c>
      <c r="Q101">
        <f t="shared" si="3"/>
        <v>0.64947114492484692</v>
      </c>
      <c r="R101">
        <f t="shared" si="4"/>
        <v>2.3195398033030244E-2</v>
      </c>
      <c r="S101">
        <f t="shared" si="5"/>
        <v>0.20701738473496634</v>
      </c>
    </row>
    <row r="102" spans="1:19" hidden="1" x14ac:dyDescent="0.2">
      <c r="A102">
        <v>44</v>
      </c>
      <c r="B102" t="s">
        <v>17</v>
      </c>
      <c r="C102">
        <v>-1</v>
      </c>
      <c r="D102">
        <v>4</v>
      </c>
      <c r="E102">
        <v>1023</v>
      </c>
      <c r="F102" t="b">
        <v>1</v>
      </c>
      <c r="G102">
        <v>27.015999999999998</v>
      </c>
      <c r="H102">
        <v>30</v>
      </c>
      <c r="I102">
        <v>4</v>
      </c>
      <c r="J102">
        <v>3.3</v>
      </c>
      <c r="K102" t="s">
        <v>849</v>
      </c>
      <c r="L102">
        <v>0</v>
      </c>
      <c r="N102" t="s">
        <v>850</v>
      </c>
      <c r="O102" t="s">
        <v>851</v>
      </c>
      <c r="P102" t="s">
        <v>16</v>
      </c>
      <c r="Q102">
        <f t="shared" si="3"/>
        <v>1.1104530648504591</v>
      </c>
      <c r="R102">
        <f t="shared" si="4"/>
        <v>0.14806040864672787</v>
      </c>
      <c r="S102">
        <f t="shared" si="5"/>
        <v>0.77249978293671984</v>
      </c>
    </row>
    <row r="103" spans="1:19" hidden="1" x14ac:dyDescent="0.2">
      <c r="A103">
        <v>7</v>
      </c>
      <c r="B103" t="s">
        <v>1462</v>
      </c>
      <c r="C103">
        <v>-1</v>
      </c>
      <c r="D103">
        <v>4</v>
      </c>
      <c r="E103">
        <v>1023</v>
      </c>
      <c r="F103" t="b">
        <v>1</v>
      </c>
      <c r="G103">
        <v>27.015999999999998</v>
      </c>
      <c r="H103">
        <v>30</v>
      </c>
      <c r="I103">
        <v>4</v>
      </c>
      <c r="J103">
        <v>3.3</v>
      </c>
      <c r="K103" t="s">
        <v>849</v>
      </c>
      <c r="L103">
        <v>0</v>
      </c>
      <c r="N103" t="s">
        <v>1561</v>
      </c>
      <c r="O103" t="s">
        <v>1562</v>
      </c>
      <c r="P103" t="s">
        <v>16</v>
      </c>
      <c r="Q103">
        <f t="shared" si="3"/>
        <v>1.1104530648504591</v>
      </c>
      <c r="R103">
        <f t="shared" si="4"/>
        <v>0.14806040864672787</v>
      </c>
      <c r="S103">
        <f t="shared" si="5"/>
        <v>0.77249978293671984</v>
      </c>
    </row>
    <row r="104" spans="1:19" x14ac:dyDescent="0.2">
      <c r="A104">
        <v>51</v>
      </c>
      <c r="B104" t="s">
        <v>17</v>
      </c>
      <c r="C104">
        <v>2</v>
      </c>
      <c r="D104">
        <v>4</v>
      </c>
      <c r="E104">
        <v>1023</v>
      </c>
      <c r="F104" t="b">
        <v>1</v>
      </c>
      <c r="G104">
        <v>30.547999999999998</v>
      </c>
      <c r="H104">
        <v>29</v>
      </c>
      <c r="I104">
        <v>1</v>
      </c>
      <c r="J104">
        <v>0.12</v>
      </c>
      <c r="K104" t="s">
        <v>867</v>
      </c>
      <c r="L104">
        <v>0</v>
      </c>
      <c r="N104" t="s">
        <v>868</v>
      </c>
      <c r="O104" t="s">
        <v>869</v>
      </c>
      <c r="P104" t="s">
        <v>16</v>
      </c>
      <c r="Q104">
        <f t="shared" si="3"/>
        <v>0.94932565143380909</v>
      </c>
      <c r="R104">
        <f t="shared" si="4"/>
        <v>3.2735367290821007E-2</v>
      </c>
      <c r="S104">
        <f t="shared" si="5"/>
        <v>0.27917123966495927</v>
      </c>
    </row>
    <row r="105" spans="1:19" x14ac:dyDescent="0.2">
      <c r="A105">
        <v>8</v>
      </c>
      <c r="B105" t="s">
        <v>1462</v>
      </c>
      <c r="C105">
        <v>2</v>
      </c>
      <c r="D105">
        <v>4</v>
      </c>
      <c r="E105">
        <v>1023</v>
      </c>
      <c r="F105" t="b">
        <v>1</v>
      </c>
      <c r="G105">
        <v>30.547999999999998</v>
      </c>
      <c r="H105">
        <v>29</v>
      </c>
      <c r="I105">
        <v>1</v>
      </c>
      <c r="J105">
        <v>0.12</v>
      </c>
      <c r="K105" t="s">
        <v>867</v>
      </c>
      <c r="L105">
        <v>0</v>
      </c>
      <c r="N105" t="s">
        <v>1563</v>
      </c>
      <c r="O105" t="s">
        <v>1564</v>
      </c>
      <c r="P105" t="s">
        <v>16</v>
      </c>
      <c r="Q105">
        <f t="shared" si="3"/>
        <v>0.94932565143380909</v>
      </c>
      <c r="R105">
        <f t="shared" si="4"/>
        <v>3.2735367290821007E-2</v>
      </c>
      <c r="S105">
        <f t="shared" si="5"/>
        <v>0.27917123966495927</v>
      </c>
    </row>
    <row r="106" spans="1:19" hidden="1" x14ac:dyDescent="0.2">
      <c r="A106">
        <v>58</v>
      </c>
      <c r="B106" t="s">
        <v>17</v>
      </c>
      <c r="C106">
        <v>-1</v>
      </c>
      <c r="D106">
        <v>5</v>
      </c>
      <c r="E106">
        <v>1024</v>
      </c>
      <c r="F106" t="b">
        <v>1</v>
      </c>
      <c r="G106">
        <v>31.652000000000001</v>
      </c>
      <c r="H106">
        <v>35</v>
      </c>
      <c r="I106">
        <v>2</v>
      </c>
      <c r="J106">
        <v>2.1</v>
      </c>
      <c r="K106" t="s">
        <v>885</v>
      </c>
      <c r="L106">
        <v>0</v>
      </c>
      <c r="N106" t="s">
        <v>886</v>
      </c>
      <c r="O106" t="s">
        <v>887</v>
      </c>
      <c r="P106" t="s">
        <v>16</v>
      </c>
      <c r="Q106">
        <f t="shared" si="3"/>
        <v>1.1057753064577278</v>
      </c>
      <c r="R106">
        <f t="shared" si="4"/>
        <v>6.3187160369013021E-2</v>
      </c>
      <c r="S106">
        <f t="shared" si="5"/>
        <v>0.46840406754686803</v>
      </c>
    </row>
    <row r="107" spans="1:19" hidden="1" x14ac:dyDescent="0.2">
      <c r="A107">
        <v>9</v>
      </c>
      <c r="B107" t="s">
        <v>1462</v>
      </c>
      <c r="C107">
        <v>-1</v>
      </c>
      <c r="D107">
        <v>5</v>
      </c>
      <c r="E107">
        <v>1024</v>
      </c>
      <c r="F107" t="b">
        <v>1</v>
      </c>
      <c r="G107">
        <v>31.652000000000001</v>
      </c>
      <c r="H107">
        <v>35</v>
      </c>
      <c r="I107">
        <v>2</v>
      </c>
      <c r="J107">
        <v>2.1</v>
      </c>
      <c r="K107" t="s">
        <v>885</v>
      </c>
      <c r="L107">
        <v>0</v>
      </c>
      <c r="N107" t="s">
        <v>1565</v>
      </c>
      <c r="O107" t="s">
        <v>1566</v>
      </c>
      <c r="P107" t="s">
        <v>16</v>
      </c>
      <c r="Q107">
        <f t="shared" si="3"/>
        <v>1.1057753064577278</v>
      </c>
      <c r="R107">
        <f t="shared" si="4"/>
        <v>6.3187160369013021E-2</v>
      </c>
      <c r="S107">
        <f t="shared" si="5"/>
        <v>0.46840406754686803</v>
      </c>
    </row>
    <row r="108" spans="1:19" x14ac:dyDescent="0.2">
      <c r="A108">
        <v>65</v>
      </c>
      <c r="B108" t="s">
        <v>17</v>
      </c>
      <c r="C108">
        <v>2</v>
      </c>
      <c r="D108">
        <v>5</v>
      </c>
      <c r="E108">
        <v>1024</v>
      </c>
      <c r="F108" t="b">
        <v>1</v>
      </c>
      <c r="G108">
        <v>42.176000000000002</v>
      </c>
      <c r="H108">
        <v>30</v>
      </c>
      <c r="I108">
        <v>0</v>
      </c>
      <c r="J108">
        <v>0</v>
      </c>
      <c r="K108" t="s">
        <v>903</v>
      </c>
      <c r="L108">
        <v>0</v>
      </c>
      <c r="N108" t="s">
        <v>904</v>
      </c>
      <c r="O108" t="s">
        <v>905</v>
      </c>
      <c r="P108" t="s">
        <v>16</v>
      </c>
      <c r="Q108">
        <f t="shared" si="3"/>
        <v>0.71130500758725335</v>
      </c>
      <c r="R108">
        <f t="shared" si="4"/>
        <v>0</v>
      </c>
      <c r="S108">
        <f t="shared" si="5"/>
        <v>0</v>
      </c>
    </row>
    <row r="109" spans="1:19" x14ac:dyDescent="0.2">
      <c r="A109">
        <v>10</v>
      </c>
      <c r="B109" t="s">
        <v>1462</v>
      </c>
      <c r="C109">
        <v>2</v>
      </c>
      <c r="D109">
        <v>5</v>
      </c>
      <c r="E109">
        <v>1024</v>
      </c>
      <c r="F109" t="b">
        <v>1</v>
      </c>
      <c r="G109">
        <v>42.176000000000002</v>
      </c>
      <c r="H109">
        <v>30</v>
      </c>
      <c r="I109">
        <v>0</v>
      </c>
      <c r="J109">
        <v>0</v>
      </c>
      <c r="K109" t="s">
        <v>903</v>
      </c>
      <c r="L109">
        <v>0</v>
      </c>
      <c r="N109" t="s">
        <v>1567</v>
      </c>
      <c r="O109" t="s">
        <v>1568</v>
      </c>
      <c r="P109" t="s">
        <v>16</v>
      </c>
      <c r="Q109">
        <f t="shared" si="3"/>
        <v>0.71130500758725335</v>
      </c>
      <c r="R109">
        <f t="shared" si="4"/>
        <v>0</v>
      </c>
      <c r="S109">
        <f t="shared" si="5"/>
        <v>0</v>
      </c>
    </row>
    <row r="110" spans="1:19" hidden="1" x14ac:dyDescent="0.2">
      <c r="A110">
        <v>72</v>
      </c>
      <c r="B110" t="s">
        <v>17</v>
      </c>
      <c r="C110">
        <v>-1</v>
      </c>
      <c r="D110">
        <v>6</v>
      </c>
      <c r="E110">
        <v>1025</v>
      </c>
      <c r="F110" t="b">
        <v>1</v>
      </c>
      <c r="G110">
        <v>32.387999999999998</v>
      </c>
      <c r="H110">
        <v>29</v>
      </c>
      <c r="I110">
        <v>1</v>
      </c>
      <c r="J110">
        <v>0.96</v>
      </c>
      <c r="K110" t="s">
        <v>921</v>
      </c>
      <c r="L110">
        <v>0</v>
      </c>
      <c r="N110" t="s">
        <v>922</v>
      </c>
      <c r="O110" t="s">
        <v>923</v>
      </c>
      <c r="P110" t="s">
        <v>16</v>
      </c>
      <c r="Q110">
        <f t="shared" si="3"/>
        <v>0.89539335556378907</v>
      </c>
      <c r="R110">
        <f t="shared" si="4"/>
        <v>3.0875632950475487E-2</v>
      </c>
      <c r="S110">
        <f t="shared" si="5"/>
        <v>0.26564030998402888</v>
      </c>
    </row>
    <row r="111" spans="1:19" hidden="1" x14ac:dyDescent="0.2">
      <c r="A111">
        <v>11</v>
      </c>
      <c r="B111" t="s">
        <v>1462</v>
      </c>
      <c r="C111">
        <v>-1</v>
      </c>
      <c r="D111">
        <v>6</v>
      </c>
      <c r="E111">
        <v>1025</v>
      </c>
      <c r="F111" t="b">
        <v>1</v>
      </c>
      <c r="G111">
        <v>32.387999999999998</v>
      </c>
      <c r="H111">
        <v>29</v>
      </c>
      <c r="I111">
        <v>1</v>
      </c>
      <c r="J111">
        <v>0.96</v>
      </c>
      <c r="K111" t="s">
        <v>921</v>
      </c>
      <c r="L111">
        <v>0</v>
      </c>
      <c r="N111" t="s">
        <v>1569</v>
      </c>
      <c r="O111" t="s">
        <v>1570</v>
      </c>
      <c r="P111" t="s">
        <v>16</v>
      </c>
      <c r="Q111">
        <f t="shared" si="3"/>
        <v>0.89539335556378907</v>
      </c>
      <c r="R111">
        <f t="shared" si="4"/>
        <v>3.0875632950475487E-2</v>
      </c>
      <c r="S111">
        <f t="shared" si="5"/>
        <v>0.26564030998402888</v>
      </c>
    </row>
    <row r="112" spans="1:19" x14ac:dyDescent="0.2">
      <c r="A112">
        <v>79</v>
      </c>
      <c r="B112" t="s">
        <v>17</v>
      </c>
      <c r="C112">
        <v>2</v>
      </c>
      <c r="D112">
        <v>6</v>
      </c>
      <c r="E112">
        <v>1025</v>
      </c>
      <c r="F112" t="b">
        <v>1</v>
      </c>
      <c r="G112">
        <v>37.299999999999997</v>
      </c>
      <c r="H112">
        <v>29</v>
      </c>
      <c r="I112">
        <v>0</v>
      </c>
      <c r="J112">
        <v>0</v>
      </c>
      <c r="K112" t="s">
        <v>939</v>
      </c>
      <c r="L112">
        <v>0</v>
      </c>
      <c r="N112" t="s">
        <v>940</v>
      </c>
      <c r="O112" t="s">
        <v>941</v>
      </c>
      <c r="P112" t="s">
        <v>16</v>
      </c>
      <c r="Q112">
        <f t="shared" si="3"/>
        <v>0.77747989276139418</v>
      </c>
      <c r="R112">
        <f t="shared" si="4"/>
        <v>0</v>
      </c>
      <c r="S112">
        <f t="shared" si="5"/>
        <v>0</v>
      </c>
    </row>
    <row r="113" spans="1:19" x14ac:dyDescent="0.2">
      <c r="A113">
        <v>12</v>
      </c>
      <c r="B113" t="s">
        <v>1462</v>
      </c>
      <c r="C113">
        <v>2</v>
      </c>
      <c r="D113">
        <v>6</v>
      </c>
      <c r="E113">
        <v>1025</v>
      </c>
      <c r="F113" t="b">
        <v>1</v>
      </c>
      <c r="G113">
        <v>37.299999999999997</v>
      </c>
      <c r="H113">
        <v>29</v>
      </c>
      <c r="I113">
        <v>0</v>
      </c>
      <c r="J113">
        <v>0</v>
      </c>
      <c r="K113" t="s">
        <v>939</v>
      </c>
      <c r="L113">
        <v>0</v>
      </c>
      <c r="N113" t="s">
        <v>1571</v>
      </c>
      <c r="O113" t="s">
        <v>1572</v>
      </c>
      <c r="P113" t="s">
        <v>16</v>
      </c>
      <c r="Q113">
        <f t="shared" si="3"/>
        <v>0.77747989276139418</v>
      </c>
      <c r="R113">
        <f t="shared" si="4"/>
        <v>0</v>
      </c>
      <c r="S113">
        <f t="shared" si="5"/>
        <v>0</v>
      </c>
    </row>
    <row r="114" spans="1:19" hidden="1" x14ac:dyDescent="0.2">
      <c r="A114">
        <v>86</v>
      </c>
      <c r="B114" t="s">
        <v>17</v>
      </c>
      <c r="C114">
        <v>-1</v>
      </c>
      <c r="D114">
        <v>7</v>
      </c>
      <c r="E114">
        <v>1026</v>
      </c>
      <c r="F114" t="b">
        <v>1</v>
      </c>
      <c r="G114">
        <v>31.748000000000001</v>
      </c>
      <c r="H114">
        <v>32</v>
      </c>
      <c r="I114">
        <v>5</v>
      </c>
      <c r="J114">
        <v>6.06</v>
      </c>
      <c r="K114" t="s">
        <v>957</v>
      </c>
      <c r="L114">
        <v>0</v>
      </c>
      <c r="N114" t="s">
        <v>958</v>
      </c>
      <c r="O114" t="s">
        <v>959</v>
      </c>
      <c r="P114" t="s">
        <v>16</v>
      </c>
      <c r="Q114">
        <f t="shared" si="3"/>
        <v>1.0079375078745116</v>
      </c>
      <c r="R114">
        <f t="shared" si="4"/>
        <v>0.15749023560539246</v>
      </c>
      <c r="S114">
        <f t="shared" si="5"/>
        <v>0.79297223329766386</v>
      </c>
    </row>
    <row r="115" spans="1:19" hidden="1" x14ac:dyDescent="0.2">
      <c r="A115">
        <v>118</v>
      </c>
      <c r="B115" t="s">
        <v>33</v>
      </c>
      <c r="C115">
        <v>-1</v>
      </c>
      <c r="D115">
        <v>9</v>
      </c>
      <c r="E115">
        <v>1038</v>
      </c>
      <c r="F115" t="b">
        <v>1</v>
      </c>
      <c r="G115">
        <v>32.72</v>
      </c>
      <c r="H115">
        <v>27</v>
      </c>
      <c r="I115">
        <v>8</v>
      </c>
      <c r="J115">
        <v>5.16</v>
      </c>
      <c r="K115" t="s">
        <v>1399</v>
      </c>
      <c r="L115">
        <v>0</v>
      </c>
      <c r="N115" t="s">
        <v>1400</v>
      </c>
      <c r="O115" t="s">
        <v>1401</v>
      </c>
      <c r="P115" t="s">
        <v>16</v>
      </c>
      <c r="Q115">
        <f t="shared" si="3"/>
        <v>0.82518337408312958</v>
      </c>
      <c r="R115">
        <f t="shared" si="4"/>
        <v>0.24449877750611249</v>
      </c>
      <c r="S115">
        <f t="shared" si="5"/>
        <v>0.91327280487009022</v>
      </c>
    </row>
    <row r="116" spans="1:19" hidden="1" x14ac:dyDescent="0.2">
      <c r="A116">
        <v>103</v>
      </c>
      <c r="B116" t="s">
        <v>29</v>
      </c>
      <c r="C116">
        <v>-1</v>
      </c>
      <c r="D116">
        <v>8</v>
      </c>
      <c r="E116">
        <v>1027</v>
      </c>
      <c r="F116" t="b">
        <v>1</v>
      </c>
      <c r="G116">
        <v>37.792000000000002</v>
      </c>
      <c r="H116">
        <v>31</v>
      </c>
      <c r="I116">
        <v>7</v>
      </c>
      <c r="J116">
        <v>3.06</v>
      </c>
      <c r="K116" t="s">
        <v>1001</v>
      </c>
      <c r="L116">
        <v>0</v>
      </c>
      <c r="N116" t="s">
        <v>1002</v>
      </c>
      <c r="O116" t="s">
        <v>1003</v>
      </c>
      <c r="P116" t="s">
        <v>16</v>
      </c>
      <c r="Q116">
        <f t="shared" si="3"/>
        <v>0.82027942421676547</v>
      </c>
      <c r="R116">
        <f t="shared" si="4"/>
        <v>0.18522438611346315</v>
      </c>
      <c r="S116">
        <f t="shared" si="5"/>
        <v>0.84311525651097541</v>
      </c>
    </row>
    <row r="117" spans="1:19" hidden="1" x14ac:dyDescent="0.2">
      <c r="A117">
        <v>104</v>
      </c>
      <c r="B117" t="s">
        <v>33</v>
      </c>
      <c r="C117">
        <v>-1</v>
      </c>
      <c r="D117">
        <v>8</v>
      </c>
      <c r="E117">
        <v>1027</v>
      </c>
      <c r="F117" t="b">
        <v>1</v>
      </c>
      <c r="G117">
        <v>37.792000000000002</v>
      </c>
      <c r="H117">
        <v>31</v>
      </c>
      <c r="I117">
        <v>7</v>
      </c>
      <c r="J117">
        <v>3.06</v>
      </c>
      <c r="K117" t="s">
        <v>1001</v>
      </c>
      <c r="L117">
        <v>0</v>
      </c>
      <c r="N117" t="s">
        <v>1004</v>
      </c>
      <c r="O117" t="s">
        <v>1005</v>
      </c>
      <c r="P117" t="s">
        <v>16</v>
      </c>
      <c r="Q117">
        <f t="shared" si="3"/>
        <v>0.82027942421676547</v>
      </c>
      <c r="R117">
        <f t="shared" si="4"/>
        <v>0.18522438611346315</v>
      </c>
      <c r="S117">
        <f t="shared" si="5"/>
        <v>0.84311525651097541</v>
      </c>
    </row>
    <row r="118" spans="1:19" hidden="1" x14ac:dyDescent="0.2">
      <c r="A118">
        <v>13</v>
      </c>
      <c r="B118" t="s">
        <v>1462</v>
      </c>
      <c r="C118">
        <v>-1</v>
      </c>
      <c r="D118">
        <v>7</v>
      </c>
      <c r="E118">
        <v>1026</v>
      </c>
      <c r="F118" t="b">
        <v>1</v>
      </c>
      <c r="G118">
        <v>31.748000000000001</v>
      </c>
      <c r="H118">
        <v>32</v>
      </c>
      <c r="I118">
        <v>5</v>
      </c>
      <c r="J118">
        <v>6.06</v>
      </c>
      <c r="K118" t="s">
        <v>957</v>
      </c>
      <c r="L118">
        <v>0</v>
      </c>
      <c r="N118" t="s">
        <v>1573</v>
      </c>
      <c r="O118" t="s">
        <v>1574</v>
      </c>
      <c r="P118" t="s">
        <v>16</v>
      </c>
      <c r="Q118">
        <f t="shared" si="3"/>
        <v>1.0079375078745116</v>
      </c>
      <c r="R118">
        <f t="shared" si="4"/>
        <v>0.15749023560539246</v>
      </c>
      <c r="S118">
        <f t="shared" si="5"/>
        <v>0.79297223329766386</v>
      </c>
    </row>
    <row r="119" spans="1:19" x14ac:dyDescent="0.2">
      <c r="A119">
        <v>93</v>
      </c>
      <c r="B119" t="s">
        <v>17</v>
      </c>
      <c r="C119">
        <v>2</v>
      </c>
      <c r="D119">
        <v>7</v>
      </c>
      <c r="E119">
        <v>1026</v>
      </c>
      <c r="F119" t="b">
        <v>1</v>
      </c>
      <c r="G119">
        <v>43.084000000000003</v>
      </c>
      <c r="H119">
        <v>31</v>
      </c>
      <c r="I119">
        <v>3</v>
      </c>
      <c r="J119">
        <v>0.66</v>
      </c>
      <c r="K119" t="s">
        <v>974</v>
      </c>
      <c r="L119">
        <v>0</v>
      </c>
      <c r="N119" t="s">
        <v>975</v>
      </c>
      <c r="O119" t="s">
        <v>976</v>
      </c>
      <c r="P119" t="s">
        <v>16</v>
      </c>
      <c r="Q119">
        <f t="shared" si="3"/>
        <v>0.71952464952186423</v>
      </c>
      <c r="R119">
        <f t="shared" si="4"/>
        <v>6.9631417695664277E-2</v>
      </c>
      <c r="S119">
        <f t="shared" si="5"/>
        <v>0.50158099337675588</v>
      </c>
    </row>
    <row r="120" spans="1:19" x14ac:dyDescent="0.2">
      <c r="A120">
        <v>14</v>
      </c>
      <c r="B120" t="s">
        <v>1462</v>
      </c>
      <c r="C120">
        <v>2</v>
      </c>
      <c r="D120">
        <v>7</v>
      </c>
      <c r="E120">
        <v>1026</v>
      </c>
      <c r="F120" t="b">
        <v>1</v>
      </c>
      <c r="G120">
        <v>43.084000000000003</v>
      </c>
      <c r="H120">
        <v>31</v>
      </c>
      <c r="I120">
        <v>3</v>
      </c>
      <c r="J120">
        <v>0.66</v>
      </c>
      <c r="K120" t="s">
        <v>974</v>
      </c>
      <c r="L120">
        <v>0</v>
      </c>
      <c r="N120" t="s">
        <v>1575</v>
      </c>
      <c r="O120" t="s">
        <v>1576</v>
      </c>
      <c r="P120" t="s">
        <v>16</v>
      </c>
      <c r="Q120">
        <f t="shared" si="3"/>
        <v>0.71952464952186423</v>
      </c>
      <c r="R120">
        <f t="shared" si="4"/>
        <v>6.9631417695664277E-2</v>
      </c>
      <c r="S120">
        <f t="shared" si="5"/>
        <v>0.50158099337675588</v>
      </c>
    </row>
    <row r="121" spans="1:19" hidden="1" x14ac:dyDescent="0.2">
      <c r="A121">
        <v>118</v>
      </c>
      <c r="B121" t="s">
        <v>33</v>
      </c>
      <c r="C121">
        <v>-1</v>
      </c>
      <c r="D121">
        <v>9</v>
      </c>
      <c r="E121">
        <v>1008</v>
      </c>
      <c r="F121" t="b">
        <v>1</v>
      </c>
      <c r="G121">
        <v>35.915999999999997</v>
      </c>
      <c r="H121">
        <v>29</v>
      </c>
      <c r="I121">
        <v>10</v>
      </c>
      <c r="J121">
        <v>8.2799999999999994</v>
      </c>
      <c r="K121" t="s">
        <v>323</v>
      </c>
      <c r="L121">
        <v>0</v>
      </c>
      <c r="N121" t="s">
        <v>324</v>
      </c>
      <c r="O121" t="s">
        <v>325</v>
      </c>
      <c r="P121" t="s">
        <v>16</v>
      </c>
      <c r="Q121">
        <f t="shared" si="3"/>
        <v>0.8074395812451276</v>
      </c>
      <c r="R121">
        <f t="shared" si="4"/>
        <v>0.27842744180866469</v>
      </c>
      <c r="S121">
        <f t="shared" si="5"/>
        <v>0.93822610520535243</v>
      </c>
    </row>
    <row r="122" spans="1:19" hidden="1" x14ac:dyDescent="0.2">
      <c r="A122">
        <v>100</v>
      </c>
      <c r="B122" t="s">
        <v>17</v>
      </c>
      <c r="C122">
        <v>-1</v>
      </c>
      <c r="D122">
        <v>8</v>
      </c>
      <c r="E122">
        <v>1027</v>
      </c>
      <c r="F122" t="b">
        <v>1</v>
      </c>
      <c r="G122">
        <v>40.832000000000001</v>
      </c>
      <c r="H122">
        <v>32</v>
      </c>
      <c r="I122">
        <v>4</v>
      </c>
      <c r="J122">
        <v>7.74</v>
      </c>
      <c r="K122" t="s">
        <v>992</v>
      </c>
      <c r="L122">
        <v>0</v>
      </c>
      <c r="N122" t="s">
        <v>993</v>
      </c>
      <c r="O122" t="s">
        <v>994</v>
      </c>
      <c r="P122" t="s">
        <v>16</v>
      </c>
      <c r="Q122">
        <f t="shared" si="3"/>
        <v>0.78369905956112851</v>
      </c>
      <c r="R122">
        <f t="shared" si="4"/>
        <v>9.7962382445141064E-2</v>
      </c>
      <c r="S122">
        <f t="shared" si="5"/>
        <v>0.62454769173199864</v>
      </c>
    </row>
    <row r="123" spans="1:19" hidden="1" x14ac:dyDescent="0.2">
      <c r="A123">
        <v>15</v>
      </c>
      <c r="B123" t="s">
        <v>1462</v>
      </c>
      <c r="C123">
        <v>-1</v>
      </c>
      <c r="D123">
        <v>8</v>
      </c>
      <c r="E123">
        <v>1027</v>
      </c>
      <c r="F123" t="b">
        <v>1</v>
      </c>
      <c r="G123">
        <v>40.832000000000001</v>
      </c>
      <c r="H123">
        <v>32</v>
      </c>
      <c r="I123">
        <v>4</v>
      </c>
      <c r="J123">
        <v>7.74</v>
      </c>
      <c r="K123" t="s">
        <v>992</v>
      </c>
      <c r="L123">
        <v>0</v>
      </c>
      <c r="N123" t="s">
        <v>1577</v>
      </c>
      <c r="O123" t="s">
        <v>1578</v>
      </c>
      <c r="P123" t="s">
        <v>16</v>
      </c>
      <c r="Q123">
        <f t="shared" si="3"/>
        <v>0.78369905956112851</v>
      </c>
      <c r="R123">
        <f t="shared" si="4"/>
        <v>9.7962382445141064E-2</v>
      </c>
      <c r="S123">
        <f t="shared" si="5"/>
        <v>0.62454769173199864</v>
      </c>
    </row>
    <row r="124" spans="1:19" hidden="1" x14ac:dyDescent="0.2">
      <c r="A124">
        <v>6</v>
      </c>
      <c r="B124" t="s">
        <v>33</v>
      </c>
      <c r="C124">
        <v>-1</v>
      </c>
      <c r="D124">
        <v>1</v>
      </c>
      <c r="E124">
        <v>1010</v>
      </c>
      <c r="F124" t="b">
        <v>1</v>
      </c>
      <c r="G124">
        <v>37.18</v>
      </c>
      <c r="H124">
        <v>30</v>
      </c>
      <c r="I124">
        <v>3</v>
      </c>
      <c r="J124">
        <v>2.4</v>
      </c>
      <c r="K124" t="s">
        <v>395</v>
      </c>
      <c r="L124">
        <v>0</v>
      </c>
      <c r="N124" t="s">
        <v>396</v>
      </c>
      <c r="O124" t="s">
        <v>397</v>
      </c>
      <c r="P124" t="s">
        <v>16</v>
      </c>
      <c r="Q124">
        <f t="shared" si="3"/>
        <v>0.80688542227003768</v>
      </c>
      <c r="R124">
        <f t="shared" si="4"/>
        <v>8.0688542227003765E-2</v>
      </c>
      <c r="S124">
        <f t="shared" si="5"/>
        <v>0.55375422881531877</v>
      </c>
    </row>
    <row r="125" spans="1:19" x14ac:dyDescent="0.2">
      <c r="A125">
        <v>107</v>
      </c>
      <c r="B125" t="s">
        <v>17</v>
      </c>
      <c r="C125">
        <v>2</v>
      </c>
      <c r="D125">
        <v>8</v>
      </c>
      <c r="E125">
        <v>1027</v>
      </c>
      <c r="F125" t="b">
        <v>1</v>
      </c>
      <c r="G125">
        <v>46.308</v>
      </c>
      <c r="H125">
        <v>29</v>
      </c>
      <c r="I125">
        <v>1</v>
      </c>
      <c r="J125">
        <v>0.06</v>
      </c>
      <c r="K125" t="s">
        <v>1009</v>
      </c>
      <c r="L125">
        <v>0</v>
      </c>
      <c r="N125" t="s">
        <v>1010</v>
      </c>
      <c r="O125" t="s">
        <v>1011</v>
      </c>
      <c r="P125" t="s">
        <v>16</v>
      </c>
      <c r="Q125">
        <f t="shared" si="3"/>
        <v>0.62624168610175346</v>
      </c>
      <c r="R125">
        <f t="shared" si="4"/>
        <v>2.1594540900060466E-2</v>
      </c>
      <c r="S125">
        <f t="shared" si="5"/>
        <v>0.19422071103050409</v>
      </c>
    </row>
    <row r="126" spans="1:19" x14ac:dyDescent="0.2">
      <c r="A126">
        <v>16</v>
      </c>
      <c r="B126" t="s">
        <v>1462</v>
      </c>
      <c r="C126">
        <v>2</v>
      </c>
      <c r="D126">
        <v>8</v>
      </c>
      <c r="E126">
        <v>1027</v>
      </c>
      <c r="F126" t="b">
        <v>1</v>
      </c>
      <c r="G126">
        <v>46.308</v>
      </c>
      <c r="H126">
        <v>29</v>
      </c>
      <c r="I126">
        <v>1</v>
      </c>
      <c r="J126">
        <v>0.06</v>
      </c>
      <c r="K126" t="s">
        <v>1009</v>
      </c>
      <c r="L126">
        <v>0</v>
      </c>
      <c r="N126" t="s">
        <v>1579</v>
      </c>
      <c r="O126" t="s">
        <v>1580</v>
      </c>
      <c r="P126" t="s">
        <v>16</v>
      </c>
      <c r="Q126">
        <f t="shared" si="3"/>
        <v>0.62624168610175346</v>
      </c>
      <c r="R126">
        <f t="shared" si="4"/>
        <v>2.1594540900060466E-2</v>
      </c>
      <c r="S126">
        <f t="shared" si="5"/>
        <v>0.19422071103050409</v>
      </c>
    </row>
    <row r="127" spans="1:19" hidden="1" x14ac:dyDescent="0.2">
      <c r="A127">
        <v>131</v>
      </c>
      <c r="B127" t="s">
        <v>29</v>
      </c>
      <c r="C127">
        <v>-1</v>
      </c>
      <c r="D127">
        <v>10</v>
      </c>
      <c r="E127">
        <v>1039</v>
      </c>
      <c r="F127" t="b">
        <v>1</v>
      </c>
      <c r="G127">
        <v>35.024000000000001</v>
      </c>
      <c r="H127">
        <v>28</v>
      </c>
      <c r="I127">
        <v>8</v>
      </c>
      <c r="J127">
        <v>4.32</v>
      </c>
      <c r="K127" t="s">
        <v>1432</v>
      </c>
      <c r="L127">
        <v>0</v>
      </c>
      <c r="N127" t="s">
        <v>1433</v>
      </c>
      <c r="O127" t="s">
        <v>1434</v>
      </c>
      <c r="P127" t="s">
        <v>16</v>
      </c>
      <c r="Q127">
        <f t="shared" si="3"/>
        <v>0.79945180447693009</v>
      </c>
      <c r="R127">
        <f t="shared" si="4"/>
        <v>0.22841480127912289</v>
      </c>
      <c r="S127">
        <f t="shared" si="5"/>
        <v>0.89813919074613435</v>
      </c>
    </row>
    <row r="128" spans="1:19" x14ac:dyDescent="0.2">
      <c r="A128">
        <v>66</v>
      </c>
      <c r="B128" t="s">
        <v>21</v>
      </c>
      <c r="C128">
        <v>2</v>
      </c>
      <c r="D128">
        <v>5</v>
      </c>
      <c r="E128">
        <v>1004</v>
      </c>
      <c r="F128" t="b">
        <v>1</v>
      </c>
      <c r="G128">
        <v>35.048000000000002</v>
      </c>
      <c r="H128">
        <v>28</v>
      </c>
      <c r="I128">
        <v>0</v>
      </c>
      <c r="J128">
        <v>0</v>
      </c>
      <c r="K128" t="s">
        <v>188</v>
      </c>
      <c r="L128">
        <v>0</v>
      </c>
      <c r="N128" t="s">
        <v>189</v>
      </c>
      <c r="O128" t="s">
        <v>190</v>
      </c>
      <c r="P128" t="s">
        <v>16</v>
      </c>
      <c r="Q128">
        <f t="shared" si="3"/>
        <v>0.79890435973522023</v>
      </c>
      <c r="R128">
        <f t="shared" si="4"/>
        <v>0</v>
      </c>
      <c r="S128">
        <f t="shared" si="5"/>
        <v>0</v>
      </c>
    </row>
    <row r="129" spans="1:19" hidden="1" x14ac:dyDescent="0.2">
      <c r="A129">
        <v>114</v>
      </c>
      <c r="B129" t="s">
        <v>17</v>
      </c>
      <c r="C129">
        <v>-1</v>
      </c>
      <c r="D129">
        <v>9</v>
      </c>
      <c r="E129">
        <v>1028</v>
      </c>
      <c r="F129" t="b">
        <v>1</v>
      </c>
      <c r="G129">
        <v>34.475999999999999</v>
      </c>
      <c r="H129">
        <v>33</v>
      </c>
      <c r="I129">
        <v>5</v>
      </c>
      <c r="J129">
        <v>4.92</v>
      </c>
      <c r="K129" t="s">
        <v>1027</v>
      </c>
      <c r="L129">
        <v>0</v>
      </c>
      <c r="N129" t="s">
        <v>1028</v>
      </c>
      <c r="O129" t="s">
        <v>1029</v>
      </c>
      <c r="P129" t="s">
        <v>16</v>
      </c>
      <c r="Q129">
        <f t="shared" si="3"/>
        <v>0.95718760877131925</v>
      </c>
      <c r="R129">
        <f t="shared" si="4"/>
        <v>0.14502842557141199</v>
      </c>
      <c r="S129">
        <f t="shared" si="5"/>
        <v>0.76549638037506029</v>
      </c>
    </row>
    <row r="130" spans="1:19" hidden="1" x14ac:dyDescent="0.2">
      <c r="A130">
        <v>17</v>
      </c>
      <c r="B130" t="s">
        <v>1462</v>
      </c>
      <c r="C130">
        <v>-1</v>
      </c>
      <c r="D130">
        <v>9</v>
      </c>
      <c r="E130">
        <v>1028</v>
      </c>
      <c r="F130" t="b">
        <v>1</v>
      </c>
      <c r="G130">
        <v>34.475999999999999</v>
      </c>
      <c r="H130">
        <v>33</v>
      </c>
      <c r="I130">
        <v>5</v>
      </c>
      <c r="J130">
        <v>4.92</v>
      </c>
      <c r="K130" t="s">
        <v>1027</v>
      </c>
      <c r="L130">
        <v>0</v>
      </c>
      <c r="N130" t="s">
        <v>1581</v>
      </c>
      <c r="O130" t="s">
        <v>1582</v>
      </c>
      <c r="P130" t="s">
        <v>16</v>
      </c>
      <c r="Q130">
        <f t="shared" ref="Q130:Q193" si="6">H130/G130</f>
        <v>0.95718760877131925</v>
      </c>
      <c r="R130">
        <f t="shared" ref="R130:R193" si="7">I130/G130</f>
        <v>0.14502842557141199</v>
      </c>
      <c r="S130">
        <f t="shared" ref="S130:S193" si="8">1-EXP((-10*R130))</f>
        <v>0.76549638037506029</v>
      </c>
    </row>
    <row r="131" spans="1:19" x14ac:dyDescent="0.2">
      <c r="A131">
        <v>121</v>
      </c>
      <c r="B131" t="s">
        <v>17</v>
      </c>
      <c r="C131">
        <v>2</v>
      </c>
      <c r="D131">
        <v>9</v>
      </c>
      <c r="E131">
        <v>1028</v>
      </c>
      <c r="F131" t="b">
        <v>1</v>
      </c>
      <c r="G131">
        <v>36.856000000000002</v>
      </c>
      <c r="H131">
        <v>30</v>
      </c>
      <c r="I131">
        <v>2</v>
      </c>
      <c r="J131">
        <v>0.96</v>
      </c>
      <c r="K131" t="s">
        <v>1045</v>
      </c>
      <c r="L131">
        <v>0</v>
      </c>
      <c r="N131" t="s">
        <v>1046</v>
      </c>
      <c r="O131" t="s">
        <v>1047</v>
      </c>
      <c r="P131" t="s">
        <v>16</v>
      </c>
      <c r="Q131">
        <f t="shared" si="6"/>
        <v>0.81397872802257432</v>
      </c>
      <c r="R131">
        <f t="shared" si="7"/>
        <v>5.4265248534838287E-2</v>
      </c>
      <c r="S131">
        <f t="shared" si="8"/>
        <v>0.41879543062388946</v>
      </c>
    </row>
    <row r="132" spans="1:19" x14ac:dyDescent="0.2">
      <c r="A132">
        <v>18</v>
      </c>
      <c r="B132" t="s">
        <v>1462</v>
      </c>
      <c r="C132">
        <v>2</v>
      </c>
      <c r="D132">
        <v>9</v>
      </c>
      <c r="E132">
        <v>1028</v>
      </c>
      <c r="F132" t="b">
        <v>1</v>
      </c>
      <c r="G132">
        <v>41.16</v>
      </c>
      <c r="H132">
        <v>31</v>
      </c>
      <c r="I132">
        <v>1</v>
      </c>
      <c r="J132">
        <v>0.06</v>
      </c>
      <c r="K132" t="s">
        <v>1583</v>
      </c>
      <c r="L132">
        <v>0</v>
      </c>
      <c r="N132" t="s">
        <v>1584</v>
      </c>
      <c r="O132" t="s">
        <v>1585</v>
      </c>
      <c r="P132" t="s">
        <v>16</v>
      </c>
      <c r="Q132">
        <f t="shared" si="6"/>
        <v>0.75315840621963082</v>
      </c>
      <c r="R132">
        <f t="shared" si="7"/>
        <v>2.4295432458697766E-2</v>
      </c>
      <c r="S132">
        <f t="shared" si="8"/>
        <v>0.21569266348502736</v>
      </c>
    </row>
    <row r="133" spans="1:19" hidden="1" x14ac:dyDescent="0.2">
      <c r="A133">
        <v>128</v>
      </c>
      <c r="B133" t="s">
        <v>17</v>
      </c>
      <c r="C133">
        <v>-1</v>
      </c>
      <c r="D133">
        <v>10</v>
      </c>
      <c r="E133">
        <v>1029</v>
      </c>
      <c r="F133" t="b">
        <v>1</v>
      </c>
      <c r="G133">
        <v>30.64</v>
      </c>
      <c r="H133">
        <v>31</v>
      </c>
      <c r="I133">
        <v>2</v>
      </c>
      <c r="J133">
        <v>3.12</v>
      </c>
      <c r="K133" t="s">
        <v>1063</v>
      </c>
      <c r="L133">
        <v>0</v>
      </c>
      <c r="N133" t="s">
        <v>1064</v>
      </c>
      <c r="O133" t="s">
        <v>1065</v>
      </c>
      <c r="P133" t="s">
        <v>16</v>
      </c>
      <c r="Q133">
        <f t="shared" si="6"/>
        <v>1.0117493472584855</v>
      </c>
      <c r="R133">
        <f t="shared" si="7"/>
        <v>6.5274151436031325E-2</v>
      </c>
      <c r="S133">
        <f t="shared" si="8"/>
        <v>0.47938345920209036</v>
      </c>
    </row>
    <row r="134" spans="1:19" hidden="1" x14ac:dyDescent="0.2">
      <c r="A134">
        <v>19</v>
      </c>
      <c r="B134" t="s">
        <v>1462</v>
      </c>
      <c r="C134">
        <v>-1</v>
      </c>
      <c r="D134">
        <v>10</v>
      </c>
      <c r="E134">
        <v>1029</v>
      </c>
      <c r="F134" t="b">
        <v>1</v>
      </c>
      <c r="G134">
        <v>30.64</v>
      </c>
      <c r="H134">
        <v>31</v>
      </c>
      <c r="I134">
        <v>2</v>
      </c>
      <c r="J134">
        <v>3.12</v>
      </c>
      <c r="K134" t="s">
        <v>1063</v>
      </c>
      <c r="L134">
        <v>0</v>
      </c>
      <c r="N134" t="s">
        <v>1586</v>
      </c>
      <c r="O134" t="s">
        <v>1587</v>
      </c>
      <c r="P134" t="s">
        <v>16</v>
      </c>
      <c r="Q134">
        <f t="shared" si="6"/>
        <v>1.0117493472584855</v>
      </c>
      <c r="R134">
        <f t="shared" si="7"/>
        <v>6.5274151436031325E-2</v>
      </c>
      <c r="S134">
        <f t="shared" si="8"/>
        <v>0.47938345920209036</v>
      </c>
    </row>
    <row r="135" spans="1:19" x14ac:dyDescent="0.2">
      <c r="A135">
        <v>135</v>
      </c>
      <c r="B135" t="s">
        <v>17</v>
      </c>
      <c r="C135">
        <v>2</v>
      </c>
      <c r="D135">
        <v>10</v>
      </c>
      <c r="E135">
        <v>1029</v>
      </c>
      <c r="F135" t="b">
        <v>1</v>
      </c>
      <c r="G135">
        <v>36.512</v>
      </c>
      <c r="H135">
        <v>27</v>
      </c>
      <c r="I135">
        <v>1</v>
      </c>
      <c r="J135">
        <v>0.12</v>
      </c>
      <c r="K135" t="s">
        <v>1081</v>
      </c>
      <c r="L135">
        <v>0</v>
      </c>
      <c r="N135" t="s">
        <v>1082</v>
      </c>
      <c r="O135" t="s">
        <v>1083</v>
      </c>
      <c r="P135" t="s">
        <v>16</v>
      </c>
      <c r="Q135">
        <f t="shared" si="6"/>
        <v>0.73948290972830855</v>
      </c>
      <c r="R135">
        <f t="shared" si="7"/>
        <v>2.7388255915863278E-2</v>
      </c>
      <c r="S135">
        <f t="shared" si="8"/>
        <v>0.23957862545689201</v>
      </c>
    </row>
    <row r="136" spans="1:19" hidden="1" x14ac:dyDescent="0.2">
      <c r="A136">
        <v>76</v>
      </c>
      <c r="B136" t="s">
        <v>33</v>
      </c>
      <c r="C136">
        <v>-1</v>
      </c>
      <c r="D136">
        <v>6</v>
      </c>
      <c r="E136">
        <v>1025</v>
      </c>
      <c r="F136" t="b">
        <v>1</v>
      </c>
      <c r="G136">
        <v>30.972000000000001</v>
      </c>
      <c r="H136">
        <v>24</v>
      </c>
      <c r="I136">
        <v>3</v>
      </c>
      <c r="J136">
        <v>2.58</v>
      </c>
      <c r="K136" t="s">
        <v>933</v>
      </c>
      <c r="L136">
        <v>0</v>
      </c>
      <c r="N136" t="s">
        <v>934</v>
      </c>
      <c r="O136" t="s">
        <v>935</v>
      </c>
      <c r="P136" t="s">
        <v>16</v>
      </c>
      <c r="Q136">
        <f t="shared" si="6"/>
        <v>0.77489345215032934</v>
      </c>
      <c r="R136">
        <f t="shared" si="7"/>
        <v>9.6861681518791168E-2</v>
      </c>
      <c r="S136">
        <f t="shared" si="8"/>
        <v>0.62039225719764646</v>
      </c>
    </row>
    <row r="137" spans="1:19" x14ac:dyDescent="0.2">
      <c r="A137">
        <v>56</v>
      </c>
      <c r="B137" t="s">
        <v>37</v>
      </c>
      <c r="C137">
        <v>2</v>
      </c>
      <c r="D137">
        <v>4</v>
      </c>
      <c r="E137">
        <v>1033</v>
      </c>
      <c r="F137" t="b">
        <v>1</v>
      </c>
      <c r="G137">
        <v>28.431999999999999</v>
      </c>
      <c r="H137">
        <v>22</v>
      </c>
      <c r="I137">
        <v>0</v>
      </c>
      <c r="J137">
        <v>0</v>
      </c>
      <c r="K137" t="s">
        <v>1240</v>
      </c>
      <c r="L137">
        <v>0</v>
      </c>
      <c r="N137" t="s">
        <v>1241</v>
      </c>
      <c r="O137" t="s">
        <v>1242</v>
      </c>
      <c r="P137" t="s">
        <v>16</v>
      </c>
      <c r="Q137">
        <f t="shared" si="6"/>
        <v>0.77377602701181769</v>
      </c>
      <c r="R137">
        <f t="shared" si="7"/>
        <v>0</v>
      </c>
      <c r="S137">
        <f t="shared" si="8"/>
        <v>0</v>
      </c>
    </row>
    <row r="138" spans="1:19" x14ac:dyDescent="0.2">
      <c r="A138">
        <v>20</v>
      </c>
      <c r="B138" t="s">
        <v>1462</v>
      </c>
      <c r="C138">
        <v>2</v>
      </c>
      <c r="D138">
        <v>10</v>
      </c>
      <c r="E138">
        <v>1029</v>
      </c>
      <c r="F138" t="b">
        <v>1</v>
      </c>
      <c r="G138">
        <v>36.512</v>
      </c>
      <c r="H138">
        <v>27</v>
      </c>
      <c r="I138">
        <v>1</v>
      </c>
      <c r="J138">
        <v>0.12</v>
      </c>
      <c r="K138" t="s">
        <v>1081</v>
      </c>
      <c r="L138">
        <v>0</v>
      </c>
      <c r="N138" t="s">
        <v>1588</v>
      </c>
      <c r="O138" t="s">
        <v>1589</v>
      </c>
      <c r="P138" t="s">
        <v>16</v>
      </c>
      <c r="Q138">
        <f t="shared" si="6"/>
        <v>0.73948290972830855</v>
      </c>
      <c r="R138">
        <f t="shared" si="7"/>
        <v>2.7388255915863278E-2</v>
      </c>
      <c r="S138">
        <f t="shared" si="8"/>
        <v>0.23957862545689201</v>
      </c>
    </row>
    <row r="139" spans="1:19" hidden="1" x14ac:dyDescent="0.2">
      <c r="A139">
        <v>2</v>
      </c>
      <c r="B139" t="s">
        <v>17</v>
      </c>
      <c r="C139">
        <v>-1</v>
      </c>
      <c r="D139">
        <v>1</v>
      </c>
      <c r="E139">
        <v>1030</v>
      </c>
      <c r="F139" t="b">
        <v>1</v>
      </c>
      <c r="G139">
        <v>31.66</v>
      </c>
      <c r="H139">
        <v>34</v>
      </c>
      <c r="I139">
        <v>3</v>
      </c>
      <c r="J139">
        <v>1.44</v>
      </c>
      <c r="K139" t="s">
        <v>1099</v>
      </c>
      <c r="L139">
        <v>0</v>
      </c>
      <c r="N139" t="s">
        <v>1100</v>
      </c>
      <c r="O139" t="s">
        <v>1101</v>
      </c>
      <c r="P139" t="s">
        <v>16</v>
      </c>
      <c r="Q139">
        <f t="shared" si="6"/>
        <v>1.0739102969046115</v>
      </c>
      <c r="R139">
        <f t="shared" si="7"/>
        <v>9.475679090334807E-2</v>
      </c>
      <c r="S139">
        <f t="shared" si="8"/>
        <v>0.61231724246870378</v>
      </c>
    </row>
    <row r="140" spans="1:19" hidden="1" x14ac:dyDescent="0.2">
      <c r="A140">
        <v>75</v>
      </c>
      <c r="B140" t="s">
        <v>29</v>
      </c>
      <c r="C140">
        <v>-1</v>
      </c>
      <c r="D140">
        <v>6</v>
      </c>
      <c r="E140">
        <v>1025</v>
      </c>
      <c r="F140" t="b">
        <v>1</v>
      </c>
      <c r="G140">
        <v>31.34</v>
      </c>
      <c r="H140">
        <v>24</v>
      </c>
      <c r="I140">
        <v>3</v>
      </c>
      <c r="J140">
        <v>2.58</v>
      </c>
      <c r="K140" t="s">
        <v>930</v>
      </c>
      <c r="L140">
        <v>0</v>
      </c>
      <c r="N140" t="s">
        <v>931</v>
      </c>
      <c r="O140" t="s">
        <v>932</v>
      </c>
      <c r="P140" t="s">
        <v>16</v>
      </c>
      <c r="Q140">
        <f t="shared" si="6"/>
        <v>0.76579451180599878</v>
      </c>
      <c r="R140">
        <f t="shared" si="7"/>
        <v>9.5724313975749847E-2</v>
      </c>
      <c r="S140">
        <f t="shared" si="8"/>
        <v>0.61605007546610002</v>
      </c>
    </row>
    <row r="141" spans="1:19" hidden="1" x14ac:dyDescent="0.2">
      <c r="A141">
        <v>33</v>
      </c>
      <c r="B141" t="s">
        <v>29</v>
      </c>
      <c r="C141">
        <v>-1</v>
      </c>
      <c r="D141">
        <v>3</v>
      </c>
      <c r="E141">
        <v>1032</v>
      </c>
      <c r="F141" t="b">
        <v>1</v>
      </c>
      <c r="G141">
        <v>40.58</v>
      </c>
      <c r="H141">
        <v>31</v>
      </c>
      <c r="I141">
        <v>5</v>
      </c>
      <c r="J141">
        <v>3.36</v>
      </c>
      <c r="K141" t="s">
        <v>1180</v>
      </c>
      <c r="L141">
        <v>0</v>
      </c>
      <c r="N141" t="s">
        <v>1181</v>
      </c>
      <c r="O141" t="s">
        <v>1182</v>
      </c>
      <c r="P141" t="s">
        <v>16</v>
      </c>
      <c r="Q141">
        <f t="shared" si="6"/>
        <v>0.76392311483489406</v>
      </c>
      <c r="R141">
        <f t="shared" si="7"/>
        <v>0.12321340561853131</v>
      </c>
      <c r="S141">
        <f t="shared" si="8"/>
        <v>0.70833052599685487</v>
      </c>
    </row>
    <row r="142" spans="1:19" hidden="1" x14ac:dyDescent="0.2">
      <c r="A142">
        <v>1</v>
      </c>
      <c r="B142" t="s">
        <v>1462</v>
      </c>
      <c r="C142">
        <v>-1</v>
      </c>
      <c r="D142">
        <v>1</v>
      </c>
      <c r="E142">
        <v>1030</v>
      </c>
      <c r="F142" t="b">
        <v>1</v>
      </c>
      <c r="G142">
        <v>31.66</v>
      </c>
      <c r="H142">
        <v>34</v>
      </c>
      <c r="I142">
        <v>3</v>
      </c>
      <c r="J142">
        <v>1.44</v>
      </c>
      <c r="K142" t="s">
        <v>1099</v>
      </c>
      <c r="L142">
        <v>0</v>
      </c>
      <c r="N142" t="s">
        <v>1590</v>
      </c>
      <c r="O142" t="s">
        <v>1591</v>
      </c>
      <c r="P142" t="s">
        <v>16</v>
      </c>
      <c r="Q142">
        <f t="shared" si="6"/>
        <v>1.0739102969046115</v>
      </c>
      <c r="R142">
        <f t="shared" si="7"/>
        <v>9.475679090334807E-2</v>
      </c>
      <c r="S142">
        <f t="shared" si="8"/>
        <v>0.61231724246870378</v>
      </c>
    </row>
    <row r="143" spans="1:19" x14ac:dyDescent="0.2">
      <c r="A143">
        <v>9</v>
      </c>
      <c r="B143" t="s">
        <v>17</v>
      </c>
      <c r="C143">
        <v>2</v>
      </c>
      <c r="D143">
        <v>1</v>
      </c>
      <c r="E143">
        <v>1030</v>
      </c>
      <c r="F143" t="b">
        <v>1</v>
      </c>
      <c r="G143">
        <v>37.084000000000003</v>
      </c>
      <c r="H143">
        <v>32</v>
      </c>
      <c r="I143">
        <v>0</v>
      </c>
      <c r="J143">
        <v>0</v>
      </c>
      <c r="K143" t="s">
        <v>1117</v>
      </c>
      <c r="L143">
        <v>0</v>
      </c>
      <c r="N143" t="s">
        <v>1118</v>
      </c>
      <c r="O143" t="s">
        <v>1119</v>
      </c>
      <c r="P143" t="s">
        <v>16</v>
      </c>
      <c r="Q143">
        <f t="shared" si="6"/>
        <v>0.86290583540071186</v>
      </c>
      <c r="R143">
        <f t="shared" si="7"/>
        <v>0</v>
      </c>
      <c r="S143">
        <f t="shared" si="8"/>
        <v>0</v>
      </c>
    </row>
    <row r="144" spans="1:19" hidden="1" x14ac:dyDescent="0.2">
      <c r="A144">
        <v>101</v>
      </c>
      <c r="B144" t="s">
        <v>21</v>
      </c>
      <c r="C144">
        <v>-1</v>
      </c>
      <c r="D144">
        <v>8</v>
      </c>
      <c r="E144">
        <v>1027</v>
      </c>
      <c r="F144" t="b">
        <v>1</v>
      </c>
      <c r="G144">
        <v>42.131999999999998</v>
      </c>
      <c r="H144">
        <v>32</v>
      </c>
      <c r="I144">
        <v>5</v>
      </c>
      <c r="J144">
        <v>4.1399999999999997</v>
      </c>
      <c r="K144" t="s">
        <v>995</v>
      </c>
      <c r="L144">
        <v>0</v>
      </c>
      <c r="N144" t="s">
        <v>996</v>
      </c>
      <c r="O144" t="s">
        <v>997</v>
      </c>
      <c r="P144" t="s">
        <v>16</v>
      </c>
      <c r="Q144">
        <f t="shared" si="6"/>
        <v>0.75951770625652715</v>
      </c>
      <c r="R144">
        <f t="shared" si="7"/>
        <v>0.11867464160258237</v>
      </c>
      <c r="S144">
        <f t="shared" si="8"/>
        <v>0.69478731454213283</v>
      </c>
    </row>
    <row r="145" spans="1:19" x14ac:dyDescent="0.2">
      <c r="A145">
        <v>2</v>
      </c>
      <c r="B145" t="s">
        <v>1462</v>
      </c>
      <c r="C145">
        <v>2</v>
      </c>
      <c r="D145">
        <v>1</v>
      </c>
      <c r="E145">
        <v>1030</v>
      </c>
      <c r="F145" t="b">
        <v>1</v>
      </c>
      <c r="G145">
        <v>37.084000000000003</v>
      </c>
      <c r="H145">
        <v>32</v>
      </c>
      <c r="I145">
        <v>0</v>
      </c>
      <c r="J145">
        <v>0</v>
      </c>
      <c r="K145" t="s">
        <v>1117</v>
      </c>
      <c r="L145">
        <v>0</v>
      </c>
      <c r="N145" t="s">
        <v>1592</v>
      </c>
      <c r="O145" t="s">
        <v>1593</v>
      </c>
      <c r="P145" t="s">
        <v>16</v>
      </c>
      <c r="Q145">
        <f t="shared" si="6"/>
        <v>0.86290583540071186</v>
      </c>
      <c r="R145">
        <f t="shared" si="7"/>
        <v>0</v>
      </c>
      <c r="S145">
        <f t="shared" si="8"/>
        <v>0</v>
      </c>
    </row>
    <row r="146" spans="1:19" hidden="1" x14ac:dyDescent="0.2">
      <c r="A146">
        <v>129</v>
      </c>
      <c r="B146" t="s">
        <v>21</v>
      </c>
      <c r="C146">
        <v>-1</v>
      </c>
      <c r="D146">
        <v>10</v>
      </c>
      <c r="E146">
        <v>1009</v>
      </c>
      <c r="F146" t="b">
        <v>1</v>
      </c>
      <c r="G146">
        <v>37.58</v>
      </c>
      <c r="H146">
        <v>28</v>
      </c>
      <c r="I146">
        <v>6</v>
      </c>
      <c r="J146">
        <v>4.32</v>
      </c>
      <c r="K146" t="s">
        <v>350</v>
      </c>
      <c r="L146">
        <v>0</v>
      </c>
      <c r="N146" t="s">
        <v>351</v>
      </c>
      <c r="O146" t="s">
        <v>352</v>
      </c>
      <c r="P146" t="s">
        <v>16</v>
      </c>
      <c r="Q146">
        <f t="shared" si="6"/>
        <v>0.745077168706759</v>
      </c>
      <c r="R146">
        <f t="shared" si="7"/>
        <v>0.15965939329430548</v>
      </c>
      <c r="S146">
        <f t="shared" si="8"/>
        <v>0.79741463646539867</v>
      </c>
    </row>
    <row r="147" spans="1:19" hidden="1" x14ac:dyDescent="0.2">
      <c r="A147">
        <v>16</v>
      </c>
      <c r="B147" t="s">
        <v>17</v>
      </c>
      <c r="C147">
        <v>-1</v>
      </c>
      <c r="D147">
        <v>2</v>
      </c>
      <c r="E147">
        <v>1031</v>
      </c>
      <c r="F147" t="b">
        <v>1</v>
      </c>
      <c r="G147">
        <v>33.264000000000003</v>
      </c>
      <c r="H147">
        <v>30</v>
      </c>
      <c r="I147">
        <v>5</v>
      </c>
      <c r="J147">
        <v>7.38</v>
      </c>
      <c r="K147" t="s">
        <v>1135</v>
      </c>
      <c r="L147">
        <v>0</v>
      </c>
      <c r="N147" t="s">
        <v>1136</v>
      </c>
      <c r="O147" t="s">
        <v>1137</v>
      </c>
      <c r="P147" t="s">
        <v>16</v>
      </c>
      <c r="Q147">
        <f t="shared" si="6"/>
        <v>0.90187590187590183</v>
      </c>
      <c r="R147">
        <f t="shared" si="7"/>
        <v>0.15031265031265029</v>
      </c>
      <c r="S147">
        <f t="shared" si="8"/>
        <v>0.77756636757945086</v>
      </c>
    </row>
    <row r="148" spans="1:19" hidden="1" x14ac:dyDescent="0.2">
      <c r="A148">
        <v>3</v>
      </c>
      <c r="B148" t="s">
        <v>1462</v>
      </c>
      <c r="C148">
        <v>-1</v>
      </c>
      <c r="D148">
        <v>2</v>
      </c>
      <c r="E148">
        <v>1031</v>
      </c>
      <c r="F148" t="b">
        <v>1</v>
      </c>
      <c r="G148">
        <v>33.264000000000003</v>
      </c>
      <c r="H148">
        <v>30</v>
      </c>
      <c r="I148">
        <v>5</v>
      </c>
      <c r="J148">
        <v>7.38</v>
      </c>
      <c r="K148" t="s">
        <v>1135</v>
      </c>
      <c r="L148">
        <v>0</v>
      </c>
      <c r="N148" t="s">
        <v>1594</v>
      </c>
      <c r="O148" t="s">
        <v>1595</v>
      </c>
      <c r="P148" t="s">
        <v>16</v>
      </c>
      <c r="Q148">
        <f t="shared" si="6"/>
        <v>0.90187590187590183</v>
      </c>
      <c r="R148">
        <f t="shared" si="7"/>
        <v>0.15031265031265029</v>
      </c>
      <c r="S148">
        <f t="shared" si="8"/>
        <v>0.77756636757945086</v>
      </c>
    </row>
    <row r="149" spans="1:19" x14ac:dyDescent="0.2">
      <c r="A149">
        <v>23</v>
      </c>
      <c r="B149" t="s">
        <v>17</v>
      </c>
      <c r="C149">
        <v>2</v>
      </c>
      <c r="D149">
        <v>2</v>
      </c>
      <c r="E149">
        <v>1031</v>
      </c>
      <c r="F149" t="b">
        <v>1</v>
      </c>
      <c r="G149">
        <v>45.584000000000003</v>
      </c>
      <c r="H149">
        <v>31</v>
      </c>
      <c r="I149">
        <v>1</v>
      </c>
      <c r="J149">
        <v>0.12</v>
      </c>
      <c r="K149" t="s">
        <v>1153</v>
      </c>
      <c r="L149">
        <v>0</v>
      </c>
      <c r="N149" t="s">
        <v>1154</v>
      </c>
      <c r="O149" t="s">
        <v>1155</v>
      </c>
      <c r="P149" t="s">
        <v>16</v>
      </c>
      <c r="Q149">
        <f t="shared" si="6"/>
        <v>0.68006318006318001</v>
      </c>
      <c r="R149">
        <f t="shared" si="7"/>
        <v>2.1937521937521937E-2</v>
      </c>
      <c r="S149">
        <f t="shared" si="8"/>
        <v>0.19697964717696792</v>
      </c>
    </row>
    <row r="150" spans="1:19" x14ac:dyDescent="0.2">
      <c r="A150">
        <v>4</v>
      </c>
      <c r="B150" t="s">
        <v>1462</v>
      </c>
      <c r="C150">
        <v>2</v>
      </c>
      <c r="D150">
        <v>2</v>
      </c>
      <c r="E150">
        <v>1031</v>
      </c>
      <c r="F150" t="b">
        <v>1</v>
      </c>
      <c r="G150">
        <v>45.584000000000003</v>
      </c>
      <c r="H150">
        <v>31</v>
      </c>
      <c r="I150">
        <v>1</v>
      </c>
      <c r="J150">
        <v>0.12</v>
      </c>
      <c r="K150" t="s">
        <v>1153</v>
      </c>
      <c r="L150">
        <v>0</v>
      </c>
      <c r="N150" t="s">
        <v>1596</v>
      </c>
      <c r="O150" t="s">
        <v>1597</v>
      </c>
      <c r="P150" t="s">
        <v>16</v>
      </c>
      <c r="Q150">
        <f t="shared" si="6"/>
        <v>0.68006318006318001</v>
      </c>
      <c r="R150">
        <f t="shared" si="7"/>
        <v>2.1937521937521937E-2</v>
      </c>
      <c r="S150">
        <f t="shared" si="8"/>
        <v>0.19697964717696792</v>
      </c>
    </row>
    <row r="151" spans="1:19" hidden="1" x14ac:dyDescent="0.2">
      <c r="A151">
        <v>62</v>
      </c>
      <c r="B151" t="s">
        <v>33</v>
      </c>
      <c r="C151">
        <v>-1</v>
      </c>
      <c r="D151">
        <v>5</v>
      </c>
      <c r="E151">
        <v>1024</v>
      </c>
      <c r="F151" t="b">
        <v>1</v>
      </c>
      <c r="G151">
        <v>42.128</v>
      </c>
      <c r="H151">
        <v>31</v>
      </c>
      <c r="I151">
        <v>9</v>
      </c>
      <c r="J151">
        <v>11.1</v>
      </c>
      <c r="K151" t="s">
        <v>897</v>
      </c>
      <c r="L151">
        <v>0</v>
      </c>
      <c r="N151" t="s">
        <v>898</v>
      </c>
      <c r="O151" t="s">
        <v>899</v>
      </c>
      <c r="P151" t="s">
        <v>16</v>
      </c>
      <c r="Q151">
        <f t="shared" si="6"/>
        <v>0.73585263957462965</v>
      </c>
      <c r="R151">
        <f t="shared" si="7"/>
        <v>0.21363463729586024</v>
      </c>
      <c r="S151">
        <f t="shared" si="8"/>
        <v>0.88191450381825498</v>
      </c>
    </row>
    <row r="152" spans="1:19" x14ac:dyDescent="0.2">
      <c r="A152">
        <v>37</v>
      </c>
      <c r="B152" t="s">
        <v>17</v>
      </c>
      <c r="C152">
        <v>2</v>
      </c>
      <c r="D152">
        <v>3</v>
      </c>
      <c r="E152">
        <v>1032</v>
      </c>
      <c r="F152" t="b">
        <v>1</v>
      </c>
      <c r="G152">
        <v>26.527999999999999</v>
      </c>
      <c r="H152">
        <v>32</v>
      </c>
      <c r="I152">
        <v>0</v>
      </c>
      <c r="J152">
        <v>0</v>
      </c>
      <c r="K152" t="s">
        <v>1189</v>
      </c>
      <c r="L152">
        <v>0</v>
      </c>
      <c r="N152" t="s">
        <v>1190</v>
      </c>
      <c r="O152" t="s">
        <v>1191</v>
      </c>
      <c r="P152" t="s">
        <v>16</v>
      </c>
      <c r="Q152">
        <f t="shared" si="6"/>
        <v>1.2062726176115803</v>
      </c>
      <c r="R152">
        <f t="shared" si="7"/>
        <v>0</v>
      </c>
      <c r="S152">
        <f t="shared" si="8"/>
        <v>0</v>
      </c>
    </row>
    <row r="153" spans="1:19" x14ac:dyDescent="0.2">
      <c r="A153">
        <v>38</v>
      </c>
      <c r="B153" t="s">
        <v>21</v>
      </c>
      <c r="C153">
        <v>2</v>
      </c>
      <c r="D153">
        <v>3</v>
      </c>
      <c r="E153">
        <v>1032</v>
      </c>
      <c r="F153" t="b">
        <v>1</v>
      </c>
      <c r="G153">
        <v>40.923999999999999</v>
      </c>
      <c r="H153">
        <v>30</v>
      </c>
      <c r="I153">
        <v>0</v>
      </c>
      <c r="J153">
        <v>0</v>
      </c>
      <c r="K153" t="s">
        <v>1192</v>
      </c>
      <c r="L153">
        <v>0</v>
      </c>
      <c r="N153" t="s">
        <v>1193</v>
      </c>
      <c r="O153" t="s">
        <v>1194</v>
      </c>
      <c r="P153" t="s">
        <v>16</v>
      </c>
      <c r="Q153">
        <f t="shared" si="6"/>
        <v>0.73306617143974195</v>
      </c>
      <c r="R153">
        <f t="shared" si="7"/>
        <v>0</v>
      </c>
      <c r="S153">
        <f t="shared" si="8"/>
        <v>0</v>
      </c>
    </row>
    <row r="154" spans="1:19" x14ac:dyDescent="0.2">
      <c r="A154">
        <v>83</v>
      </c>
      <c r="B154" t="s">
        <v>33</v>
      </c>
      <c r="C154">
        <v>2</v>
      </c>
      <c r="D154">
        <v>6</v>
      </c>
      <c r="E154">
        <v>1025</v>
      </c>
      <c r="F154" t="b">
        <v>1</v>
      </c>
      <c r="G154">
        <v>32.74</v>
      </c>
      <c r="H154">
        <v>24</v>
      </c>
      <c r="I154">
        <v>0</v>
      </c>
      <c r="J154">
        <v>0</v>
      </c>
      <c r="K154" t="s">
        <v>951</v>
      </c>
      <c r="L154">
        <v>0</v>
      </c>
      <c r="N154" t="s">
        <v>952</v>
      </c>
      <c r="O154" t="s">
        <v>953</v>
      </c>
      <c r="P154" t="s">
        <v>16</v>
      </c>
      <c r="Q154">
        <f t="shared" si="6"/>
        <v>0.73304825901038484</v>
      </c>
      <c r="R154">
        <f t="shared" si="7"/>
        <v>0</v>
      </c>
      <c r="S154">
        <f t="shared" si="8"/>
        <v>0</v>
      </c>
    </row>
    <row r="155" spans="1:19" x14ac:dyDescent="0.2">
      <c r="A155">
        <v>40</v>
      </c>
      <c r="B155" t="s">
        <v>29</v>
      </c>
      <c r="C155">
        <v>2</v>
      </c>
      <c r="D155">
        <v>3</v>
      </c>
      <c r="E155">
        <v>1012</v>
      </c>
      <c r="F155" t="b">
        <v>1</v>
      </c>
      <c r="G155">
        <v>42.408000000000001</v>
      </c>
      <c r="H155">
        <v>31</v>
      </c>
      <c r="I155">
        <v>0</v>
      </c>
      <c r="J155">
        <v>0</v>
      </c>
      <c r="K155" t="s">
        <v>482</v>
      </c>
      <c r="L155">
        <v>0</v>
      </c>
      <c r="N155" t="s">
        <v>483</v>
      </c>
      <c r="O155" t="s">
        <v>484</v>
      </c>
      <c r="P155" t="s">
        <v>16</v>
      </c>
      <c r="Q155">
        <f t="shared" si="6"/>
        <v>0.73099415204678364</v>
      </c>
      <c r="R155">
        <f t="shared" si="7"/>
        <v>0</v>
      </c>
      <c r="S155">
        <f t="shared" si="8"/>
        <v>0</v>
      </c>
    </row>
    <row r="156" spans="1:19" x14ac:dyDescent="0.2">
      <c r="A156">
        <v>41</v>
      </c>
      <c r="B156" t="s">
        <v>33</v>
      </c>
      <c r="C156">
        <v>2</v>
      </c>
      <c r="D156">
        <v>3</v>
      </c>
      <c r="E156">
        <v>1012</v>
      </c>
      <c r="F156" t="b">
        <v>1</v>
      </c>
      <c r="G156">
        <v>42.408000000000001</v>
      </c>
      <c r="H156">
        <v>31</v>
      </c>
      <c r="I156">
        <v>0</v>
      </c>
      <c r="J156">
        <v>0</v>
      </c>
      <c r="K156" t="s">
        <v>482</v>
      </c>
      <c r="L156">
        <v>0</v>
      </c>
      <c r="N156" t="s">
        <v>485</v>
      </c>
      <c r="O156" t="s">
        <v>486</v>
      </c>
      <c r="P156" t="s">
        <v>16</v>
      </c>
      <c r="Q156">
        <f t="shared" si="6"/>
        <v>0.73099415204678364</v>
      </c>
      <c r="R156">
        <f t="shared" si="7"/>
        <v>0</v>
      </c>
      <c r="S156">
        <f t="shared" si="8"/>
        <v>0</v>
      </c>
    </row>
    <row r="157" spans="1:19" hidden="1" x14ac:dyDescent="0.2">
      <c r="A157">
        <v>59</v>
      </c>
      <c r="B157" t="s">
        <v>21</v>
      </c>
      <c r="C157">
        <v>-1</v>
      </c>
      <c r="D157">
        <v>5</v>
      </c>
      <c r="E157">
        <v>1034</v>
      </c>
      <c r="F157" t="b">
        <v>1</v>
      </c>
      <c r="G157">
        <v>39.752000000000002</v>
      </c>
      <c r="H157">
        <v>29</v>
      </c>
      <c r="I157">
        <v>5</v>
      </c>
      <c r="J157">
        <v>3.96</v>
      </c>
      <c r="K157" t="s">
        <v>1246</v>
      </c>
      <c r="L157">
        <v>0</v>
      </c>
      <c r="N157" t="s">
        <v>1247</v>
      </c>
      <c r="O157" t="s">
        <v>1248</v>
      </c>
      <c r="P157" t="s">
        <v>16</v>
      </c>
      <c r="Q157">
        <f t="shared" si="6"/>
        <v>0.72952304286576775</v>
      </c>
      <c r="R157">
        <f t="shared" si="7"/>
        <v>0.12577983497685649</v>
      </c>
      <c r="S157">
        <f t="shared" si="8"/>
        <v>0.7157207785693972</v>
      </c>
    </row>
    <row r="158" spans="1:19" x14ac:dyDescent="0.2">
      <c r="A158">
        <v>6</v>
      </c>
      <c r="B158" t="s">
        <v>1462</v>
      </c>
      <c r="C158">
        <v>2</v>
      </c>
      <c r="D158">
        <v>3</v>
      </c>
      <c r="E158">
        <v>1032</v>
      </c>
      <c r="F158" t="b">
        <v>1</v>
      </c>
      <c r="G158">
        <v>26.527999999999999</v>
      </c>
      <c r="H158">
        <v>32</v>
      </c>
      <c r="I158">
        <v>0</v>
      </c>
      <c r="J158">
        <v>0</v>
      </c>
      <c r="K158" t="s">
        <v>1189</v>
      </c>
      <c r="L158">
        <v>0</v>
      </c>
      <c r="N158" t="s">
        <v>1600</v>
      </c>
      <c r="O158" t="s">
        <v>1601</v>
      </c>
      <c r="P158" t="s">
        <v>16</v>
      </c>
      <c r="Q158">
        <f t="shared" si="6"/>
        <v>1.2062726176115803</v>
      </c>
      <c r="R158">
        <f t="shared" si="7"/>
        <v>0</v>
      </c>
      <c r="S158">
        <f t="shared" si="8"/>
        <v>0</v>
      </c>
    </row>
    <row r="159" spans="1:19" hidden="1" x14ac:dyDescent="0.2">
      <c r="A159">
        <v>30</v>
      </c>
      <c r="B159" t="s">
        <v>17</v>
      </c>
      <c r="C159">
        <v>-1</v>
      </c>
      <c r="D159">
        <v>3</v>
      </c>
      <c r="E159">
        <v>1032</v>
      </c>
      <c r="F159" t="b">
        <v>1</v>
      </c>
      <c r="G159">
        <v>36.908000000000001</v>
      </c>
      <c r="H159">
        <v>34</v>
      </c>
      <c r="I159">
        <v>6</v>
      </c>
      <c r="J159">
        <v>6.54</v>
      </c>
      <c r="K159" t="s">
        <v>1171</v>
      </c>
      <c r="L159">
        <v>0</v>
      </c>
      <c r="N159" t="s">
        <v>1172</v>
      </c>
      <c r="O159" t="s">
        <v>1173</v>
      </c>
      <c r="P159" t="s">
        <v>16</v>
      </c>
      <c r="Q159">
        <f t="shared" si="6"/>
        <v>0.92120949387666629</v>
      </c>
      <c r="R159">
        <f t="shared" si="7"/>
        <v>0.16256638127235287</v>
      </c>
      <c r="S159">
        <f t="shared" si="8"/>
        <v>0.80321899389651374</v>
      </c>
    </row>
    <row r="160" spans="1:19" hidden="1" x14ac:dyDescent="0.2">
      <c r="A160">
        <v>7</v>
      </c>
      <c r="B160" t="s">
        <v>37</v>
      </c>
      <c r="C160">
        <v>-1</v>
      </c>
      <c r="D160">
        <v>1</v>
      </c>
      <c r="E160">
        <v>1030</v>
      </c>
      <c r="F160" t="b">
        <v>1</v>
      </c>
      <c r="G160">
        <v>45.768000000000001</v>
      </c>
      <c r="H160">
        <v>33</v>
      </c>
      <c r="I160">
        <v>6</v>
      </c>
      <c r="J160">
        <v>4.8</v>
      </c>
      <c r="K160" t="s">
        <v>1114</v>
      </c>
      <c r="L160">
        <v>0</v>
      </c>
      <c r="N160" t="s">
        <v>1115</v>
      </c>
      <c r="O160" t="s">
        <v>1116</v>
      </c>
      <c r="P160" t="s">
        <v>16</v>
      </c>
      <c r="Q160">
        <f t="shared" si="6"/>
        <v>0.72102779234399583</v>
      </c>
      <c r="R160">
        <f t="shared" si="7"/>
        <v>0.13109596224436287</v>
      </c>
      <c r="S160">
        <f t="shared" si="8"/>
        <v>0.73043874480158733</v>
      </c>
    </row>
    <row r="161" spans="1:19" hidden="1" x14ac:dyDescent="0.2">
      <c r="A161">
        <v>34</v>
      </c>
      <c r="B161" t="s">
        <v>33</v>
      </c>
      <c r="C161">
        <v>-1</v>
      </c>
      <c r="D161">
        <v>3</v>
      </c>
      <c r="E161">
        <v>1012</v>
      </c>
      <c r="F161" t="b">
        <v>1</v>
      </c>
      <c r="G161">
        <v>41.648000000000003</v>
      </c>
      <c r="H161">
        <v>30</v>
      </c>
      <c r="I161">
        <v>5</v>
      </c>
      <c r="J161">
        <v>4.5599999999999996</v>
      </c>
      <c r="K161" t="s">
        <v>467</v>
      </c>
      <c r="L161">
        <v>0</v>
      </c>
      <c r="N161" t="s">
        <v>468</v>
      </c>
      <c r="O161" t="s">
        <v>469</v>
      </c>
      <c r="P161" t="s">
        <v>16</v>
      </c>
      <c r="Q161">
        <f t="shared" si="6"/>
        <v>0.72032270457164804</v>
      </c>
      <c r="R161">
        <f t="shared" si="7"/>
        <v>0.12005378409527467</v>
      </c>
      <c r="S161">
        <f t="shared" si="8"/>
        <v>0.69896773911384347</v>
      </c>
    </row>
    <row r="162" spans="1:19" hidden="1" x14ac:dyDescent="0.2">
      <c r="A162">
        <v>5</v>
      </c>
      <c r="B162" t="s">
        <v>1462</v>
      </c>
      <c r="C162">
        <v>-1</v>
      </c>
      <c r="D162">
        <v>3</v>
      </c>
      <c r="E162">
        <v>1032</v>
      </c>
      <c r="F162" t="b">
        <v>1</v>
      </c>
      <c r="G162">
        <v>36.908000000000001</v>
      </c>
      <c r="H162">
        <v>34</v>
      </c>
      <c r="I162">
        <v>6</v>
      </c>
      <c r="J162">
        <v>6.54</v>
      </c>
      <c r="K162" t="s">
        <v>1171</v>
      </c>
      <c r="L162">
        <v>0</v>
      </c>
      <c r="N162" t="s">
        <v>1598</v>
      </c>
      <c r="O162" t="s">
        <v>1599</v>
      </c>
      <c r="P162" t="s">
        <v>16</v>
      </c>
      <c r="Q162">
        <f t="shared" si="6"/>
        <v>0.92120949387666629</v>
      </c>
      <c r="R162">
        <f t="shared" si="7"/>
        <v>0.16256638127235287</v>
      </c>
      <c r="S162">
        <f t="shared" si="8"/>
        <v>0.80321899389651374</v>
      </c>
    </row>
    <row r="163" spans="1:19" hidden="1" x14ac:dyDescent="0.2">
      <c r="A163">
        <v>44</v>
      </c>
      <c r="B163" t="s">
        <v>17</v>
      </c>
      <c r="C163">
        <v>-1</v>
      </c>
      <c r="D163">
        <v>4</v>
      </c>
      <c r="E163">
        <v>1033</v>
      </c>
      <c r="F163" t="b">
        <v>1</v>
      </c>
      <c r="G163">
        <v>27.5</v>
      </c>
      <c r="H163">
        <v>29</v>
      </c>
      <c r="I163">
        <v>5</v>
      </c>
      <c r="J163">
        <v>5.52</v>
      </c>
      <c r="K163" t="s">
        <v>1207</v>
      </c>
      <c r="L163">
        <v>0</v>
      </c>
      <c r="N163" t="s">
        <v>1208</v>
      </c>
      <c r="O163" t="s">
        <v>1209</v>
      </c>
      <c r="P163" t="s">
        <v>16</v>
      </c>
      <c r="Q163">
        <f t="shared" si="6"/>
        <v>1.0545454545454545</v>
      </c>
      <c r="R163">
        <f t="shared" si="7"/>
        <v>0.18181818181818182</v>
      </c>
      <c r="S163">
        <f t="shared" si="8"/>
        <v>0.83767938881815185</v>
      </c>
    </row>
    <row r="164" spans="1:19" hidden="1" x14ac:dyDescent="0.2">
      <c r="A164">
        <v>7</v>
      </c>
      <c r="B164" t="s">
        <v>1462</v>
      </c>
      <c r="C164">
        <v>-1</v>
      </c>
      <c r="D164">
        <v>4</v>
      </c>
      <c r="E164">
        <v>1033</v>
      </c>
      <c r="F164" t="b">
        <v>1</v>
      </c>
      <c r="G164">
        <v>27.5</v>
      </c>
      <c r="H164">
        <v>29</v>
      </c>
      <c r="I164">
        <v>5</v>
      </c>
      <c r="J164">
        <v>5.52</v>
      </c>
      <c r="K164" t="s">
        <v>1207</v>
      </c>
      <c r="L164">
        <v>0</v>
      </c>
      <c r="N164" t="s">
        <v>1602</v>
      </c>
      <c r="O164" t="s">
        <v>1603</v>
      </c>
      <c r="P164" t="s">
        <v>16</v>
      </c>
      <c r="Q164">
        <f t="shared" si="6"/>
        <v>1.0545454545454545</v>
      </c>
      <c r="R164">
        <f t="shared" si="7"/>
        <v>0.18181818181818182</v>
      </c>
      <c r="S164">
        <f t="shared" si="8"/>
        <v>0.83767938881815185</v>
      </c>
    </row>
    <row r="165" spans="1:19" x14ac:dyDescent="0.2">
      <c r="A165">
        <v>8</v>
      </c>
      <c r="B165" t="s">
        <v>1462</v>
      </c>
      <c r="C165">
        <v>2</v>
      </c>
      <c r="D165">
        <v>4</v>
      </c>
      <c r="E165">
        <v>1033</v>
      </c>
      <c r="F165" t="b">
        <v>1</v>
      </c>
      <c r="G165">
        <v>32.247999999999998</v>
      </c>
      <c r="H165">
        <v>28</v>
      </c>
      <c r="I165">
        <v>2</v>
      </c>
      <c r="J165">
        <v>0.48</v>
      </c>
      <c r="K165" t="s">
        <v>1604</v>
      </c>
      <c r="L165">
        <v>0</v>
      </c>
      <c r="N165" t="s">
        <v>1605</v>
      </c>
      <c r="O165" t="s">
        <v>1606</v>
      </c>
      <c r="P165" t="s">
        <v>16</v>
      </c>
      <c r="Q165">
        <f t="shared" si="6"/>
        <v>0.86827090052096256</v>
      </c>
      <c r="R165">
        <f t="shared" si="7"/>
        <v>6.2019350037211617E-2</v>
      </c>
      <c r="S165">
        <f t="shared" si="8"/>
        <v>0.46215964478386362</v>
      </c>
    </row>
    <row r="166" spans="1:19" hidden="1" x14ac:dyDescent="0.2">
      <c r="A166">
        <v>87</v>
      </c>
      <c r="B166" t="s">
        <v>21</v>
      </c>
      <c r="C166">
        <v>-1</v>
      </c>
      <c r="D166">
        <v>7</v>
      </c>
      <c r="E166">
        <v>1006</v>
      </c>
      <c r="F166" t="b">
        <v>1</v>
      </c>
      <c r="G166">
        <v>43.42</v>
      </c>
      <c r="H166">
        <v>31</v>
      </c>
      <c r="I166">
        <v>4</v>
      </c>
      <c r="J166">
        <v>7.08</v>
      </c>
      <c r="K166" t="s">
        <v>242</v>
      </c>
      <c r="L166">
        <v>0</v>
      </c>
      <c r="N166" t="s">
        <v>243</v>
      </c>
      <c r="O166" t="s">
        <v>244</v>
      </c>
      <c r="P166" t="s">
        <v>16</v>
      </c>
      <c r="Q166">
        <f t="shared" si="6"/>
        <v>0.71395670198065408</v>
      </c>
      <c r="R166">
        <f t="shared" si="7"/>
        <v>9.2123445416858588E-2</v>
      </c>
      <c r="S166">
        <f t="shared" si="8"/>
        <v>0.60197260888490178</v>
      </c>
    </row>
    <row r="167" spans="1:19" x14ac:dyDescent="0.2">
      <c r="A167">
        <v>12</v>
      </c>
      <c r="B167" t="s">
        <v>29</v>
      </c>
      <c r="C167">
        <v>2</v>
      </c>
      <c r="D167">
        <v>1</v>
      </c>
      <c r="E167">
        <v>1010</v>
      </c>
      <c r="F167" t="b">
        <v>1</v>
      </c>
      <c r="G167">
        <v>42.148000000000003</v>
      </c>
      <c r="H167">
        <v>30</v>
      </c>
      <c r="I167">
        <v>1</v>
      </c>
      <c r="J167">
        <v>0.06</v>
      </c>
      <c r="K167" t="s">
        <v>410</v>
      </c>
      <c r="L167">
        <v>0</v>
      </c>
      <c r="N167" t="s">
        <v>411</v>
      </c>
      <c r="O167" t="s">
        <v>412</v>
      </c>
      <c r="P167" t="s">
        <v>16</v>
      </c>
      <c r="Q167">
        <f t="shared" si="6"/>
        <v>0.71177754579102204</v>
      </c>
      <c r="R167">
        <f t="shared" si="7"/>
        <v>2.372591819303407E-2</v>
      </c>
      <c r="S167">
        <f t="shared" si="8"/>
        <v>0.21121317776937742</v>
      </c>
    </row>
    <row r="168" spans="1:19" hidden="1" x14ac:dyDescent="0.2">
      <c r="A168">
        <v>18</v>
      </c>
      <c r="B168" t="s">
        <v>25</v>
      </c>
      <c r="C168">
        <v>-1</v>
      </c>
      <c r="D168">
        <v>2</v>
      </c>
      <c r="E168">
        <v>1011</v>
      </c>
      <c r="F168" t="b">
        <v>1</v>
      </c>
      <c r="G168">
        <v>43.567999999999998</v>
      </c>
      <c r="H168">
        <v>31</v>
      </c>
      <c r="I168">
        <v>3</v>
      </c>
      <c r="J168">
        <v>2.76</v>
      </c>
      <c r="K168" t="s">
        <v>425</v>
      </c>
      <c r="L168">
        <v>0</v>
      </c>
      <c r="N168" t="s">
        <v>426</v>
      </c>
      <c r="O168" t="s">
        <v>427</v>
      </c>
      <c r="P168" t="s">
        <v>16</v>
      </c>
      <c r="Q168">
        <f t="shared" si="6"/>
        <v>0.71153139919206765</v>
      </c>
      <c r="R168">
        <f t="shared" si="7"/>
        <v>6.8857877341167828E-2</v>
      </c>
      <c r="S168">
        <f t="shared" si="8"/>
        <v>0.49771057088546333</v>
      </c>
    </row>
    <row r="169" spans="1:19" x14ac:dyDescent="0.2">
      <c r="A169">
        <v>51</v>
      </c>
      <c r="B169" t="s">
        <v>17</v>
      </c>
      <c r="C169">
        <v>2</v>
      </c>
      <c r="D169">
        <v>4</v>
      </c>
      <c r="E169">
        <v>1033</v>
      </c>
      <c r="F169" t="b">
        <v>1</v>
      </c>
      <c r="G169">
        <v>32.28</v>
      </c>
      <c r="H169">
        <v>28</v>
      </c>
      <c r="I169">
        <v>2</v>
      </c>
      <c r="J169">
        <v>0.12</v>
      </c>
      <c r="K169" t="s">
        <v>1225</v>
      </c>
      <c r="L169">
        <v>0</v>
      </c>
      <c r="N169" t="s">
        <v>1226</v>
      </c>
      <c r="O169" t="s">
        <v>1227</v>
      </c>
      <c r="P169" t="s">
        <v>16</v>
      </c>
      <c r="Q169">
        <f t="shared" si="6"/>
        <v>0.86741016109045843</v>
      </c>
      <c r="R169">
        <f t="shared" si="7"/>
        <v>6.1957868649318459E-2</v>
      </c>
      <c r="S169">
        <f t="shared" si="8"/>
        <v>0.46182887139721207</v>
      </c>
    </row>
    <row r="170" spans="1:19" hidden="1" x14ac:dyDescent="0.2">
      <c r="A170">
        <v>58</v>
      </c>
      <c r="B170" t="s">
        <v>17</v>
      </c>
      <c r="C170">
        <v>-1</v>
      </c>
      <c r="D170">
        <v>5</v>
      </c>
      <c r="E170">
        <v>1034</v>
      </c>
      <c r="F170" t="b">
        <v>1</v>
      </c>
      <c r="G170">
        <v>31.347999999999999</v>
      </c>
      <c r="H170">
        <v>32</v>
      </c>
      <c r="I170">
        <v>3</v>
      </c>
      <c r="J170">
        <v>1.98</v>
      </c>
      <c r="K170" t="s">
        <v>1243</v>
      </c>
      <c r="L170">
        <v>0</v>
      </c>
      <c r="N170" t="s">
        <v>1244</v>
      </c>
      <c r="O170" t="s">
        <v>1245</v>
      </c>
      <c r="P170" t="s">
        <v>16</v>
      </c>
      <c r="Q170">
        <f t="shared" si="6"/>
        <v>1.02079877504147</v>
      </c>
      <c r="R170">
        <f t="shared" si="7"/>
        <v>9.5699885160137804E-2</v>
      </c>
      <c r="S170">
        <f t="shared" si="8"/>
        <v>0.61595626958962724</v>
      </c>
    </row>
    <row r="171" spans="1:19" hidden="1" x14ac:dyDescent="0.2">
      <c r="A171">
        <v>9</v>
      </c>
      <c r="B171" t="s">
        <v>1462</v>
      </c>
      <c r="C171">
        <v>-1</v>
      </c>
      <c r="D171">
        <v>5</v>
      </c>
      <c r="E171">
        <v>1034</v>
      </c>
      <c r="F171" t="b">
        <v>1</v>
      </c>
      <c r="G171">
        <v>31.347999999999999</v>
      </c>
      <c r="H171">
        <v>32</v>
      </c>
      <c r="I171">
        <v>3</v>
      </c>
      <c r="J171">
        <v>1.98</v>
      </c>
      <c r="K171" t="s">
        <v>1243</v>
      </c>
      <c r="L171">
        <v>0</v>
      </c>
      <c r="N171" t="s">
        <v>1607</v>
      </c>
      <c r="O171" t="s">
        <v>1608</v>
      </c>
      <c r="P171" t="s">
        <v>16</v>
      </c>
      <c r="Q171">
        <f t="shared" si="6"/>
        <v>1.02079877504147</v>
      </c>
      <c r="R171">
        <f t="shared" si="7"/>
        <v>9.5699885160137804E-2</v>
      </c>
      <c r="S171">
        <f t="shared" si="8"/>
        <v>0.61595626958962724</v>
      </c>
    </row>
    <row r="172" spans="1:19" x14ac:dyDescent="0.2">
      <c r="A172">
        <v>65</v>
      </c>
      <c r="B172" t="s">
        <v>17</v>
      </c>
      <c r="C172">
        <v>2</v>
      </c>
      <c r="D172">
        <v>5</v>
      </c>
      <c r="E172">
        <v>1034</v>
      </c>
      <c r="F172" t="b">
        <v>1</v>
      </c>
      <c r="G172">
        <v>39.192</v>
      </c>
      <c r="H172">
        <v>33</v>
      </c>
      <c r="I172">
        <v>0</v>
      </c>
      <c r="J172">
        <v>0</v>
      </c>
      <c r="K172" t="s">
        <v>1261</v>
      </c>
      <c r="L172">
        <v>0</v>
      </c>
      <c r="N172" t="s">
        <v>1262</v>
      </c>
      <c r="O172" t="s">
        <v>1263</v>
      </c>
      <c r="P172" t="s">
        <v>16</v>
      </c>
      <c r="Q172">
        <f t="shared" si="6"/>
        <v>0.84200857317819966</v>
      </c>
      <c r="R172">
        <f t="shared" si="7"/>
        <v>0</v>
      </c>
      <c r="S172">
        <f t="shared" si="8"/>
        <v>0</v>
      </c>
    </row>
    <row r="173" spans="1:19" hidden="1" x14ac:dyDescent="0.2">
      <c r="A173">
        <v>49</v>
      </c>
      <c r="B173" t="s">
        <v>37</v>
      </c>
      <c r="C173">
        <v>-1</v>
      </c>
      <c r="D173">
        <v>4</v>
      </c>
      <c r="E173">
        <v>1003</v>
      </c>
      <c r="F173" t="b">
        <v>1</v>
      </c>
      <c r="G173">
        <v>40.875999999999998</v>
      </c>
      <c r="H173">
        <v>29</v>
      </c>
      <c r="I173">
        <v>10</v>
      </c>
      <c r="J173">
        <v>14.94</v>
      </c>
      <c r="K173" t="s">
        <v>146</v>
      </c>
      <c r="L173">
        <v>0</v>
      </c>
      <c r="N173" t="s">
        <v>147</v>
      </c>
      <c r="O173" t="s">
        <v>148</v>
      </c>
      <c r="P173" t="s">
        <v>16</v>
      </c>
      <c r="Q173">
        <f t="shared" si="6"/>
        <v>0.70946276543693121</v>
      </c>
      <c r="R173">
        <f t="shared" si="7"/>
        <v>0.24464233290928664</v>
      </c>
      <c r="S173">
        <f t="shared" si="8"/>
        <v>0.91339721712309907</v>
      </c>
    </row>
    <row r="174" spans="1:19" x14ac:dyDescent="0.2">
      <c r="A174">
        <v>10</v>
      </c>
      <c r="B174" t="s">
        <v>1462</v>
      </c>
      <c r="C174">
        <v>2</v>
      </c>
      <c r="D174">
        <v>5</v>
      </c>
      <c r="E174">
        <v>1034</v>
      </c>
      <c r="F174" t="b">
        <v>1</v>
      </c>
      <c r="G174">
        <v>39.192</v>
      </c>
      <c r="H174">
        <v>33</v>
      </c>
      <c r="I174">
        <v>0</v>
      </c>
      <c r="J174">
        <v>0</v>
      </c>
      <c r="K174" t="s">
        <v>1261</v>
      </c>
      <c r="L174">
        <v>0</v>
      </c>
      <c r="N174" t="s">
        <v>1609</v>
      </c>
      <c r="O174" t="s">
        <v>1610</v>
      </c>
      <c r="P174" t="s">
        <v>16</v>
      </c>
      <c r="Q174">
        <f t="shared" si="6"/>
        <v>0.84200857317819966</v>
      </c>
      <c r="R174">
        <f t="shared" si="7"/>
        <v>0</v>
      </c>
      <c r="S174">
        <f t="shared" si="8"/>
        <v>0</v>
      </c>
    </row>
    <row r="175" spans="1:19" hidden="1" x14ac:dyDescent="0.2">
      <c r="A175">
        <v>72</v>
      </c>
      <c r="B175" t="s">
        <v>17</v>
      </c>
      <c r="C175">
        <v>-1</v>
      </c>
      <c r="D175">
        <v>6</v>
      </c>
      <c r="E175">
        <v>1035</v>
      </c>
      <c r="F175" t="b">
        <v>1</v>
      </c>
      <c r="G175">
        <v>29.5</v>
      </c>
      <c r="H175">
        <v>31</v>
      </c>
      <c r="I175">
        <v>6</v>
      </c>
      <c r="J175">
        <v>3.72</v>
      </c>
      <c r="K175" t="s">
        <v>1279</v>
      </c>
      <c r="L175">
        <v>0</v>
      </c>
      <c r="N175" t="s">
        <v>1280</v>
      </c>
      <c r="O175" t="s">
        <v>1281</v>
      </c>
      <c r="P175" t="s">
        <v>16</v>
      </c>
      <c r="Q175">
        <f t="shared" si="6"/>
        <v>1.0508474576271187</v>
      </c>
      <c r="R175">
        <f t="shared" si="7"/>
        <v>0.20338983050847459</v>
      </c>
      <c r="S175">
        <f t="shared" si="8"/>
        <v>0.86917546813822455</v>
      </c>
    </row>
    <row r="176" spans="1:19" hidden="1" x14ac:dyDescent="0.2">
      <c r="A176">
        <v>31</v>
      </c>
      <c r="B176" t="s">
        <v>21</v>
      </c>
      <c r="C176">
        <v>-1</v>
      </c>
      <c r="D176">
        <v>3</v>
      </c>
      <c r="E176">
        <v>1012</v>
      </c>
      <c r="F176" t="b">
        <v>1</v>
      </c>
      <c r="G176">
        <v>43.76</v>
      </c>
      <c r="H176">
        <v>31</v>
      </c>
      <c r="I176">
        <v>9</v>
      </c>
      <c r="J176">
        <v>4.5</v>
      </c>
      <c r="K176" t="s">
        <v>458</v>
      </c>
      <c r="L176">
        <v>0</v>
      </c>
      <c r="N176" t="s">
        <v>459</v>
      </c>
      <c r="O176" t="s">
        <v>460</v>
      </c>
      <c r="P176" t="s">
        <v>16</v>
      </c>
      <c r="Q176">
        <f t="shared" si="6"/>
        <v>0.7084095063985375</v>
      </c>
      <c r="R176">
        <f t="shared" si="7"/>
        <v>0.20566727605118831</v>
      </c>
      <c r="S176">
        <f t="shared" si="8"/>
        <v>0.87212125394950302</v>
      </c>
    </row>
    <row r="177" spans="1:19" hidden="1" x14ac:dyDescent="0.2">
      <c r="A177">
        <v>76</v>
      </c>
      <c r="B177" t="s">
        <v>33</v>
      </c>
      <c r="C177">
        <v>-1</v>
      </c>
      <c r="D177">
        <v>6</v>
      </c>
      <c r="E177">
        <v>1015</v>
      </c>
      <c r="F177" t="b">
        <v>1</v>
      </c>
      <c r="G177">
        <v>39.564</v>
      </c>
      <c r="H177">
        <v>28</v>
      </c>
      <c r="I177">
        <v>3</v>
      </c>
      <c r="J177">
        <v>3.06</v>
      </c>
      <c r="K177" t="s">
        <v>574</v>
      </c>
      <c r="L177">
        <v>0</v>
      </c>
      <c r="N177" t="s">
        <v>575</v>
      </c>
      <c r="O177" t="s">
        <v>576</v>
      </c>
      <c r="P177" t="s">
        <v>16</v>
      </c>
      <c r="Q177">
        <f t="shared" si="6"/>
        <v>0.70771408351026188</v>
      </c>
      <c r="R177">
        <f t="shared" si="7"/>
        <v>7.5826508947528057E-2</v>
      </c>
      <c r="S177">
        <f t="shared" si="8"/>
        <v>0.53152150935862963</v>
      </c>
    </row>
    <row r="178" spans="1:19" hidden="1" x14ac:dyDescent="0.2">
      <c r="A178">
        <v>3</v>
      </c>
      <c r="B178" t="s">
        <v>21</v>
      </c>
      <c r="C178">
        <v>-1</v>
      </c>
      <c r="D178">
        <v>1</v>
      </c>
      <c r="E178">
        <v>1010</v>
      </c>
      <c r="F178" t="b">
        <v>1</v>
      </c>
      <c r="G178">
        <v>43.823999999999998</v>
      </c>
      <c r="H178">
        <v>31</v>
      </c>
      <c r="I178">
        <v>6</v>
      </c>
      <c r="J178">
        <v>3.78</v>
      </c>
      <c r="K178" t="s">
        <v>386</v>
      </c>
      <c r="L178">
        <v>0</v>
      </c>
      <c r="N178" t="s">
        <v>387</v>
      </c>
      <c r="O178" t="s">
        <v>388</v>
      </c>
      <c r="P178" t="s">
        <v>16</v>
      </c>
      <c r="Q178">
        <f t="shared" si="6"/>
        <v>0.70737495436290621</v>
      </c>
      <c r="R178">
        <f t="shared" si="7"/>
        <v>0.13691128148959475</v>
      </c>
      <c r="S178">
        <f t="shared" si="8"/>
        <v>0.74566750050480324</v>
      </c>
    </row>
    <row r="179" spans="1:19" hidden="1" x14ac:dyDescent="0.2">
      <c r="A179">
        <v>11</v>
      </c>
      <c r="B179" t="s">
        <v>1462</v>
      </c>
      <c r="C179">
        <v>-1</v>
      </c>
      <c r="D179">
        <v>6</v>
      </c>
      <c r="E179">
        <v>1035</v>
      </c>
      <c r="F179" t="b">
        <v>1</v>
      </c>
      <c r="G179">
        <v>29.5</v>
      </c>
      <c r="H179">
        <v>31</v>
      </c>
      <c r="I179">
        <v>6</v>
      </c>
      <c r="J179">
        <v>3.72</v>
      </c>
      <c r="K179" t="s">
        <v>1279</v>
      </c>
      <c r="L179">
        <v>0</v>
      </c>
      <c r="N179" t="s">
        <v>1611</v>
      </c>
      <c r="O179" t="s">
        <v>1612</v>
      </c>
      <c r="P179" t="s">
        <v>16</v>
      </c>
      <c r="Q179">
        <f t="shared" si="6"/>
        <v>1.0508474576271187</v>
      </c>
      <c r="R179">
        <f t="shared" si="7"/>
        <v>0.20338983050847459</v>
      </c>
      <c r="S179">
        <f t="shared" si="8"/>
        <v>0.86917546813822455</v>
      </c>
    </row>
    <row r="180" spans="1:19" x14ac:dyDescent="0.2">
      <c r="A180">
        <v>79</v>
      </c>
      <c r="B180" t="s">
        <v>17</v>
      </c>
      <c r="C180">
        <v>2</v>
      </c>
      <c r="D180">
        <v>6</v>
      </c>
      <c r="E180">
        <v>1035</v>
      </c>
      <c r="F180" t="b">
        <v>1</v>
      </c>
      <c r="G180">
        <v>33.752000000000002</v>
      </c>
      <c r="H180">
        <v>29</v>
      </c>
      <c r="I180">
        <v>0</v>
      </c>
      <c r="J180">
        <v>0</v>
      </c>
      <c r="K180" t="s">
        <v>1297</v>
      </c>
      <c r="L180">
        <v>0</v>
      </c>
      <c r="N180" t="s">
        <v>1298</v>
      </c>
      <c r="O180" t="s">
        <v>1299</v>
      </c>
      <c r="P180" t="s">
        <v>16</v>
      </c>
      <c r="Q180">
        <f t="shared" si="6"/>
        <v>0.85920834320929129</v>
      </c>
      <c r="R180">
        <f t="shared" si="7"/>
        <v>0</v>
      </c>
      <c r="S180">
        <f t="shared" si="8"/>
        <v>0</v>
      </c>
    </row>
    <row r="181" spans="1:19" hidden="1" x14ac:dyDescent="0.2">
      <c r="A181">
        <v>6</v>
      </c>
      <c r="B181" t="s">
        <v>33</v>
      </c>
      <c r="C181">
        <v>-1</v>
      </c>
      <c r="D181">
        <v>1</v>
      </c>
      <c r="E181">
        <v>1000</v>
      </c>
      <c r="F181" t="b">
        <v>1</v>
      </c>
      <c r="G181">
        <v>44.024000000000001</v>
      </c>
      <c r="H181">
        <v>31</v>
      </c>
      <c r="I181">
        <v>5</v>
      </c>
      <c r="J181">
        <v>6.36</v>
      </c>
      <c r="K181" t="s">
        <v>34</v>
      </c>
      <c r="L181">
        <v>0</v>
      </c>
      <c r="N181" t="s">
        <v>35</v>
      </c>
      <c r="O181" t="s">
        <v>36</v>
      </c>
      <c r="P181" t="s">
        <v>16</v>
      </c>
      <c r="Q181">
        <f t="shared" si="6"/>
        <v>0.70416136652734873</v>
      </c>
      <c r="R181">
        <f t="shared" si="7"/>
        <v>0.11357441395602398</v>
      </c>
      <c r="S181">
        <f t="shared" si="8"/>
        <v>0.67881697261096507</v>
      </c>
    </row>
    <row r="182" spans="1:19" hidden="1" x14ac:dyDescent="0.2">
      <c r="A182">
        <v>73</v>
      </c>
      <c r="B182" t="s">
        <v>21</v>
      </c>
      <c r="C182">
        <v>-1</v>
      </c>
      <c r="D182">
        <v>6</v>
      </c>
      <c r="E182">
        <v>1005</v>
      </c>
      <c r="F182" t="b">
        <v>1</v>
      </c>
      <c r="G182">
        <v>42.932000000000002</v>
      </c>
      <c r="H182">
        <v>30</v>
      </c>
      <c r="I182">
        <v>7</v>
      </c>
      <c r="J182">
        <v>3.9</v>
      </c>
      <c r="K182" t="s">
        <v>206</v>
      </c>
      <c r="L182">
        <v>0</v>
      </c>
      <c r="N182" t="s">
        <v>207</v>
      </c>
      <c r="O182" t="s">
        <v>208</v>
      </c>
      <c r="P182" t="s">
        <v>16</v>
      </c>
      <c r="Q182">
        <f t="shared" si="6"/>
        <v>0.6987794652007826</v>
      </c>
      <c r="R182">
        <f t="shared" si="7"/>
        <v>0.16304854188018261</v>
      </c>
      <c r="S182">
        <f t="shared" si="8"/>
        <v>0.80416551069235909</v>
      </c>
    </row>
    <row r="183" spans="1:19" hidden="1" x14ac:dyDescent="0.2">
      <c r="A183">
        <v>21</v>
      </c>
      <c r="B183" t="s">
        <v>37</v>
      </c>
      <c r="C183">
        <v>-1</v>
      </c>
      <c r="D183">
        <v>2</v>
      </c>
      <c r="E183">
        <v>1021</v>
      </c>
      <c r="F183" t="b">
        <v>1</v>
      </c>
      <c r="G183">
        <v>42.988</v>
      </c>
      <c r="H183">
        <v>30</v>
      </c>
      <c r="I183">
        <v>5</v>
      </c>
      <c r="J183">
        <v>4.38</v>
      </c>
      <c r="K183" t="s">
        <v>792</v>
      </c>
      <c r="L183">
        <v>0</v>
      </c>
      <c r="N183" t="s">
        <v>793</v>
      </c>
      <c r="O183" t="s">
        <v>794</v>
      </c>
      <c r="P183" t="s">
        <v>16</v>
      </c>
      <c r="Q183">
        <f t="shared" si="6"/>
        <v>0.69786917279240723</v>
      </c>
      <c r="R183">
        <f t="shared" si="7"/>
        <v>0.11631152879873453</v>
      </c>
      <c r="S183">
        <f t="shared" si="8"/>
        <v>0.68748889923461165</v>
      </c>
    </row>
    <row r="184" spans="1:19" hidden="1" x14ac:dyDescent="0.2">
      <c r="A184">
        <v>3</v>
      </c>
      <c r="B184" t="s">
        <v>21</v>
      </c>
      <c r="C184">
        <v>-1</v>
      </c>
      <c r="D184">
        <v>1</v>
      </c>
      <c r="E184">
        <v>1000</v>
      </c>
      <c r="F184" t="b">
        <v>1</v>
      </c>
      <c r="G184">
        <v>44.463999999999999</v>
      </c>
      <c r="H184">
        <v>31</v>
      </c>
      <c r="I184">
        <v>7</v>
      </c>
      <c r="J184">
        <v>5.64</v>
      </c>
      <c r="K184" t="s">
        <v>22</v>
      </c>
      <c r="L184">
        <v>0</v>
      </c>
      <c r="N184" t="s">
        <v>23</v>
      </c>
      <c r="O184" t="s">
        <v>24</v>
      </c>
      <c r="P184" t="s">
        <v>16</v>
      </c>
      <c r="Q184">
        <f t="shared" si="6"/>
        <v>0.69719323497661034</v>
      </c>
      <c r="R184">
        <f t="shared" si="7"/>
        <v>0.15743073047858944</v>
      </c>
      <c r="S184">
        <f t="shared" si="8"/>
        <v>0.79284900450248086</v>
      </c>
    </row>
    <row r="185" spans="1:19" hidden="1" x14ac:dyDescent="0.2">
      <c r="A185">
        <v>62</v>
      </c>
      <c r="B185" t="s">
        <v>33</v>
      </c>
      <c r="C185">
        <v>-1</v>
      </c>
      <c r="D185">
        <v>5</v>
      </c>
      <c r="E185">
        <v>1004</v>
      </c>
      <c r="F185" t="b">
        <v>1</v>
      </c>
      <c r="G185">
        <v>38.768000000000001</v>
      </c>
      <c r="H185">
        <v>27</v>
      </c>
      <c r="I185">
        <v>3</v>
      </c>
      <c r="J185">
        <v>1.62</v>
      </c>
      <c r="K185" t="s">
        <v>179</v>
      </c>
      <c r="L185">
        <v>0</v>
      </c>
      <c r="N185" t="s">
        <v>180</v>
      </c>
      <c r="O185" t="s">
        <v>181</v>
      </c>
      <c r="P185" t="s">
        <v>16</v>
      </c>
      <c r="Q185">
        <f t="shared" si="6"/>
        <v>0.6964506809739992</v>
      </c>
      <c r="R185">
        <f t="shared" si="7"/>
        <v>7.738340899711102E-2</v>
      </c>
      <c r="S185">
        <f t="shared" si="8"/>
        <v>0.53875876659272559</v>
      </c>
    </row>
    <row r="186" spans="1:19" x14ac:dyDescent="0.2">
      <c r="A186">
        <v>12</v>
      </c>
      <c r="B186" t="s">
        <v>1462</v>
      </c>
      <c r="C186">
        <v>2</v>
      </c>
      <c r="D186">
        <v>6</v>
      </c>
      <c r="E186">
        <v>1035</v>
      </c>
      <c r="F186" t="b">
        <v>1</v>
      </c>
      <c r="G186">
        <v>33.752000000000002</v>
      </c>
      <c r="H186">
        <v>29</v>
      </c>
      <c r="I186">
        <v>0</v>
      </c>
      <c r="J186">
        <v>0</v>
      </c>
      <c r="K186" t="s">
        <v>1297</v>
      </c>
      <c r="L186">
        <v>0</v>
      </c>
      <c r="N186" t="s">
        <v>1613</v>
      </c>
      <c r="O186" t="s">
        <v>1614</v>
      </c>
      <c r="P186" t="s">
        <v>16</v>
      </c>
      <c r="Q186">
        <f t="shared" si="6"/>
        <v>0.85920834320929129</v>
      </c>
      <c r="R186">
        <f t="shared" si="7"/>
        <v>0</v>
      </c>
      <c r="S186">
        <f t="shared" si="8"/>
        <v>0</v>
      </c>
    </row>
    <row r="187" spans="1:19" hidden="1" x14ac:dyDescent="0.2">
      <c r="A187">
        <v>86</v>
      </c>
      <c r="B187" t="s">
        <v>17</v>
      </c>
      <c r="C187">
        <v>-1</v>
      </c>
      <c r="D187">
        <v>7</v>
      </c>
      <c r="E187">
        <v>1036</v>
      </c>
      <c r="F187" t="b">
        <v>1</v>
      </c>
      <c r="G187">
        <v>31.24</v>
      </c>
      <c r="H187">
        <v>31</v>
      </c>
      <c r="I187">
        <v>4</v>
      </c>
      <c r="J187">
        <v>3.42</v>
      </c>
      <c r="K187" t="s">
        <v>1315</v>
      </c>
      <c r="L187">
        <v>0</v>
      </c>
      <c r="N187" t="s">
        <v>1316</v>
      </c>
      <c r="O187" t="s">
        <v>1317</v>
      </c>
      <c r="P187" t="s">
        <v>16</v>
      </c>
      <c r="Q187">
        <f t="shared" si="6"/>
        <v>0.99231754161331631</v>
      </c>
      <c r="R187">
        <f t="shared" si="7"/>
        <v>0.12804097311139565</v>
      </c>
      <c r="S187">
        <f t="shared" si="8"/>
        <v>0.72207659674443581</v>
      </c>
    </row>
    <row r="188" spans="1:19" x14ac:dyDescent="0.2">
      <c r="A188">
        <v>14</v>
      </c>
      <c r="B188" t="s">
        <v>37</v>
      </c>
      <c r="C188">
        <v>2</v>
      </c>
      <c r="D188">
        <v>1</v>
      </c>
      <c r="E188">
        <v>1010</v>
      </c>
      <c r="F188" t="b">
        <v>1</v>
      </c>
      <c r="G188">
        <v>41.847999999999999</v>
      </c>
      <c r="H188">
        <v>29</v>
      </c>
      <c r="I188">
        <v>0</v>
      </c>
      <c r="J188">
        <v>0</v>
      </c>
      <c r="K188" t="s">
        <v>416</v>
      </c>
      <c r="L188">
        <v>0</v>
      </c>
      <c r="N188" t="s">
        <v>417</v>
      </c>
      <c r="O188" t="s">
        <v>418</v>
      </c>
      <c r="P188" t="s">
        <v>16</v>
      </c>
      <c r="Q188">
        <f t="shared" si="6"/>
        <v>0.69298413305295359</v>
      </c>
      <c r="R188">
        <f t="shared" si="7"/>
        <v>0</v>
      </c>
      <c r="S188">
        <f t="shared" si="8"/>
        <v>0</v>
      </c>
    </row>
    <row r="189" spans="1:19" hidden="1" x14ac:dyDescent="0.2">
      <c r="A189">
        <v>13</v>
      </c>
      <c r="B189" t="s">
        <v>1462</v>
      </c>
      <c r="C189">
        <v>-1</v>
      </c>
      <c r="D189">
        <v>7</v>
      </c>
      <c r="E189">
        <v>1036</v>
      </c>
      <c r="F189" t="b">
        <v>1</v>
      </c>
      <c r="G189">
        <v>31.24</v>
      </c>
      <c r="H189">
        <v>31</v>
      </c>
      <c r="I189">
        <v>4</v>
      </c>
      <c r="J189">
        <v>3.42</v>
      </c>
      <c r="K189" t="s">
        <v>1315</v>
      </c>
      <c r="L189">
        <v>0</v>
      </c>
      <c r="N189" t="s">
        <v>1615</v>
      </c>
      <c r="O189" t="s">
        <v>1616</v>
      </c>
      <c r="P189" t="s">
        <v>16</v>
      </c>
      <c r="Q189">
        <f t="shared" si="6"/>
        <v>0.99231754161331631</v>
      </c>
      <c r="R189">
        <f t="shared" si="7"/>
        <v>0.12804097311139565</v>
      </c>
      <c r="S189">
        <f t="shared" si="8"/>
        <v>0.72207659674443581</v>
      </c>
    </row>
    <row r="190" spans="1:19" x14ac:dyDescent="0.2">
      <c r="A190">
        <v>93</v>
      </c>
      <c r="B190" t="s">
        <v>17</v>
      </c>
      <c r="C190">
        <v>2</v>
      </c>
      <c r="D190">
        <v>7</v>
      </c>
      <c r="E190">
        <v>1036</v>
      </c>
      <c r="F190" t="b">
        <v>1</v>
      </c>
      <c r="G190">
        <v>34.996000000000002</v>
      </c>
      <c r="H190">
        <v>31</v>
      </c>
      <c r="I190">
        <v>2</v>
      </c>
      <c r="J190">
        <v>0.18</v>
      </c>
      <c r="K190" t="s">
        <v>1333</v>
      </c>
      <c r="L190">
        <v>0</v>
      </c>
      <c r="N190" t="s">
        <v>1334</v>
      </c>
      <c r="O190" t="s">
        <v>1335</v>
      </c>
      <c r="P190" t="s">
        <v>16</v>
      </c>
      <c r="Q190">
        <f t="shared" si="6"/>
        <v>0.88581552177391698</v>
      </c>
      <c r="R190">
        <f t="shared" si="7"/>
        <v>5.7149388501543032E-2</v>
      </c>
      <c r="S190">
        <f t="shared" si="8"/>
        <v>0.43531876055387397</v>
      </c>
    </row>
    <row r="191" spans="1:19" x14ac:dyDescent="0.2">
      <c r="A191">
        <v>110</v>
      </c>
      <c r="B191" t="s">
        <v>29</v>
      </c>
      <c r="C191">
        <v>2</v>
      </c>
      <c r="D191">
        <v>8</v>
      </c>
      <c r="E191">
        <v>1017</v>
      </c>
      <c r="F191" t="b">
        <v>1</v>
      </c>
      <c r="G191">
        <v>40.768000000000001</v>
      </c>
      <c r="H191">
        <v>28</v>
      </c>
      <c r="I191">
        <v>2</v>
      </c>
      <c r="J191">
        <v>0.42</v>
      </c>
      <c r="K191" t="s">
        <v>661</v>
      </c>
      <c r="L191">
        <v>0</v>
      </c>
      <c r="N191" t="s">
        <v>662</v>
      </c>
      <c r="O191" t="s">
        <v>663</v>
      </c>
      <c r="P191" t="s">
        <v>16</v>
      </c>
      <c r="Q191">
        <f t="shared" si="6"/>
        <v>0.68681318681318682</v>
      </c>
      <c r="R191">
        <f t="shared" si="7"/>
        <v>4.9058084772370489E-2</v>
      </c>
      <c r="S191">
        <f t="shared" si="8"/>
        <v>0.38772934513693824</v>
      </c>
    </row>
    <row r="192" spans="1:19" x14ac:dyDescent="0.2">
      <c r="A192">
        <v>111</v>
      </c>
      <c r="B192" t="s">
        <v>33</v>
      </c>
      <c r="C192">
        <v>2</v>
      </c>
      <c r="D192">
        <v>8</v>
      </c>
      <c r="E192">
        <v>1017</v>
      </c>
      <c r="F192" t="b">
        <v>1</v>
      </c>
      <c r="G192">
        <v>40.768000000000001</v>
      </c>
      <c r="H192">
        <v>28</v>
      </c>
      <c r="I192">
        <v>2</v>
      </c>
      <c r="J192">
        <v>0.42</v>
      </c>
      <c r="K192" t="s">
        <v>661</v>
      </c>
      <c r="L192">
        <v>0</v>
      </c>
      <c r="N192" t="s">
        <v>664</v>
      </c>
      <c r="O192" t="s">
        <v>665</v>
      </c>
      <c r="P192" t="s">
        <v>16</v>
      </c>
      <c r="Q192">
        <f t="shared" si="6"/>
        <v>0.68681318681318682</v>
      </c>
      <c r="R192">
        <f t="shared" si="7"/>
        <v>4.9058084772370489E-2</v>
      </c>
      <c r="S192">
        <f t="shared" si="8"/>
        <v>0.38772934513693824</v>
      </c>
    </row>
    <row r="193" spans="1:19" hidden="1" x14ac:dyDescent="0.2">
      <c r="A193">
        <v>105</v>
      </c>
      <c r="B193" t="s">
        <v>37</v>
      </c>
      <c r="C193">
        <v>-1</v>
      </c>
      <c r="D193">
        <v>8</v>
      </c>
      <c r="E193">
        <v>1007</v>
      </c>
      <c r="F193" t="b">
        <v>1</v>
      </c>
      <c r="G193">
        <v>37.892000000000003</v>
      </c>
      <c r="H193">
        <v>26</v>
      </c>
      <c r="I193">
        <v>3</v>
      </c>
      <c r="J193">
        <v>3.06</v>
      </c>
      <c r="K193" t="s">
        <v>290</v>
      </c>
      <c r="L193">
        <v>0</v>
      </c>
      <c r="N193" t="s">
        <v>291</v>
      </c>
      <c r="O193" t="s">
        <v>292</v>
      </c>
      <c r="P193" t="s">
        <v>16</v>
      </c>
      <c r="Q193">
        <f t="shared" si="6"/>
        <v>0.6861606671592948</v>
      </c>
      <c r="R193">
        <f t="shared" si="7"/>
        <v>7.9172384672226315E-2</v>
      </c>
      <c r="S193">
        <f t="shared" si="8"/>
        <v>0.54693688963434273</v>
      </c>
    </row>
    <row r="194" spans="1:19" hidden="1" x14ac:dyDescent="0.2">
      <c r="A194">
        <v>119</v>
      </c>
      <c r="B194" t="s">
        <v>37</v>
      </c>
      <c r="C194">
        <v>-1</v>
      </c>
      <c r="D194">
        <v>9</v>
      </c>
      <c r="E194">
        <v>1018</v>
      </c>
      <c r="F194" t="b">
        <v>1</v>
      </c>
      <c r="G194">
        <v>40.972000000000001</v>
      </c>
      <c r="H194">
        <v>28</v>
      </c>
      <c r="I194">
        <v>4</v>
      </c>
      <c r="J194">
        <v>4.08</v>
      </c>
      <c r="K194" t="s">
        <v>684</v>
      </c>
      <c r="L194">
        <v>0</v>
      </c>
      <c r="N194" t="s">
        <v>685</v>
      </c>
      <c r="O194" t="s">
        <v>686</v>
      </c>
      <c r="P194" t="s">
        <v>16</v>
      </c>
      <c r="Q194">
        <f t="shared" ref="Q194:Q257" si="9">H194/G194</f>
        <v>0.68339353704969241</v>
      </c>
      <c r="R194">
        <f t="shared" ref="R194:R257" si="10">I194/G194</f>
        <v>9.7627648149956059E-2</v>
      </c>
      <c r="S194">
        <f t="shared" ref="S194:S257" si="11">1-EXP((-10*R194))</f>
        <v>0.62328881832909755</v>
      </c>
    </row>
    <row r="195" spans="1:19" hidden="1" x14ac:dyDescent="0.2">
      <c r="A195">
        <v>48</v>
      </c>
      <c r="B195" t="s">
        <v>33</v>
      </c>
      <c r="C195">
        <v>-1</v>
      </c>
      <c r="D195">
        <v>4</v>
      </c>
      <c r="E195">
        <v>1003</v>
      </c>
      <c r="F195" t="b">
        <v>1</v>
      </c>
      <c r="G195">
        <v>48.468000000000004</v>
      </c>
      <c r="H195">
        <v>33</v>
      </c>
      <c r="I195">
        <v>10</v>
      </c>
      <c r="J195">
        <v>7.02</v>
      </c>
      <c r="K195" t="s">
        <v>143</v>
      </c>
      <c r="L195">
        <v>0</v>
      </c>
      <c r="N195" t="s">
        <v>144</v>
      </c>
      <c r="O195" t="s">
        <v>145</v>
      </c>
      <c r="P195" t="s">
        <v>16</v>
      </c>
      <c r="Q195">
        <f t="shared" si="9"/>
        <v>0.68086159940579349</v>
      </c>
      <c r="R195">
        <f t="shared" si="10"/>
        <v>0.20632169678963438</v>
      </c>
      <c r="S195">
        <f t="shared" si="11"/>
        <v>0.87295538663814831</v>
      </c>
    </row>
    <row r="196" spans="1:19" x14ac:dyDescent="0.2">
      <c r="A196">
        <v>14</v>
      </c>
      <c r="B196" t="s">
        <v>1462</v>
      </c>
      <c r="C196">
        <v>2</v>
      </c>
      <c r="D196">
        <v>7</v>
      </c>
      <c r="E196">
        <v>1036</v>
      </c>
      <c r="F196" t="b">
        <v>1</v>
      </c>
      <c r="G196">
        <v>34.996000000000002</v>
      </c>
      <c r="H196">
        <v>31</v>
      </c>
      <c r="I196">
        <v>2</v>
      </c>
      <c r="J196">
        <v>0.18</v>
      </c>
      <c r="K196" t="s">
        <v>1333</v>
      </c>
      <c r="L196">
        <v>0</v>
      </c>
      <c r="N196" t="s">
        <v>1617</v>
      </c>
      <c r="O196" t="s">
        <v>1618</v>
      </c>
      <c r="P196" t="s">
        <v>16</v>
      </c>
      <c r="Q196">
        <f t="shared" si="9"/>
        <v>0.88581552177391698</v>
      </c>
      <c r="R196">
        <f t="shared" si="10"/>
        <v>5.7149388501543032E-2</v>
      </c>
      <c r="S196">
        <f t="shared" si="11"/>
        <v>0.43531876055387397</v>
      </c>
    </row>
    <row r="197" spans="1:19" hidden="1" x14ac:dyDescent="0.2">
      <c r="A197">
        <v>100</v>
      </c>
      <c r="B197" t="s">
        <v>17</v>
      </c>
      <c r="C197">
        <v>-1</v>
      </c>
      <c r="D197">
        <v>8</v>
      </c>
      <c r="E197">
        <v>1037</v>
      </c>
      <c r="F197" t="b">
        <v>1</v>
      </c>
      <c r="G197">
        <v>32.356000000000002</v>
      </c>
      <c r="H197">
        <v>29</v>
      </c>
      <c r="I197">
        <v>8</v>
      </c>
      <c r="J197">
        <v>6.36</v>
      </c>
      <c r="K197" t="s">
        <v>1351</v>
      </c>
      <c r="L197">
        <v>0</v>
      </c>
      <c r="N197" t="s">
        <v>1352</v>
      </c>
      <c r="O197" t="s">
        <v>1353</v>
      </c>
      <c r="P197" t="s">
        <v>16</v>
      </c>
      <c r="Q197">
        <f t="shared" si="9"/>
        <v>0.89627889726789467</v>
      </c>
      <c r="R197">
        <f t="shared" si="10"/>
        <v>0.2472493509704537</v>
      </c>
      <c r="S197">
        <f t="shared" si="11"/>
        <v>0.91562579142662426</v>
      </c>
    </row>
    <row r="198" spans="1:19" hidden="1" x14ac:dyDescent="0.2">
      <c r="A198">
        <v>63</v>
      </c>
      <c r="B198" t="s">
        <v>37</v>
      </c>
      <c r="C198">
        <v>-1</v>
      </c>
      <c r="D198">
        <v>5</v>
      </c>
      <c r="E198">
        <v>1024</v>
      </c>
      <c r="F198" t="b">
        <v>1</v>
      </c>
      <c r="G198">
        <v>41.436</v>
      </c>
      <c r="H198">
        <v>28</v>
      </c>
      <c r="I198">
        <v>5</v>
      </c>
      <c r="J198">
        <v>5.34</v>
      </c>
      <c r="K198" t="s">
        <v>900</v>
      </c>
      <c r="L198">
        <v>0</v>
      </c>
      <c r="N198" t="s">
        <v>901</v>
      </c>
      <c r="O198" t="s">
        <v>902</v>
      </c>
      <c r="P198" t="s">
        <v>16</v>
      </c>
      <c r="Q198">
        <f t="shared" si="9"/>
        <v>0.67574090163143163</v>
      </c>
      <c r="R198">
        <f t="shared" si="10"/>
        <v>0.12066801814846993</v>
      </c>
      <c r="S198">
        <f t="shared" si="11"/>
        <v>0.70081111465553469</v>
      </c>
    </row>
    <row r="199" spans="1:19" hidden="1" x14ac:dyDescent="0.2">
      <c r="A199">
        <v>15</v>
      </c>
      <c r="B199" t="s">
        <v>1462</v>
      </c>
      <c r="C199">
        <v>-1</v>
      </c>
      <c r="D199">
        <v>8</v>
      </c>
      <c r="E199">
        <v>1037</v>
      </c>
      <c r="F199" t="b">
        <v>1</v>
      </c>
      <c r="G199">
        <v>32.356000000000002</v>
      </c>
      <c r="H199">
        <v>29</v>
      </c>
      <c r="I199">
        <v>8</v>
      </c>
      <c r="J199">
        <v>6.36</v>
      </c>
      <c r="K199" t="s">
        <v>1351</v>
      </c>
      <c r="L199">
        <v>0</v>
      </c>
      <c r="N199" t="s">
        <v>1619</v>
      </c>
      <c r="O199" t="s">
        <v>1620</v>
      </c>
      <c r="P199" t="s">
        <v>16</v>
      </c>
      <c r="Q199">
        <f t="shared" si="9"/>
        <v>0.89627889726789467</v>
      </c>
      <c r="R199">
        <f t="shared" si="10"/>
        <v>0.2472493509704537</v>
      </c>
      <c r="S199">
        <f t="shared" si="11"/>
        <v>0.91562579142662426</v>
      </c>
    </row>
    <row r="200" spans="1:19" hidden="1" x14ac:dyDescent="0.2">
      <c r="A200">
        <v>61</v>
      </c>
      <c r="B200" t="s">
        <v>29</v>
      </c>
      <c r="C200">
        <v>-1</v>
      </c>
      <c r="D200">
        <v>5</v>
      </c>
      <c r="E200">
        <v>1024</v>
      </c>
      <c r="F200" t="b">
        <v>1</v>
      </c>
      <c r="G200">
        <v>45.963999999999999</v>
      </c>
      <c r="H200">
        <v>31</v>
      </c>
      <c r="I200">
        <v>8</v>
      </c>
      <c r="J200">
        <v>7.74</v>
      </c>
      <c r="K200" t="s">
        <v>894</v>
      </c>
      <c r="L200">
        <v>0</v>
      </c>
      <c r="N200" t="s">
        <v>895</v>
      </c>
      <c r="O200" t="s">
        <v>896</v>
      </c>
      <c r="P200" t="s">
        <v>16</v>
      </c>
      <c r="Q200">
        <f t="shared" si="9"/>
        <v>0.67444086676529458</v>
      </c>
      <c r="R200">
        <f t="shared" si="10"/>
        <v>0.17404925593943085</v>
      </c>
      <c r="S200">
        <f t="shared" si="11"/>
        <v>0.82456603231679559</v>
      </c>
    </row>
    <row r="201" spans="1:19" hidden="1" x14ac:dyDescent="0.2">
      <c r="A201">
        <v>117</v>
      </c>
      <c r="B201" t="s">
        <v>29</v>
      </c>
      <c r="C201">
        <v>-1</v>
      </c>
      <c r="D201">
        <v>9</v>
      </c>
      <c r="E201">
        <v>1038</v>
      </c>
      <c r="F201" t="b">
        <v>1</v>
      </c>
      <c r="G201">
        <v>43.043999999999997</v>
      </c>
      <c r="H201">
        <v>29</v>
      </c>
      <c r="I201">
        <v>7</v>
      </c>
      <c r="J201">
        <v>6.12</v>
      </c>
      <c r="K201" t="s">
        <v>1396</v>
      </c>
      <c r="L201">
        <v>0</v>
      </c>
      <c r="N201" t="s">
        <v>1397</v>
      </c>
      <c r="O201" t="s">
        <v>1398</v>
      </c>
      <c r="P201" t="s">
        <v>16</v>
      </c>
      <c r="Q201">
        <f t="shared" si="9"/>
        <v>0.67372920732273955</v>
      </c>
      <c r="R201">
        <f t="shared" si="10"/>
        <v>0.16262429142273024</v>
      </c>
      <c r="S201">
        <f t="shared" si="11"/>
        <v>0.80333291708333432</v>
      </c>
    </row>
    <row r="202" spans="1:19" hidden="1" x14ac:dyDescent="0.2">
      <c r="A202">
        <v>20</v>
      </c>
      <c r="B202" t="s">
        <v>33</v>
      </c>
      <c r="C202">
        <v>-1</v>
      </c>
      <c r="D202">
        <v>2</v>
      </c>
      <c r="E202">
        <v>1021</v>
      </c>
      <c r="F202" t="b">
        <v>1</v>
      </c>
      <c r="G202">
        <v>43.131999999999998</v>
      </c>
      <c r="H202">
        <v>29</v>
      </c>
      <c r="I202">
        <v>6</v>
      </c>
      <c r="J202">
        <v>5.7</v>
      </c>
      <c r="K202" t="s">
        <v>789</v>
      </c>
      <c r="L202">
        <v>0</v>
      </c>
      <c r="N202" t="s">
        <v>790</v>
      </c>
      <c r="O202" t="s">
        <v>791</v>
      </c>
      <c r="P202" t="s">
        <v>16</v>
      </c>
      <c r="Q202">
        <f t="shared" si="9"/>
        <v>0.67235463229157011</v>
      </c>
      <c r="R202">
        <f t="shared" si="10"/>
        <v>0.13910785495687658</v>
      </c>
      <c r="S202">
        <f t="shared" si="11"/>
        <v>0.75119319061199019</v>
      </c>
    </row>
    <row r="203" spans="1:19" hidden="1" x14ac:dyDescent="0.2">
      <c r="A203">
        <v>132</v>
      </c>
      <c r="B203" t="s">
        <v>33</v>
      </c>
      <c r="C203">
        <v>-1</v>
      </c>
      <c r="D203">
        <v>10</v>
      </c>
      <c r="E203">
        <v>1009</v>
      </c>
      <c r="F203" t="b">
        <v>1</v>
      </c>
      <c r="G203">
        <v>41.84</v>
      </c>
      <c r="H203">
        <v>28</v>
      </c>
      <c r="I203">
        <v>7</v>
      </c>
      <c r="J203">
        <v>6.18</v>
      </c>
      <c r="K203" t="s">
        <v>359</v>
      </c>
      <c r="L203">
        <v>0</v>
      </c>
      <c r="N203" t="s">
        <v>360</v>
      </c>
      <c r="O203" t="s">
        <v>361</v>
      </c>
      <c r="P203" t="s">
        <v>16</v>
      </c>
      <c r="Q203">
        <f t="shared" si="9"/>
        <v>0.66921606118546839</v>
      </c>
      <c r="R203">
        <f t="shared" si="10"/>
        <v>0.1673040152963671</v>
      </c>
      <c r="S203">
        <f t="shared" si="11"/>
        <v>0.81232436517709095</v>
      </c>
    </row>
    <row r="204" spans="1:19" hidden="1" x14ac:dyDescent="0.2">
      <c r="A204">
        <v>4</v>
      </c>
      <c r="B204" t="s">
        <v>25</v>
      </c>
      <c r="C204">
        <v>-1</v>
      </c>
      <c r="D204">
        <v>1</v>
      </c>
      <c r="E204">
        <v>1010</v>
      </c>
      <c r="F204" t="b">
        <v>1</v>
      </c>
      <c r="G204">
        <v>43.68</v>
      </c>
      <c r="H204">
        <v>29</v>
      </c>
      <c r="I204">
        <v>5</v>
      </c>
      <c r="J204">
        <v>2.46</v>
      </c>
      <c r="K204" t="s">
        <v>389</v>
      </c>
      <c r="L204">
        <v>0</v>
      </c>
      <c r="N204" t="s">
        <v>390</v>
      </c>
      <c r="O204" t="s">
        <v>391</v>
      </c>
      <c r="P204" t="s">
        <v>16</v>
      </c>
      <c r="Q204">
        <f t="shared" si="9"/>
        <v>0.66391941391941389</v>
      </c>
      <c r="R204">
        <f t="shared" si="10"/>
        <v>0.11446886446886446</v>
      </c>
      <c r="S204">
        <f t="shared" si="11"/>
        <v>0.68167698607632343</v>
      </c>
    </row>
    <row r="205" spans="1:19" hidden="1" x14ac:dyDescent="0.2">
      <c r="A205">
        <v>132</v>
      </c>
      <c r="B205" t="s">
        <v>33</v>
      </c>
      <c r="C205">
        <v>-1</v>
      </c>
      <c r="D205">
        <v>10</v>
      </c>
      <c r="E205">
        <v>1019</v>
      </c>
      <c r="F205" t="b">
        <v>1</v>
      </c>
      <c r="G205">
        <v>39.212000000000003</v>
      </c>
      <c r="H205">
        <v>26</v>
      </c>
      <c r="I205">
        <v>7</v>
      </c>
      <c r="J205">
        <v>6.48</v>
      </c>
      <c r="K205" t="s">
        <v>717</v>
      </c>
      <c r="L205">
        <v>0</v>
      </c>
      <c r="N205" t="s">
        <v>718</v>
      </c>
      <c r="O205" t="s">
        <v>719</v>
      </c>
      <c r="P205" t="s">
        <v>16</v>
      </c>
      <c r="Q205">
        <f t="shared" si="9"/>
        <v>0.66306232785881869</v>
      </c>
      <c r="R205">
        <f t="shared" si="10"/>
        <v>0.17851678057737425</v>
      </c>
      <c r="S205">
        <f t="shared" si="11"/>
        <v>0.83223109395311901</v>
      </c>
    </row>
    <row r="206" spans="1:19" hidden="1" x14ac:dyDescent="0.2">
      <c r="A206">
        <v>21</v>
      </c>
      <c r="B206" t="s">
        <v>37</v>
      </c>
      <c r="C206">
        <v>-1</v>
      </c>
      <c r="D206">
        <v>2</v>
      </c>
      <c r="E206">
        <v>1031</v>
      </c>
      <c r="F206" t="b">
        <v>1</v>
      </c>
      <c r="G206">
        <v>45.543999999999997</v>
      </c>
      <c r="H206">
        <v>30</v>
      </c>
      <c r="I206">
        <v>5</v>
      </c>
      <c r="J206">
        <v>4.62</v>
      </c>
      <c r="K206" t="s">
        <v>1150</v>
      </c>
      <c r="L206">
        <v>0</v>
      </c>
      <c r="N206" t="s">
        <v>1151</v>
      </c>
      <c r="O206" t="s">
        <v>1152</v>
      </c>
      <c r="P206" t="s">
        <v>16</v>
      </c>
      <c r="Q206">
        <f t="shared" si="9"/>
        <v>0.6587036711751274</v>
      </c>
      <c r="R206">
        <f t="shared" si="10"/>
        <v>0.10978394519585456</v>
      </c>
      <c r="S206">
        <f t="shared" si="11"/>
        <v>0.66640895485839946</v>
      </c>
    </row>
    <row r="207" spans="1:19" hidden="1" x14ac:dyDescent="0.2">
      <c r="A207">
        <v>62</v>
      </c>
      <c r="B207" t="s">
        <v>33</v>
      </c>
      <c r="C207">
        <v>-1</v>
      </c>
      <c r="D207">
        <v>5</v>
      </c>
      <c r="E207">
        <v>1034</v>
      </c>
      <c r="F207" t="b">
        <v>1</v>
      </c>
      <c r="G207">
        <v>51.624000000000002</v>
      </c>
      <c r="H207">
        <v>34</v>
      </c>
      <c r="I207">
        <v>7</v>
      </c>
      <c r="J207">
        <v>8.16</v>
      </c>
      <c r="K207" t="s">
        <v>1255</v>
      </c>
      <c r="L207">
        <v>0</v>
      </c>
      <c r="N207" t="s">
        <v>1256</v>
      </c>
      <c r="O207" t="s">
        <v>1257</v>
      </c>
      <c r="P207" t="s">
        <v>16</v>
      </c>
      <c r="Q207">
        <f t="shared" si="9"/>
        <v>0.65860839919417324</v>
      </c>
      <c r="R207">
        <f t="shared" si="10"/>
        <v>0.13559584689291801</v>
      </c>
      <c r="S207">
        <f t="shared" si="11"/>
        <v>0.7422998215698402</v>
      </c>
    </row>
    <row r="208" spans="1:19" hidden="1" x14ac:dyDescent="0.2">
      <c r="A208">
        <v>34</v>
      </c>
      <c r="B208" t="s">
        <v>33</v>
      </c>
      <c r="C208">
        <v>-1</v>
      </c>
      <c r="D208">
        <v>3</v>
      </c>
      <c r="E208">
        <v>1002</v>
      </c>
      <c r="F208" t="b">
        <v>1</v>
      </c>
      <c r="G208">
        <v>42.616</v>
      </c>
      <c r="H208">
        <v>28</v>
      </c>
      <c r="I208">
        <v>9</v>
      </c>
      <c r="J208">
        <v>6.06</v>
      </c>
      <c r="K208" t="s">
        <v>107</v>
      </c>
      <c r="L208">
        <v>0</v>
      </c>
      <c r="N208" t="s">
        <v>108</v>
      </c>
      <c r="O208" t="s">
        <v>109</v>
      </c>
      <c r="P208" t="s">
        <v>16</v>
      </c>
      <c r="Q208">
        <f t="shared" si="9"/>
        <v>0.65703022339027595</v>
      </c>
      <c r="R208">
        <f t="shared" si="10"/>
        <v>0.21118828608973156</v>
      </c>
      <c r="S208">
        <f t="shared" si="11"/>
        <v>0.87899009302339337</v>
      </c>
    </row>
    <row r="209" spans="1:19" hidden="1" x14ac:dyDescent="0.2">
      <c r="A209">
        <v>91</v>
      </c>
      <c r="B209" t="s">
        <v>37</v>
      </c>
      <c r="C209">
        <v>-1</v>
      </c>
      <c r="D209">
        <v>7</v>
      </c>
      <c r="E209">
        <v>1006</v>
      </c>
      <c r="F209" t="b">
        <v>1</v>
      </c>
      <c r="G209">
        <v>44.192</v>
      </c>
      <c r="H209">
        <v>29</v>
      </c>
      <c r="I209">
        <v>5</v>
      </c>
      <c r="J209">
        <v>4.38</v>
      </c>
      <c r="K209" t="s">
        <v>254</v>
      </c>
      <c r="L209">
        <v>0</v>
      </c>
      <c r="N209" t="s">
        <v>255</v>
      </c>
      <c r="O209" t="s">
        <v>256</v>
      </c>
      <c r="P209" t="s">
        <v>16</v>
      </c>
      <c r="Q209">
        <f t="shared" si="9"/>
        <v>0.65622737146994936</v>
      </c>
      <c r="R209">
        <f t="shared" si="10"/>
        <v>0.11314265025343953</v>
      </c>
      <c r="S209">
        <f t="shared" si="11"/>
        <v>0.67742722282123724</v>
      </c>
    </row>
    <row r="210" spans="1:19" hidden="1" x14ac:dyDescent="0.2">
      <c r="A210">
        <v>88</v>
      </c>
      <c r="B210" t="s">
        <v>25</v>
      </c>
      <c r="C210">
        <v>-1</v>
      </c>
      <c r="D210">
        <v>7</v>
      </c>
      <c r="E210">
        <v>1006</v>
      </c>
      <c r="F210" t="b">
        <v>1</v>
      </c>
      <c r="G210">
        <v>44.28</v>
      </c>
      <c r="H210">
        <v>29</v>
      </c>
      <c r="I210">
        <v>5</v>
      </c>
      <c r="J210">
        <v>4.08</v>
      </c>
      <c r="K210" t="s">
        <v>245</v>
      </c>
      <c r="L210">
        <v>0</v>
      </c>
      <c r="N210" t="s">
        <v>246</v>
      </c>
      <c r="O210" t="s">
        <v>247</v>
      </c>
      <c r="P210" t="s">
        <v>16</v>
      </c>
      <c r="Q210">
        <f t="shared" si="9"/>
        <v>0.65492321589882563</v>
      </c>
      <c r="R210">
        <f t="shared" si="10"/>
        <v>0.11291779584462511</v>
      </c>
      <c r="S210">
        <f t="shared" si="11"/>
        <v>0.67670108764257608</v>
      </c>
    </row>
    <row r="211" spans="1:19" hidden="1" x14ac:dyDescent="0.2">
      <c r="A211">
        <v>63</v>
      </c>
      <c r="B211" t="s">
        <v>37</v>
      </c>
      <c r="C211">
        <v>-1</v>
      </c>
      <c r="D211">
        <v>5</v>
      </c>
      <c r="E211">
        <v>1004</v>
      </c>
      <c r="F211" t="b">
        <v>1</v>
      </c>
      <c r="G211">
        <v>42.795999999999999</v>
      </c>
      <c r="H211">
        <v>28</v>
      </c>
      <c r="I211">
        <v>4</v>
      </c>
      <c r="J211">
        <v>1.92</v>
      </c>
      <c r="K211" t="s">
        <v>182</v>
      </c>
      <c r="L211">
        <v>0</v>
      </c>
      <c r="N211" t="s">
        <v>183</v>
      </c>
      <c r="O211" t="s">
        <v>184</v>
      </c>
      <c r="P211" t="s">
        <v>16</v>
      </c>
      <c r="Q211">
        <f t="shared" si="9"/>
        <v>0.65426675390223388</v>
      </c>
      <c r="R211">
        <f t="shared" si="10"/>
        <v>9.3466679128890548E-2</v>
      </c>
      <c r="S211">
        <f t="shared" si="11"/>
        <v>0.60728329964179251</v>
      </c>
    </row>
    <row r="212" spans="1:19" x14ac:dyDescent="0.2">
      <c r="A212">
        <v>13</v>
      </c>
      <c r="B212" t="s">
        <v>33</v>
      </c>
      <c r="C212">
        <v>2</v>
      </c>
      <c r="D212">
        <v>1</v>
      </c>
      <c r="E212">
        <v>1010</v>
      </c>
      <c r="F212" t="b">
        <v>1</v>
      </c>
      <c r="G212">
        <v>45.88</v>
      </c>
      <c r="H212">
        <v>30</v>
      </c>
      <c r="I212">
        <v>1</v>
      </c>
      <c r="J212">
        <v>0.06</v>
      </c>
      <c r="K212" t="s">
        <v>413</v>
      </c>
      <c r="L212">
        <v>0</v>
      </c>
      <c r="N212" t="s">
        <v>414</v>
      </c>
      <c r="O212" t="s">
        <v>415</v>
      </c>
      <c r="P212" t="s">
        <v>16</v>
      </c>
      <c r="Q212">
        <f t="shared" si="9"/>
        <v>0.6538796861377506</v>
      </c>
      <c r="R212">
        <f t="shared" si="10"/>
        <v>2.1795989537925022E-2</v>
      </c>
      <c r="S212">
        <f t="shared" si="11"/>
        <v>0.19584230854088858</v>
      </c>
    </row>
    <row r="213" spans="1:19" hidden="1" x14ac:dyDescent="0.2">
      <c r="A213">
        <v>115</v>
      </c>
      <c r="B213" t="s">
        <v>21</v>
      </c>
      <c r="C213">
        <v>-1</v>
      </c>
      <c r="D213">
        <v>9</v>
      </c>
      <c r="E213">
        <v>1018</v>
      </c>
      <c r="F213" t="b">
        <v>1</v>
      </c>
      <c r="G213">
        <v>50.468000000000004</v>
      </c>
      <c r="H213">
        <v>33</v>
      </c>
      <c r="I213">
        <v>8</v>
      </c>
      <c r="J213">
        <v>6</v>
      </c>
      <c r="K213" t="s">
        <v>672</v>
      </c>
      <c r="L213">
        <v>0</v>
      </c>
      <c r="N213" t="s">
        <v>673</v>
      </c>
      <c r="O213" t="s">
        <v>674</v>
      </c>
      <c r="P213" t="s">
        <v>16</v>
      </c>
      <c r="Q213">
        <f t="shared" si="9"/>
        <v>0.6538796861377506</v>
      </c>
      <c r="R213">
        <f t="shared" si="10"/>
        <v>0.1585162875485456</v>
      </c>
      <c r="S213">
        <f t="shared" si="11"/>
        <v>0.79508558513617644</v>
      </c>
    </row>
    <row r="214" spans="1:19" x14ac:dyDescent="0.2">
      <c r="A214">
        <v>122</v>
      </c>
      <c r="B214" t="s">
        <v>21</v>
      </c>
      <c r="C214">
        <v>2</v>
      </c>
      <c r="D214">
        <v>9</v>
      </c>
      <c r="E214">
        <v>1028</v>
      </c>
      <c r="F214" t="b">
        <v>1</v>
      </c>
      <c r="G214">
        <v>50.771999999999998</v>
      </c>
      <c r="H214">
        <v>33</v>
      </c>
      <c r="I214">
        <v>1</v>
      </c>
      <c r="J214">
        <v>0.06</v>
      </c>
      <c r="K214" t="s">
        <v>1048</v>
      </c>
      <c r="L214">
        <v>0</v>
      </c>
      <c r="N214" t="s">
        <v>1049</v>
      </c>
      <c r="O214" t="s">
        <v>1050</v>
      </c>
      <c r="P214" t="s">
        <v>16</v>
      </c>
      <c r="Q214">
        <f t="shared" si="9"/>
        <v>0.64996454738832432</v>
      </c>
      <c r="R214">
        <f t="shared" si="10"/>
        <v>1.9695895375403765E-2</v>
      </c>
      <c r="S214">
        <f t="shared" si="11"/>
        <v>0.17877565920284699</v>
      </c>
    </row>
    <row r="215" spans="1:19" x14ac:dyDescent="0.2">
      <c r="A215">
        <v>107</v>
      </c>
      <c r="B215" t="s">
        <v>17</v>
      </c>
      <c r="C215">
        <v>2</v>
      </c>
      <c r="D215">
        <v>8</v>
      </c>
      <c r="E215">
        <v>1037</v>
      </c>
      <c r="F215" t="b">
        <v>1</v>
      </c>
      <c r="G215">
        <v>33.44</v>
      </c>
      <c r="H215">
        <v>27</v>
      </c>
      <c r="I215">
        <v>1</v>
      </c>
      <c r="J215">
        <v>0.18</v>
      </c>
      <c r="K215" t="s">
        <v>1369</v>
      </c>
      <c r="L215">
        <v>0</v>
      </c>
      <c r="N215" t="s">
        <v>1370</v>
      </c>
      <c r="O215" t="s">
        <v>1371</v>
      </c>
      <c r="P215" t="s">
        <v>16</v>
      </c>
      <c r="Q215">
        <f t="shared" si="9"/>
        <v>0.80741626794258381</v>
      </c>
      <c r="R215">
        <f t="shared" si="10"/>
        <v>2.9904306220095697E-2</v>
      </c>
      <c r="S215">
        <f t="shared" si="11"/>
        <v>0.25847252305775348</v>
      </c>
    </row>
    <row r="216" spans="1:19" x14ac:dyDescent="0.2">
      <c r="A216">
        <v>16</v>
      </c>
      <c r="B216" t="s">
        <v>1462</v>
      </c>
      <c r="C216">
        <v>2</v>
      </c>
      <c r="D216">
        <v>8</v>
      </c>
      <c r="E216">
        <v>1037</v>
      </c>
      <c r="F216" t="b">
        <v>1</v>
      </c>
      <c r="G216">
        <v>33.44</v>
      </c>
      <c r="H216">
        <v>27</v>
      </c>
      <c r="I216">
        <v>1</v>
      </c>
      <c r="J216">
        <v>0.18</v>
      </c>
      <c r="K216" t="s">
        <v>1369</v>
      </c>
      <c r="L216">
        <v>0</v>
      </c>
      <c r="N216" t="s">
        <v>1621</v>
      </c>
      <c r="O216" t="s">
        <v>1622</v>
      </c>
      <c r="P216" t="s">
        <v>16</v>
      </c>
      <c r="Q216">
        <f t="shared" si="9"/>
        <v>0.80741626794258381</v>
      </c>
      <c r="R216">
        <f t="shared" si="10"/>
        <v>2.9904306220095697E-2</v>
      </c>
      <c r="S216">
        <f t="shared" si="11"/>
        <v>0.25847252305775348</v>
      </c>
    </row>
    <row r="217" spans="1:19" hidden="1" x14ac:dyDescent="0.2">
      <c r="A217">
        <v>105</v>
      </c>
      <c r="B217" t="s">
        <v>37</v>
      </c>
      <c r="C217">
        <v>-1</v>
      </c>
      <c r="D217">
        <v>8</v>
      </c>
      <c r="E217">
        <v>1027</v>
      </c>
      <c r="F217" t="b">
        <v>1</v>
      </c>
      <c r="G217">
        <v>44.764000000000003</v>
      </c>
      <c r="H217">
        <v>29</v>
      </c>
      <c r="I217">
        <v>4</v>
      </c>
      <c r="J217">
        <v>2.34</v>
      </c>
      <c r="K217" t="s">
        <v>1006</v>
      </c>
      <c r="L217">
        <v>0</v>
      </c>
      <c r="N217" t="s">
        <v>1007</v>
      </c>
      <c r="O217" t="s">
        <v>1008</v>
      </c>
      <c r="P217" t="s">
        <v>16</v>
      </c>
      <c r="Q217">
        <f t="shared" si="9"/>
        <v>0.64784201590563839</v>
      </c>
      <c r="R217">
        <f t="shared" si="10"/>
        <v>8.9357519435260477E-2</v>
      </c>
      <c r="S217">
        <f t="shared" si="11"/>
        <v>0.59080979999674399</v>
      </c>
    </row>
    <row r="218" spans="1:19" hidden="1" x14ac:dyDescent="0.2">
      <c r="A218">
        <v>89</v>
      </c>
      <c r="B218" t="s">
        <v>29</v>
      </c>
      <c r="C218">
        <v>-1</v>
      </c>
      <c r="D218">
        <v>7</v>
      </c>
      <c r="E218">
        <v>1006</v>
      </c>
      <c r="F218" t="b">
        <v>1</v>
      </c>
      <c r="G218">
        <v>46.351999999999997</v>
      </c>
      <c r="H218">
        <v>30</v>
      </c>
      <c r="I218">
        <v>5</v>
      </c>
      <c r="J218">
        <v>6.96</v>
      </c>
      <c r="K218" t="s">
        <v>248</v>
      </c>
      <c r="L218">
        <v>0</v>
      </c>
      <c r="N218" t="s">
        <v>249</v>
      </c>
      <c r="O218" t="s">
        <v>250</v>
      </c>
      <c r="P218" t="s">
        <v>16</v>
      </c>
      <c r="Q218">
        <f t="shared" si="9"/>
        <v>0.64722126337590613</v>
      </c>
      <c r="R218">
        <f t="shared" si="10"/>
        <v>0.10787021056265103</v>
      </c>
      <c r="S218">
        <f t="shared" si="11"/>
        <v>0.65996342907988625</v>
      </c>
    </row>
    <row r="219" spans="1:19" hidden="1" x14ac:dyDescent="0.2">
      <c r="A219">
        <v>105</v>
      </c>
      <c r="B219" t="s">
        <v>37</v>
      </c>
      <c r="C219">
        <v>-1</v>
      </c>
      <c r="D219">
        <v>8</v>
      </c>
      <c r="E219">
        <v>1037</v>
      </c>
      <c r="F219" t="b">
        <v>1</v>
      </c>
      <c r="G219">
        <v>38.652000000000001</v>
      </c>
      <c r="H219">
        <v>25</v>
      </c>
      <c r="I219">
        <v>8</v>
      </c>
      <c r="J219">
        <v>6.06</v>
      </c>
      <c r="K219" t="s">
        <v>1366</v>
      </c>
      <c r="L219">
        <v>0</v>
      </c>
      <c r="N219" t="s">
        <v>1367</v>
      </c>
      <c r="O219" t="s">
        <v>1368</v>
      </c>
      <c r="P219" t="s">
        <v>16</v>
      </c>
      <c r="Q219">
        <f t="shared" si="9"/>
        <v>0.64679706095415501</v>
      </c>
      <c r="R219">
        <f t="shared" si="10"/>
        <v>0.2069750595053296</v>
      </c>
      <c r="S219">
        <f t="shared" si="11"/>
        <v>0.87378274301191783</v>
      </c>
    </row>
    <row r="220" spans="1:19" hidden="1" x14ac:dyDescent="0.2">
      <c r="A220">
        <v>87</v>
      </c>
      <c r="B220" t="s">
        <v>21</v>
      </c>
      <c r="C220">
        <v>-1</v>
      </c>
      <c r="D220">
        <v>7</v>
      </c>
      <c r="E220">
        <v>1036</v>
      </c>
      <c r="F220" t="b">
        <v>1</v>
      </c>
      <c r="G220">
        <v>37.119999999999997</v>
      </c>
      <c r="H220">
        <v>24</v>
      </c>
      <c r="I220">
        <v>7</v>
      </c>
      <c r="J220">
        <v>6.3</v>
      </c>
      <c r="K220" t="s">
        <v>1318</v>
      </c>
      <c r="L220">
        <v>0</v>
      </c>
      <c r="N220" t="s">
        <v>1319</v>
      </c>
      <c r="O220" t="s">
        <v>1320</v>
      </c>
      <c r="P220" t="s">
        <v>16</v>
      </c>
      <c r="Q220">
        <f t="shared" si="9"/>
        <v>0.64655172413793105</v>
      </c>
      <c r="R220">
        <f t="shared" si="10"/>
        <v>0.18857758620689657</v>
      </c>
      <c r="S220">
        <f t="shared" si="11"/>
        <v>0.84828869329290513</v>
      </c>
    </row>
    <row r="221" spans="1:19" x14ac:dyDescent="0.2">
      <c r="A221">
        <v>66</v>
      </c>
      <c r="B221" t="s">
        <v>21</v>
      </c>
      <c r="C221">
        <v>2</v>
      </c>
      <c r="D221">
        <v>5</v>
      </c>
      <c r="E221">
        <v>1014</v>
      </c>
      <c r="F221" t="b">
        <v>1</v>
      </c>
      <c r="G221">
        <v>46.415999999999997</v>
      </c>
      <c r="H221">
        <v>30</v>
      </c>
      <c r="I221">
        <v>0</v>
      </c>
      <c r="J221">
        <v>0</v>
      </c>
      <c r="K221" t="s">
        <v>547</v>
      </c>
      <c r="L221">
        <v>0</v>
      </c>
      <c r="N221" t="s">
        <v>548</v>
      </c>
      <c r="O221" t="s">
        <v>549</v>
      </c>
      <c r="P221" t="s">
        <v>16</v>
      </c>
      <c r="Q221">
        <f t="shared" si="9"/>
        <v>0.64632885211995872</v>
      </c>
      <c r="R221">
        <f t="shared" si="10"/>
        <v>0</v>
      </c>
      <c r="S221">
        <f t="shared" si="11"/>
        <v>0</v>
      </c>
    </row>
    <row r="222" spans="1:19" x14ac:dyDescent="0.2">
      <c r="A222">
        <v>27</v>
      </c>
      <c r="B222" t="s">
        <v>33</v>
      </c>
      <c r="C222">
        <v>2</v>
      </c>
      <c r="D222">
        <v>2</v>
      </c>
      <c r="E222">
        <v>1031</v>
      </c>
      <c r="F222" t="b">
        <v>1</v>
      </c>
      <c r="G222">
        <v>44.9</v>
      </c>
      <c r="H222">
        <v>29</v>
      </c>
      <c r="I222">
        <v>1</v>
      </c>
      <c r="J222">
        <v>0.3</v>
      </c>
      <c r="K222" t="s">
        <v>1165</v>
      </c>
      <c r="L222">
        <v>0</v>
      </c>
      <c r="N222" t="s">
        <v>1166</v>
      </c>
      <c r="O222" t="s">
        <v>1167</v>
      </c>
      <c r="P222" t="s">
        <v>16</v>
      </c>
      <c r="Q222">
        <f t="shared" si="9"/>
        <v>0.64587973273942101</v>
      </c>
      <c r="R222">
        <f t="shared" si="10"/>
        <v>2.2271714922048998E-2</v>
      </c>
      <c r="S222">
        <f t="shared" si="11"/>
        <v>0.19965880558718785</v>
      </c>
    </row>
    <row r="223" spans="1:19" x14ac:dyDescent="0.2">
      <c r="A223">
        <v>41</v>
      </c>
      <c r="B223" t="s">
        <v>33</v>
      </c>
      <c r="C223">
        <v>2</v>
      </c>
      <c r="D223">
        <v>3</v>
      </c>
      <c r="E223">
        <v>1022</v>
      </c>
      <c r="F223" t="b">
        <v>1</v>
      </c>
      <c r="G223">
        <v>29.423999999999999</v>
      </c>
      <c r="H223">
        <v>19</v>
      </c>
      <c r="I223">
        <v>2</v>
      </c>
      <c r="J223">
        <v>0.48</v>
      </c>
      <c r="K223" t="s">
        <v>843</v>
      </c>
      <c r="L223">
        <v>0</v>
      </c>
      <c r="N223" t="s">
        <v>844</v>
      </c>
      <c r="O223" t="s">
        <v>845</v>
      </c>
      <c r="P223" t="s">
        <v>16</v>
      </c>
      <c r="Q223">
        <f t="shared" si="9"/>
        <v>0.64573137574768902</v>
      </c>
      <c r="R223">
        <f t="shared" si="10"/>
        <v>6.7971723762914632E-2</v>
      </c>
      <c r="S223">
        <f t="shared" si="11"/>
        <v>0.49323973515745634</v>
      </c>
    </row>
    <row r="224" spans="1:19" x14ac:dyDescent="0.2">
      <c r="A224">
        <v>10</v>
      </c>
      <c r="B224" t="s">
        <v>21</v>
      </c>
      <c r="C224">
        <v>2</v>
      </c>
      <c r="D224">
        <v>1</v>
      </c>
      <c r="E224">
        <v>1030</v>
      </c>
      <c r="F224" t="b">
        <v>1</v>
      </c>
      <c r="G224">
        <v>41.908000000000001</v>
      </c>
      <c r="H224">
        <v>27</v>
      </c>
      <c r="I224">
        <v>5</v>
      </c>
      <c r="J224">
        <v>2.04</v>
      </c>
      <c r="K224" t="s">
        <v>1120</v>
      </c>
      <c r="L224">
        <v>0</v>
      </c>
      <c r="N224" t="s">
        <v>1121</v>
      </c>
      <c r="O224" t="s">
        <v>1122</v>
      </c>
      <c r="P224" t="s">
        <v>16</v>
      </c>
      <c r="Q224">
        <f t="shared" si="9"/>
        <v>0.64426839744201581</v>
      </c>
      <c r="R224">
        <f t="shared" si="10"/>
        <v>0.11930896248926219</v>
      </c>
      <c r="S224">
        <f t="shared" si="11"/>
        <v>0.69671721500293105</v>
      </c>
    </row>
    <row r="225" spans="1:19" hidden="1" x14ac:dyDescent="0.2">
      <c r="A225">
        <v>90</v>
      </c>
      <c r="B225" t="s">
        <v>33</v>
      </c>
      <c r="C225">
        <v>-1</v>
      </c>
      <c r="D225">
        <v>7</v>
      </c>
      <c r="E225">
        <v>1036</v>
      </c>
      <c r="F225" t="b">
        <v>1</v>
      </c>
      <c r="G225">
        <v>40.415999999999997</v>
      </c>
      <c r="H225">
        <v>26</v>
      </c>
      <c r="I225">
        <v>6</v>
      </c>
      <c r="J225">
        <v>4.32</v>
      </c>
      <c r="K225" t="s">
        <v>1327</v>
      </c>
      <c r="L225">
        <v>0</v>
      </c>
      <c r="N225" t="s">
        <v>1328</v>
      </c>
      <c r="O225" t="s">
        <v>1329</v>
      </c>
      <c r="P225" t="s">
        <v>16</v>
      </c>
      <c r="Q225">
        <f t="shared" si="9"/>
        <v>0.64330958036421226</v>
      </c>
      <c r="R225">
        <f t="shared" si="10"/>
        <v>0.14845605700712591</v>
      </c>
      <c r="S225">
        <f t="shared" si="11"/>
        <v>0.77339810554425503</v>
      </c>
    </row>
    <row r="226" spans="1:19" hidden="1" x14ac:dyDescent="0.2">
      <c r="A226">
        <v>114</v>
      </c>
      <c r="B226" t="s">
        <v>17</v>
      </c>
      <c r="C226">
        <v>-1</v>
      </c>
      <c r="D226">
        <v>9</v>
      </c>
      <c r="E226">
        <v>1038</v>
      </c>
      <c r="F226" t="b">
        <v>1</v>
      </c>
      <c r="G226">
        <v>35.183999999999997</v>
      </c>
      <c r="H226">
        <v>31</v>
      </c>
      <c r="I226">
        <v>6</v>
      </c>
      <c r="J226">
        <v>9.48</v>
      </c>
      <c r="K226" t="s">
        <v>1387</v>
      </c>
      <c r="L226">
        <v>0</v>
      </c>
      <c r="N226" t="s">
        <v>1388</v>
      </c>
      <c r="O226" t="s">
        <v>1389</v>
      </c>
      <c r="P226" t="s">
        <v>16</v>
      </c>
      <c r="Q226">
        <f t="shared" si="9"/>
        <v>0.88108231014097327</v>
      </c>
      <c r="R226">
        <f t="shared" si="10"/>
        <v>0.17053206002728513</v>
      </c>
      <c r="S226">
        <f t="shared" si="11"/>
        <v>0.81828588076054032</v>
      </c>
    </row>
    <row r="227" spans="1:19" hidden="1" x14ac:dyDescent="0.2">
      <c r="A227">
        <v>17</v>
      </c>
      <c r="B227" t="s">
        <v>1462</v>
      </c>
      <c r="C227">
        <v>-1</v>
      </c>
      <c r="D227">
        <v>9</v>
      </c>
      <c r="E227">
        <v>1038</v>
      </c>
      <c r="F227" t="b">
        <v>1</v>
      </c>
      <c r="G227">
        <v>35.183999999999997</v>
      </c>
      <c r="H227">
        <v>31</v>
      </c>
      <c r="I227">
        <v>6</v>
      </c>
      <c r="J227">
        <v>9.48</v>
      </c>
      <c r="K227" t="s">
        <v>1387</v>
      </c>
      <c r="L227">
        <v>0</v>
      </c>
      <c r="N227" t="s">
        <v>1623</v>
      </c>
      <c r="O227" t="s">
        <v>1624</v>
      </c>
      <c r="P227" t="s">
        <v>16</v>
      </c>
      <c r="Q227">
        <f t="shared" si="9"/>
        <v>0.88108231014097327</v>
      </c>
      <c r="R227">
        <f t="shared" si="10"/>
        <v>0.17053206002728513</v>
      </c>
      <c r="S227">
        <f t="shared" si="11"/>
        <v>0.81828588076054032</v>
      </c>
    </row>
    <row r="228" spans="1:19" hidden="1" x14ac:dyDescent="0.2">
      <c r="A228">
        <v>5</v>
      </c>
      <c r="B228" t="s">
        <v>29</v>
      </c>
      <c r="C228">
        <v>-1</v>
      </c>
      <c r="D228">
        <v>1</v>
      </c>
      <c r="E228">
        <v>1030</v>
      </c>
      <c r="F228" t="b">
        <v>1</v>
      </c>
      <c r="G228">
        <v>43.612000000000002</v>
      </c>
      <c r="H228">
        <v>28</v>
      </c>
      <c r="I228">
        <v>5</v>
      </c>
      <c r="J228">
        <v>5.16</v>
      </c>
      <c r="K228" t="s">
        <v>1108</v>
      </c>
      <c r="L228">
        <v>0</v>
      </c>
      <c r="N228" t="s">
        <v>1109</v>
      </c>
      <c r="O228" t="s">
        <v>1110</v>
      </c>
      <c r="P228" t="s">
        <v>16</v>
      </c>
      <c r="Q228">
        <f t="shared" si="9"/>
        <v>0.64202513069797296</v>
      </c>
      <c r="R228">
        <f t="shared" si="10"/>
        <v>0.11464734476749518</v>
      </c>
      <c r="S228">
        <f t="shared" si="11"/>
        <v>0.68224462323125501</v>
      </c>
    </row>
    <row r="229" spans="1:19" x14ac:dyDescent="0.2">
      <c r="A229">
        <v>121</v>
      </c>
      <c r="B229" t="s">
        <v>17</v>
      </c>
      <c r="C229">
        <v>2</v>
      </c>
      <c r="D229">
        <v>9</v>
      </c>
      <c r="E229">
        <v>1038</v>
      </c>
      <c r="F229" t="b">
        <v>1</v>
      </c>
      <c r="G229">
        <v>38.003999999999998</v>
      </c>
      <c r="H229">
        <v>27</v>
      </c>
      <c r="I229">
        <v>0</v>
      </c>
      <c r="J229">
        <v>0</v>
      </c>
      <c r="K229" t="s">
        <v>1405</v>
      </c>
      <c r="L229">
        <v>0</v>
      </c>
      <c r="N229" t="s">
        <v>1406</v>
      </c>
      <c r="O229" t="s">
        <v>1407</v>
      </c>
      <c r="P229" t="s">
        <v>16</v>
      </c>
      <c r="Q229">
        <f t="shared" si="9"/>
        <v>0.71045153141774553</v>
      </c>
      <c r="R229">
        <f t="shared" si="10"/>
        <v>0</v>
      </c>
      <c r="S229">
        <f t="shared" si="11"/>
        <v>0</v>
      </c>
    </row>
    <row r="230" spans="1:19" x14ac:dyDescent="0.2">
      <c r="A230">
        <v>18</v>
      </c>
      <c r="B230" t="s">
        <v>1462</v>
      </c>
      <c r="C230">
        <v>2</v>
      </c>
      <c r="D230">
        <v>9</v>
      </c>
      <c r="E230">
        <v>1038</v>
      </c>
      <c r="F230" t="b">
        <v>1</v>
      </c>
      <c r="G230">
        <v>38.003999999999998</v>
      </c>
      <c r="H230">
        <v>27</v>
      </c>
      <c r="I230">
        <v>0</v>
      </c>
      <c r="J230">
        <v>0</v>
      </c>
      <c r="K230" t="s">
        <v>1405</v>
      </c>
      <c r="L230">
        <v>0</v>
      </c>
      <c r="N230" t="s">
        <v>1625</v>
      </c>
      <c r="O230" t="s">
        <v>1626</v>
      </c>
      <c r="P230" t="s">
        <v>16</v>
      </c>
      <c r="Q230">
        <f t="shared" si="9"/>
        <v>0.71045153141774553</v>
      </c>
      <c r="R230">
        <f t="shared" si="10"/>
        <v>0</v>
      </c>
      <c r="S230">
        <f t="shared" si="11"/>
        <v>0</v>
      </c>
    </row>
    <row r="231" spans="1:19" x14ac:dyDescent="0.2">
      <c r="A231">
        <v>82</v>
      </c>
      <c r="B231" t="s">
        <v>29</v>
      </c>
      <c r="C231">
        <v>2</v>
      </c>
      <c r="D231">
        <v>6</v>
      </c>
      <c r="E231">
        <v>1025</v>
      </c>
      <c r="F231" t="b">
        <v>1</v>
      </c>
      <c r="G231">
        <v>37.524000000000001</v>
      </c>
      <c r="H231">
        <v>24</v>
      </c>
      <c r="I231">
        <v>0</v>
      </c>
      <c r="J231">
        <v>0</v>
      </c>
      <c r="K231" t="s">
        <v>948</v>
      </c>
      <c r="L231">
        <v>0</v>
      </c>
      <c r="N231" t="s">
        <v>949</v>
      </c>
      <c r="O231" t="s">
        <v>950</v>
      </c>
      <c r="P231" t="s">
        <v>16</v>
      </c>
      <c r="Q231">
        <f t="shared" si="9"/>
        <v>0.63959066197633518</v>
      </c>
      <c r="R231">
        <f t="shared" si="10"/>
        <v>0</v>
      </c>
      <c r="S231">
        <f t="shared" si="11"/>
        <v>0</v>
      </c>
    </row>
    <row r="232" spans="1:19" hidden="1" x14ac:dyDescent="0.2">
      <c r="A232">
        <v>118</v>
      </c>
      <c r="B232" t="s">
        <v>33</v>
      </c>
      <c r="C232">
        <v>-1</v>
      </c>
      <c r="D232">
        <v>9</v>
      </c>
      <c r="E232">
        <v>1018</v>
      </c>
      <c r="F232" t="b">
        <v>1</v>
      </c>
      <c r="G232">
        <v>48.572000000000003</v>
      </c>
      <c r="H232">
        <v>31</v>
      </c>
      <c r="I232">
        <v>5</v>
      </c>
      <c r="J232">
        <v>6.48</v>
      </c>
      <c r="K232" t="s">
        <v>681</v>
      </c>
      <c r="L232">
        <v>0</v>
      </c>
      <c r="N232" t="s">
        <v>682</v>
      </c>
      <c r="O232" t="s">
        <v>683</v>
      </c>
      <c r="P232" t="s">
        <v>16</v>
      </c>
      <c r="Q232">
        <f t="shared" si="9"/>
        <v>0.638227785555464</v>
      </c>
      <c r="R232">
        <f t="shared" si="10"/>
        <v>0.10293996541217161</v>
      </c>
      <c r="S232">
        <f t="shared" si="11"/>
        <v>0.64277864742531698</v>
      </c>
    </row>
    <row r="233" spans="1:19" hidden="1" x14ac:dyDescent="0.2">
      <c r="A233">
        <v>76</v>
      </c>
      <c r="B233" t="s">
        <v>33</v>
      </c>
      <c r="C233">
        <v>-1</v>
      </c>
      <c r="D233">
        <v>6</v>
      </c>
      <c r="E233">
        <v>1005</v>
      </c>
      <c r="F233" t="b">
        <v>1</v>
      </c>
      <c r="G233">
        <v>39.207999999999998</v>
      </c>
      <c r="H233">
        <v>25</v>
      </c>
      <c r="I233">
        <v>5</v>
      </c>
      <c r="J233">
        <v>4.4400000000000004</v>
      </c>
      <c r="K233" t="s">
        <v>215</v>
      </c>
      <c r="L233">
        <v>0</v>
      </c>
      <c r="N233" t="s">
        <v>216</v>
      </c>
      <c r="O233" t="s">
        <v>217</v>
      </c>
      <c r="P233" t="s">
        <v>16</v>
      </c>
      <c r="Q233">
        <f t="shared" si="9"/>
        <v>0.637624974495001</v>
      </c>
      <c r="R233">
        <f t="shared" si="10"/>
        <v>0.12752499489900021</v>
      </c>
      <c r="S233">
        <f t="shared" si="11"/>
        <v>0.72063886653894749</v>
      </c>
    </row>
    <row r="234" spans="1:19" x14ac:dyDescent="0.2">
      <c r="A234">
        <v>111</v>
      </c>
      <c r="B234" t="s">
        <v>33</v>
      </c>
      <c r="C234">
        <v>2</v>
      </c>
      <c r="D234">
        <v>8</v>
      </c>
      <c r="E234">
        <v>1027</v>
      </c>
      <c r="F234" t="b">
        <v>1</v>
      </c>
      <c r="G234">
        <v>48.808</v>
      </c>
      <c r="H234">
        <v>31</v>
      </c>
      <c r="I234">
        <v>4</v>
      </c>
      <c r="J234">
        <v>3.6</v>
      </c>
      <c r="K234" t="s">
        <v>1021</v>
      </c>
      <c r="L234">
        <v>0</v>
      </c>
      <c r="N234" t="s">
        <v>1022</v>
      </c>
      <c r="O234" t="s">
        <v>1023</v>
      </c>
      <c r="P234" t="s">
        <v>16</v>
      </c>
      <c r="Q234">
        <f t="shared" si="9"/>
        <v>0.6351417800360597</v>
      </c>
      <c r="R234">
        <f t="shared" si="10"/>
        <v>8.1953778069168995E-2</v>
      </c>
      <c r="S234">
        <f t="shared" si="11"/>
        <v>0.55936472242366508</v>
      </c>
    </row>
    <row r="235" spans="1:19" x14ac:dyDescent="0.2">
      <c r="A235">
        <v>108</v>
      </c>
      <c r="B235" t="s">
        <v>21</v>
      </c>
      <c r="C235">
        <v>2</v>
      </c>
      <c r="D235">
        <v>8</v>
      </c>
      <c r="E235">
        <v>1017</v>
      </c>
      <c r="F235" t="b">
        <v>1</v>
      </c>
      <c r="G235">
        <v>47.423999999999999</v>
      </c>
      <c r="H235">
        <v>30</v>
      </c>
      <c r="I235">
        <v>2</v>
      </c>
      <c r="J235">
        <v>0.18</v>
      </c>
      <c r="K235" t="s">
        <v>655</v>
      </c>
      <c r="L235">
        <v>0</v>
      </c>
      <c r="N235" t="s">
        <v>656</v>
      </c>
      <c r="O235" t="s">
        <v>657</v>
      </c>
      <c r="P235" t="s">
        <v>16</v>
      </c>
      <c r="Q235">
        <f t="shared" si="9"/>
        <v>0.63259109311740891</v>
      </c>
      <c r="R235">
        <f t="shared" si="10"/>
        <v>4.2172739541160596E-2</v>
      </c>
      <c r="S235">
        <f t="shared" si="11"/>
        <v>0.34408718013157169</v>
      </c>
    </row>
    <row r="236" spans="1:19" hidden="1" x14ac:dyDescent="0.2">
      <c r="A236">
        <v>33</v>
      </c>
      <c r="B236" t="s">
        <v>29</v>
      </c>
      <c r="C236">
        <v>-1</v>
      </c>
      <c r="D236">
        <v>3</v>
      </c>
      <c r="E236">
        <v>1012</v>
      </c>
      <c r="F236" t="b">
        <v>1</v>
      </c>
      <c r="G236">
        <v>45.96</v>
      </c>
      <c r="H236">
        <v>29</v>
      </c>
      <c r="I236">
        <v>5</v>
      </c>
      <c r="J236">
        <v>5.16</v>
      </c>
      <c r="K236" t="s">
        <v>464</v>
      </c>
      <c r="L236">
        <v>0</v>
      </c>
      <c r="N236" t="s">
        <v>465</v>
      </c>
      <c r="O236" t="s">
        <v>466</v>
      </c>
      <c r="P236" t="s">
        <v>16</v>
      </c>
      <c r="Q236">
        <f t="shared" si="9"/>
        <v>0.63098346388163618</v>
      </c>
      <c r="R236">
        <f t="shared" si="10"/>
        <v>0.10879025239338555</v>
      </c>
      <c r="S236">
        <f t="shared" si="11"/>
        <v>0.6630775601509169</v>
      </c>
    </row>
    <row r="237" spans="1:19" hidden="1" x14ac:dyDescent="0.2">
      <c r="A237">
        <v>19</v>
      </c>
      <c r="B237" t="s">
        <v>29</v>
      </c>
      <c r="C237">
        <v>-1</v>
      </c>
      <c r="D237">
        <v>2</v>
      </c>
      <c r="E237">
        <v>1021</v>
      </c>
      <c r="F237" t="b">
        <v>1</v>
      </c>
      <c r="G237">
        <v>42.808</v>
      </c>
      <c r="H237">
        <v>27</v>
      </c>
      <c r="I237">
        <v>5</v>
      </c>
      <c r="J237">
        <v>4.5</v>
      </c>
      <c r="K237" t="s">
        <v>786</v>
      </c>
      <c r="L237">
        <v>0</v>
      </c>
      <c r="N237" t="s">
        <v>787</v>
      </c>
      <c r="O237" t="s">
        <v>788</v>
      </c>
      <c r="P237" t="s">
        <v>16</v>
      </c>
      <c r="Q237">
        <f t="shared" si="9"/>
        <v>0.63072322930293401</v>
      </c>
      <c r="R237">
        <f t="shared" si="10"/>
        <v>0.11680059801906185</v>
      </c>
      <c r="S237">
        <f t="shared" si="11"/>
        <v>0.68901356346780307</v>
      </c>
    </row>
    <row r="238" spans="1:19" hidden="1" x14ac:dyDescent="0.2">
      <c r="A238">
        <v>60</v>
      </c>
      <c r="B238" t="s">
        <v>25</v>
      </c>
      <c r="C238">
        <v>-1</v>
      </c>
      <c r="D238">
        <v>5</v>
      </c>
      <c r="E238">
        <v>1024</v>
      </c>
      <c r="F238" t="b">
        <v>1</v>
      </c>
      <c r="G238">
        <v>47.712000000000003</v>
      </c>
      <c r="H238">
        <v>30</v>
      </c>
      <c r="I238">
        <v>3</v>
      </c>
      <c r="J238">
        <v>2.4</v>
      </c>
      <c r="K238" t="s">
        <v>891</v>
      </c>
      <c r="L238">
        <v>0</v>
      </c>
      <c r="N238" t="s">
        <v>892</v>
      </c>
      <c r="O238" t="s">
        <v>893</v>
      </c>
      <c r="P238" t="s">
        <v>16</v>
      </c>
      <c r="Q238">
        <f t="shared" si="9"/>
        <v>0.62877263581488929</v>
      </c>
      <c r="R238">
        <f t="shared" si="10"/>
        <v>6.2877263581488929E-2</v>
      </c>
      <c r="S238">
        <f t="shared" si="11"/>
        <v>0.46675411357286467</v>
      </c>
    </row>
    <row r="239" spans="1:19" x14ac:dyDescent="0.2">
      <c r="A239">
        <v>25</v>
      </c>
      <c r="B239" t="s">
        <v>25</v>
      </c>
      <c r="C239">
        <v>2</v>
      </c>
      <c r="D239">
        <v>2</v>
      </c>
      <c r="E239">
        <v>1031</v>
      </c>
      <c r="F239" t="b">
        <v>1</v>
      </c>
      <c r="G239">
        <v>44.572000000000003</v>
      </c>
      <c r="H239">
        <v>28</v>
      </c>
      <c r="I239">
        <v>0</v>
      </c>
      <c r="J239">
        <v>0</v>
      </c>
      <c r="K239" t="s">
        <v>1159</v>
      </c>
      <c r="L239">
        <v>0</v>
      </c>
      <c r="N239" t="s">
        <v>1160</v>
      </c>
      <c r="O239" t="s">
        <v>1161</v>
      </c>
      <c r="P239" t="s">
        <v>16</v>
      </c>
      <c r="Q239">
        <f t="shared" si="9"/>
        <v>0.62819707439648209</v>
      </c>
      <c r="R239">
        <f t="shared" si="10"/>
        <v>0</v>
      </c>
      <c r="S239">
        <f t="shared" si="11"/>
        <v>0</v>
      </c>
    </row>
    <row r="240" spans="1:19" hidden="1" x14ac:dyDescent="0.2">
      <c r="A240">
        <v>89</v>
      </c>
      <c r="B240" t="s">
        <v>29</v>
      </c>
      <c r="C240">
        <v>-1</v>
      </c>
      <c r="D240">
        <v>7</v>
      </c>
      <c r="E240">
        <v>1036</v>
      </c>
      <c r="F240" t="b">
        <v>1</v>
      </c>
      <c r="G240">
        <v>41.488</v>
      </c>
      <c r="H240">
        <v>26</v>
      </c>
      <c r="I240">
        <v>3</v>
      </c>
      <c r="J240">
        <v>5.76</v>
      </c>
      <c r="K240" t="s">
        <v>1324</v>
      </c>
      <c r="L240">
        <v>0</v>
      </c>
      <c r="N240" t="s">
        <v>1325</v>
      </c>
      <c r="O240" t="s">
        <v>1326</v>
      </c>
      <c r="P240" t="s">
        <v>16</v>
      </c>
      <c r="Q240">
        <f t="shared" si="9"/>
        <v>0.62668723486309297</v>
      </c>
      <c r="R240">
        <f t="shared" si="10"/>
        <v>7.2310065561126111E-2</v>
      </c>
      <c r="S240">
        <f t="shared" si="11"/>
        <v>0.51475465773626361</v>
      </c>
    </row>
    <row r="241" spans="1:19" hidden="1" x14ac:dyDescent="0.2">
      <c r="A241">
        <v>104</v>
      </c>
      <c r="B241" t="s">
        <v>33</v>
      </c>
      <c r="C241">
        <v>-1</v>
      </c>
      <c r="D241">
        <v>8</v>
      </c>
      <c r="E241">
        <v>1007</v>
      </c>
      <c r="F241" t="b">
        <v>1</v>
      </c>
      <c r="G241">
        <v>39.915999999999997</v>
      </c>
      <c r="H241">
        <v>25</v>
      </c>
      <c r="I241">
        <v>4</v>
      </c>
      <c r="J241">
        <v>3.12</v>
      </c>
      <c r="K241" t="s">
        <v>287</v>
      </c>
      <c r="L241">
        <v>0</v>
      </c>
      <c r="N241" t="s">
        <v>288</v>
      </c>
      <c r="O241" t="s">
        <v>289</v>
      </c>
      <c r="P241" t="s">
        <v>16</v>
      </c>
      <c r="Q241">
        <f t="shared" si="9"/>
        <v>0.62631526205030574</v>
      </c>
      <c r="R241">
        <f t="shared" si="10"/>
        <v>0.10021044192804891</v>
      </c>
      <c r="S241">
        <f t="shared" si="11"/>
        <v>0.63289391739670697</v>
      </c>
    </row>
    <row r="242" spans="1:19" hidden="1" x14ac:dyDescent="0.2">
      <c r="A242">
        <v>128</v>
      </c>
      <c r="B242" t="s">
        <v>17</v>
      </c>
      <c r="C242">
        <v>-1</v>
      </c>
      <c r="D242">
        <v>10</v>
      </c>
      <c r="E242">
        <v>1039</v>
      </c>
      <c r="F242" t="b">
        <v>1</v>
      </c>
      <c r="G242">
        <v>30</v>
      </c>
      <c r="H242">
        <v>31</v>
      </c>
      <c r="I242">
        <v>8</v>
      </c>
      <c r="J242">
        <v>11.28</v>
      </c>
      <c r="K242" t="s">
        <v>1423</v>
      </c>
      <c r="L242">
        <v>0</v>
      </c>
      <c r="N242" t="s">
        <v>1424</v>
      </c>
      <c r="O242" t="s">
        <v>1425</v>
      </c>
      <c r="P242" t="s">
        <v>16</v>
      </c>
      <c r="Q242">
        <f t="shared" si="9"/>
        <v>1.0333333333333334</v>
      </c>
      <c r="R242">
        <f t="shared" si="10"/>
        <v>0.26666666666666666</v>
      </c>
      <c r="S242">
        <f t="shared" si="11"/>
        <v>0.93051654877719847</v>
      </c>
    </row>
    <row r="243" spans="1:19" hidden="1" x14ac:dyDescent="0.2">
      <c r="A243">
        <v>19</v>
      </c>
      <c r="B243" t="s">
        <v>1462</v>
      </c>
      <c r="C243">
        <v>-1</v>
      </c>
      <c r="D243">
        <v>10</v>
      </c>
      <c r="E243">
        <v>1039</v>
      </c>
      <c r="F243" t="b">
        <v>1</v>
      </c>
      <c r="G243">
        <v>30</v>
      </c>
      <c r="H243">
        <v>31</v>
      </c>
      <c r="I243">
        <v>8</v>
      </c>
      <c r="J243">
        <v>11.28</v>
      </c>
      <c r="K243" t="s">
        <v>1423</v>
      </c>
      <c r="L243">
        <v>0</v>
      </c>
      <c r="N243" t="s">
        <v>1627</v>
      </c>
      <c r="O243" t="s">
        <v>1628</v>
      </c>
      <c r="P243" t="s">
        <v>16</v>
      </c>
      <c r="Q243">
        <f t="shared" si="9"/>
        <v>1.0333333333333334</v>
      </c>
      <c r="R243">
        <f t="shared" si="10"/>
        <v>0.26666666666666666</v>
      </c>
      <c r="S243">
        <f t="shared" si="11"/>
        <v>0.93051654877719847</v>
      </c>
    </row>
    <row r="244" spans="1:19" hidden="1" x14ac:dyDescent="0.2">
      <c r="A244">
        <v>6</v>
      </c>
      <c r="B244" t="s">
        <v>33</v>
      </c>
      <c r="C244">
        <v>-1</v>
      </c>
      <c r="D244">
        <v>1</v>
      </c>
      <c r="E244">
        <v>1030</v>
      </c>
      <c r="F244" t="b">
        <v>1</v>
      </c>
      <c r="G244">
        <v>47.915999999999997</v>
      </c>
      <c r="H244">
        <v>30</v>
      </c>
      <c r="I244">
        <v>6</v>
      </c>
      <c r="J244">
        <v>6.72</v>
      </c>
      <c r="K244" t="s">
        <v>1111</v>
      </c>
      <c r="L244">
        <v>0</v>
      </c>
      <c r="N244" t="s">
        <v>1112</v>
      </c>
      <c r="O244" t="s">
        <v>1113</v>
      </c>
      <c r="P244" t="s">
        <v>16</v>
      </c>
      <c r="Q244">
        <f t="shared" si="9"/>
        <v>0.62609566741798151</v>
      </c>
      <c r="R244">
        <f t="shared" si="10"/>
        <v>0.12521913348359631</v>
      </c>
      <c r="S244">
        <f t="shared" si="11"/>
        <v>0.7141223436934111</v>
      </c>
    </row>
    <row r="245" spans="1:19" hidden="1" x14ac:dyDescent="0.2">
      <c r="A245">
        <v>4</v>
      </c>
      <c r="B245" t="s">
        <v>25</v>
      </c>
      <c r="C245">
        <v>-1</v>
      </c>
      <c r="D245">
        <v>1</v>
      </c>
      <c r="E245">
        <v>1000</v>
      </c>
      <c r="F245" t="b">
        <v>1</v>
      </c>
      <c r="G245">
        <v>46.444000000000003</v>
      </c>
      <c r="H245">
        <v>29</v>
      </c>
      <c r="I245">
        <v>8</v>
      </c>
      <c r="J245">
        <v>6.72</v>
      </c>
      <c r="K245" t="s">
        <v>26</v>
      </c>
      <c r="L245">
        <v>0</v>
      </c>
      <c r="N245" t="s">
        <v>27</v>
      </c>
      <c r="O245" t="s">
        <v>28</v>
      </c>
      <c r="P245" t="s">
        <v>16</v>
      </c>
      <c r="Q245">
        <f t="shared" si="9"/>
        <v>0.62440788907070877</v>
      </c>
      <c r="R245">
        <f t="shared" si="10"/>
        <v>0.1722504521574369</v>
      </c>
      <c r="S245">
        <f t="shared" si="11"/>
        <v>0.82138176598005475</v>
      </c>
    </row>
    <row r="246" spans="1:19" hidden="1" x14ac:dyDescent="0.2">
      <c r="A246">
        <v>61</v>
      </c>
      <c r="B246" t="s">
        <v>29</v>
      </c>
      <c r="C246">
        <v>-1</v>
      </c>
      <c r="D246">
        <v>5</v>
      </c>
      <c r="E246">
        <v>1004</v>
      </c>
      <c r="F246" t="b">
        <v>1</v>
      </c>
      <c r="G246">
        <v>41.787999999999997</v>
      </c>
      <c r="H246">
        <v>26</v>
      </c>
      <c r="I246">
        <v>5</v>
      </c>
      <c r="J246">
        <v>3</v>
      </c>
      <c r="K246" t="s">
        <v>176</v>
      </c>
      <c r="L246">
        <v>0</v>
      </c>
      <c r="N246" t="s">
        <v>177</v>
      </c>
      <c r="O246" t="s">
        <v>178</v>
      </c>
      <c r="P246" t="s">
        <v>16</v>
      </c>
      <c r="Q246">
        <f t="shared" si="9"/>
        <v>0.62218818799655407</v>
      </c>
      <c r="R246">
        <f t="shared" si="10"/>
        <v>0.11965157461472194</v>
      </c>
      <c r="S246">
        <f t="shared" si="11"/>
        <v>0.69775452061667353</v>
      </c>
    </row>
    <row r="247" spans="1:19" hidden="1" x14ac:dyDescent="0.2">
      <c r="A247">
        <v>60</v>
      </c>
      <c r="B247" t="s">
        <v>25</v>
      </c>
      <c r="C247">
        <v>-1</v>
      </c>
      <c r="D247">
        <v>5</v>
      </c>
      <c r="E247">
        <v>1014</v>
      </c>
      <c r="F247" t="b">
        <v>1</v>
      </c>
      <c r="G247">
        <v>49.884</v>
      </c>
      <c r="H247">
        <v>31</v>
      </c>
      <c r="I247">
        <v>9</v>
      </c>
      <c r="J247">
        <v>9.66</v>
      </c>
      <c r="K247" t="s">
        <v>532</v>
      </c>
      <c r="L247">
        <v>0</v>
      </c>
      <c r="N247" t="s">
        <v>533</v>
      </c>
      <c r="O247" t="s">
        <v>534</v>
      </c>
      <c r="P247" t="s">
        <v>16</v>
      </c>
      <c r="Q247">
        <f t="shared" si="9"/>
        <v>0.62144174484804748</v>
      </c>
      <c r="R247">
        <f t="shared" si="10"/>
        <v>0.18041857108491702</v>
      </c>
      <c r="S247">
        <f t="shared" si="11"/>
        <v>0.83539155911368446</v>
      </c>
    </row>
    <row r="248" spans="1:19" hidden="1" x14ac:dyDescent="0.2">
      <c r="A248">
        <v>91</v>
      </c>
      <c r="B248" t="s">
        <v>37</v>
      </c>
      <c r="C248">
        <v>-1</v>
      </c>
      <c r="D248">
        <v>7</v>
      </c>
      <c r="E248">
        <v>1036</v>
      </c>
      <c r="F248" t="b">
        <v>1</v>
      </c>
      <c r="G248">
        <v>45.14</v>
      </c>
      <c r="H248">
        <v>28</v>
      </c>
      <c r="I248">
        <v>0</v>
      </c>
      <c r="J248">
        <v>0</v>
      </c>
      <c r="K248" t="s">
        <v>1330</v>
      </c>
      <c r="L248">
        <v>0</v>
      </c>
      <c r="N248" t="s">
        <v>1331</v>
      </c>
      <c r="O248" t="s">
        <v>1332</v>
      </c>
      <c r="P248" t="s">
        <v>16</v>
      </c>
      <c r="Q248">
        <f t="shared" si="9"/>
        <v>0.62029242357111214</v>
      </c>
      <c r="R248">
        <f t="shared" si="10"/>
        <v>0</v>
      </c>
      <c r="S248">
        <f t="shared" si="11"/>
        <v>0</v>
      </c>
    </row>
    <row r="249" spans="1:19" x14ac:dyDescent="0.2">
      <c r="A249">
        <v>135</v>
      </c>
      <c r="B249" t="s">
        <v>17</v>
      </c>
      <c r="C249">
        <v>2</v>
      </c>
      <c r="D249">
        <v>10</v>
      </c>
      <c r="E249">
        <v>1039</v>
      </c>
      <c r="F249" t="b">
        <v>1</v>
      </c>
      <c r="G249">
        <v>44.716000000000001</v>
      </c>
      <c r="H249">
        <v>32</v>
      </c>
      <c r="I249">
        <v>8</v>
      </c>
      <c r="J249">
        <v>2.64</v>
      </c>
      <c r="K249" t="s">
        <v>1441</v>
      </c>
      <c r="L249">
        <v>0</v>
      </c>
      <c r="N249" t="s">
        <v>1442</v>
      </c>
      <c r="O249" t="s">
        <v>1443</v>
      </c>
      <c r="P249" t="s">
        <v>16</v>
      </c>
      <c r="Q249">
        <f t="shared" si="9"/>
        <v>0.71562751587798545</v>
      </c>
      <c r="R249">
        <f t="shared" si="10"/>
        <v>0.17890687896949636</v>
      </c>
      <c r="S249">
        <f t="shared" si="11"/>
        <v>0.83288428288998406</v>
      </c>
    </row>
    <row r="250" spans="1:19" x14ac:dyDescent="0.2">
      <c r="A250">
        <v>20</v>
      </c>
      <c r="B250" t="s">
        <v>1462</v>
      </c>
      <c r="C250">
        <v>2</v>
      </c>
      <c r="D250">
        <v>10</v>
      </c>
      <c r="E250">
        <v>1039</v>
      </c>
      <c r="F250" t="b">
        <v>1</v>
      </c>
      <c r="G250">
        <v>44.716000000000001</v>
      </c>
      <c r="H250">
        <v>32</v>
      </c>
      <c r="I250">
        <v>8</v>
      </c>
      <c r="J250">
        <v>2.64</v>
      </c>
      <c r="K250" t="s">
        <v>1441</v>
      </c>
      <c r="L250">
        <v>0</v>
      </c>
      <c r="N250" t="s">
        <v>1629</v>
      </c>
      <c r="O250" t="s">
        <v>1630</v>
      </c>
      <c r="P250" t="s">
        <v>16</v>
      </c>
      <c r="Q250">
        <f t="shared" si="9"/>
        <v>0.71562751587798545</v>
      </c>
      <c r="R250">
        <f t="shared" si="10"/>
        <v>0.17890687896949636</v>
      </c>
      <c r="S250">
        <f t="shared" si="11"/>
        <v>0.83288428288998406</v>
      </c>
    </row>
    <row r="251" spans="1:19" x14ac:dyDescent="0.2">
      <c r="A251">
        <v>54</v>
      </c>
      <c r="B251" t="s">
        <v>29</v>
      </c>
      <c r="C251">
        <v>2</v>
      </c>
      <c r="D251">
        <v>4</v>
      </c>
      <c r="E251">
        <v>1033</v>
      </c>
      <c r="F251" t="b">
        <v>1</v>
      </c>
      <c r="G251">
        <v>35.723999999999997</v>
      </c>
      <c r="H251">
        <v>22</v>
      </c>
      <c r="I251">
        <v>1</v>
      </c>
      <c r="J251">
        <v>0.06</v>
      </c>
      <c r="K251" t="s">
        <v>1234</v>
      </c>
      <c r="L251">
        <v>0</v>
      </c>
      <c r="N251" t="s">
        <v>1235</v>
      </c>
      <c r="O251" t="s">
        <v>1236</v>
      </c>
      <c r="P251" t="s">
        <v>16</v>
      </c>
      <c r="Q251">
        <f t="shared" si="9"/>
        <v>0.61583249356175129</v>
      </c>
      <c r="R251">
        <f t="shared" si="10"/>
        <v>2.7992386070988695E-2</v>
      </c>
      <c r="S251">
        <f t="shared" si="11"/>
        <v>0.24415871151595392</v>
      </c>
    </row>
    <row r="252" spans="1:19" hidden="1" x14ac:dyDescent="0.2">
      <c r="A252">
        <v>73</v>
      </c>
      <c r="B252" t="s">
        <v>21</v>
      </c>
      <c r="C252">
        <v>-1</v>
      </c>
      <c r="D252">
        <v>6</v>
      </c>
      <c r="E252">
        <v>1025</v>
      </c>
      <c r="F252" t="b">
        <v>1</v>
      </c>
      <c r="G252">
        <v>39.103999999999999</v>
      </c>
      <c r="H252">
        <v>24</v>
      </c>
      <c r="I252">
        <v>7</v>
      </c>
      <c r="J252">
        <v>6.54</v>
      </c>
      <c r="K252" t="s">
        <v>924</v>
      </c>
      <c r="L252">
        <v>0</v>
      </c>
      <c r="N252" t="s">
        <v>925</v>
      </c>
      <c r="O252" t="s">
        <v>926</v>
      </c>
      <c r="P252" t="s">
        <v>16</v>
      </c>
      <c r="Q252">
        <f t="shared" si="9"/>
        <v>0.61374795417348615</v>
      </c>
      <c r="R252">
        <f t="shared" si="10"/>
        <v>0.17900981996726678</v>
      </c>
      <c r="S252">
        <f t="shared" si="11"/>
        <v>0.83305622496198239</v>
      </c>
    </row>
    <row r="253" spans="1:19" x14ac:dyDescent="0.2">
      <c r="A253">
        <v>97</v>
      </c>
      <c r="B253" t="s">
        <v>33</v>
      </c>
      <c r="C253">
        <v>2</v>
      </c>
      <c r="D253">
        <v>7</v>
      </c>
      <c r="E253">
        <v>1026</v>
      </c>
      <c r="F253" t="b">
        <v>1</v>
      </c>
      <c r="G253">
        <v>40.74</v>
      </c>
      <c r="H253">
        <v>25</v>
      </c>
      <c r="I253">
        <v>2</v>
      </c>
      <c r="J253">
        <v>0.36</v>
      </c>
      <c r="K253" t="s">
        <v>986</v>
      </c>
      <c r="L253">
        <v>0</v>
      </c>
      <c r="N253" t="s">
        <v>987</v>
      </c>
      <c r="O253" t="s">
        <v>988</v>
      </c>
      <c r="P253" t="s">
        <v>16</v>
      </c>
      <c r="Q253">
        <f t="shared" si="9"/>
        <v>0.61364752086401564</v>
      </c>
      <c r="R253">
        <f t="shared" si="10"/>
        <v>4.9091801669121256E-2</v>
      </c>
      <c r="S253">
        <f t="shared" si="11"/>
        <v>0.38793574900302907</v>
      </c>
    </row>
    <row r="254" spans="1:19" hidden="1" x14ac:dyDescent="0.2">
      <c r="A254">
        <v>131</v>
      </c>
      <c r="B254" t="s">
        <v>29</v>
      </c>
      <c r="C254">
        <v>-1</v>
      </c>
      <c r="D254">
        <v>10</v>
      </c>
      <c r="E254">
        <v>1019</v>
      </c>
      <c r="F254" t="b">
        <v>1</v>
      </c>
      <c r="G254">
        <v>42.48</v>
      </c>
      <c r="H254">
        <v>26</v>
      </c>
      <c r="I254">
        <v>8</v>
      </c>
      <c r="J254">
        <v>8.8800000000000008</v>
      </c>
      <c r="K254" t="s">
        <v>714</v>
      </c>
      <c r="L254">
        <v>0</v>
      </c>
      <c r="N254" t="s">
        <v>715</v>
      </c>
      <c r="O254" t="s">
        <v>716</v>
      </c>
      <c r="P254" t="s">
        <v>16</v>
      </c>
      <c r="Q254">
        <f t="shared" si="9"/>
        <v>0.61205273069679855</v>
      </c>
      <c r="R254">
        <f t="shared" si="10"/>
        <v>0.18832391713747648</v>
      </c>
      <c r="S254">
        <f t="shared" si="11"/>
        <v>0.84790336010404754</v>
      </c>
    </row>
    <row r="255" spans="1:19" hidden="1" x14ac:dyDescent="0.2">
      <c r="A255">
        <v>3</v>
      </c>
      <c r="B255" t="s">
        <v>21</v>
      </c>
      <c r="C255">
        <v>-1</v>
      </c>
      <c r="D255">
        <v>1</v>
      </c>
      <c r="E255">
        <v>1030</v>
      </c>
      <c r="F255" t="b">
        <v>1</v>
      </c>
      <c r="G255">
        <v>50.756</v>
      </c>
      <c r="H255">
        <v>31</v>
      </c>
      <c r="I255">
        <v>8</v>
      </c>
      <c r="J255">
        <v>6.96</v>
      </c>
      <c r="K255" t="s">
        <v>1102</v>
      </c>
      <c r="L255">
        <v>0</v>
      </c>
      <c r="N255" t="s">
        <v>1103</v>
      </c>
      <c r="O255" t="s">
        <v>1104</v>
      </c>
      <c r="P255" t="s">
        <v>16</v>
      </c>
      <c r="Q255">
        <f t="shared" si="9"/>
        <v>0.6107652297265348</v>
      </c>
      <c r="R255">
        <f t="shared" si="10"/>
        <v>0.15761683347781544</v>
      </c>
      <c r="S255">
        <f t="shared" si="11"/>
        <v>0.79323416021369975</v>
      </c>
    </row>
    <row r="256" spans="1:19" hidden="1" x14ac:dyDescent="0.2">
      <c r="A256">
        <v>117</v>
      </c>
      <c r="B256" t="s">
        <v>29</v>
      </c>
      <c r="C256">
        <v>-1</v>
      </c>
      <c r="D256">
        <v>9</v>
      </c>
      <c r="E256">
        <v>1008</v>
      </c>
      <c r="F256" t="b">
        <v>1</v>
      </c>
      <c r="G256">
        <v>49.131999999999998</v>
      </c>
      <c r="H256">
        <v>30</v>
      </c>
      <c r="I256">
        <v>7</v>
      </c>
      <c r="J256">
        <v>5.58</v>
      </c>
      <c r="K256" t="s">
        <v>320</v>
      </c>
      <c r="L256">
        <v>0</v>
      </c>
      <c r="N256" t="s">
        <v>321</v>
      </c>
      <c r="O256" t="s">
        <v>322</v>
      </c>
      <c r="P256" t="s">
        <v>16</v>
      </c>
      <c r="Q256">
        <f t="shared" si="9"/>
        <v>0.61060001628266714</v>
      </c>
      <c r="R256">
        <f t="shared" si="10"/>
        <v>0.14247333713262234</v>
      </c>
      <c r="S256">
        <f t="shared" si="11"/>
        <v>0.7594274017893452</v>
      </c>
    </row>
    <row r="257" spans="1:19" x14ac:dyDescent="0.2">
      <c r="A257">
        <v>27</v>
      </c>
      <c r="B257" t="s">
        <v>33</v>
      </c>
      <c r="C257">
        <v>2</v>
      </c>
      <c r="D257">
        <v>2</v>
      </c>
      <c r="E257">
        <v>1011</v>
      </c>
      <c r="F257" t="b">
        <v>1</v>
      </c>
      <c r="G257">
        <v>39.384</v>
      </c>
      <c r="H257">
        <v>24</v>
      </c>
      <c r="I257">
        <v>3</v>
      </c>
      <c r="J257">
        <v>1.32</v>
      </c>
      <c r="K257" t="s">
        <v>449</v>
      </c>
      <c r="L257">
        <v>0</v>
      </c>
      <c r="N257" t="s">
        <v>450</v>
      </c>
      <c r="O257" t="s">
        <v>451</v>
      </c>
      <c r="P257" t="s">
        <v>16</v>
      </c>
      <c r="Q257">
        <f t="shared" si="9"/>
        <v>0.60938452163315049</v>
      </c>
      <c r="R257">
        <f t="shared" si="10"/>
        <v>7.6173065204143811E-2</v>
      </c>
      <c r="S257">
        <f t="shared" si="11"/>
        <v>0.53314224088349671</v>
      </c>
    </row>
    <row r="258" spans="1:19" x14ac:dyDescent="0.2">
      <c r="A258">
        <v>124</v>
      </c>
      <c r="B258" t="s">
        <v>29</v>
      </c>
      <c r="C258">
        <v>2</v>
      </c>
      <c r="D258">
        <v>9</v>
      </c>
      <c r="E258">
        <v>1028</v>
      </c>
      <c r="F258" t="b">
        <v>1</v>
      </c>
      <c r="G258">
        <v>49.363999999999997</v>
      </c>
      <c r="H258">
        <v>30</v>
      </c>
      <c r="I258">
        <v>0</v>
      </c>
      <c r="J258">
        <v>0</v>
      </c>
      <c r="K258" t="s">
        <v>1054</v>
      </c>
      <c r="L258">
        <v>0</v>
      </c>
      <c r="N258" t="s">
        <v>1055</v>
      </c>
      <c r="O258" t="s">
        <v>1056</v>
      </c>
      <c r="P258" t="s">
        <v>16</v>
      </c>
      <c r="Q258">
        <f t="shared" ref="Q258:Q321" si="12">H258/G258</f>
        <v>0.60773032979499231</v>
      </c>
      <c r="R258">
        <f t="shared" ref="R258:R321" si="13">I258/G258</f>
        <v>0</v>
      </c>
      <c r="S258">
        <f t="shared" ref="S258:S321" si="14">1-EXP((-10*R258))</f>
        <v>0</v>
      </c>
    </row>
    <row r="259" spans="1:19" x14ac:dyDescent="0.2">
      <c r="A259">
        <v>126</v>
      </c>
      <c r="B259" t="s">
        <v>37</v>
      </c>
      <c r="C259">
        <v>2</v>
      </c>
      <c r="D259">
        <v>9</v>
      </c>
      <c r="E259">
        <v>1018</v>
      </c>
      <c r="F259" t="b">
        <v>1</v>
      </c>
      <c r="G259">
        <v>47.816000000000003</v>
      </c>
      <c r="H259">
        <v>29</v>
      </c>
      <c r="I259">
        <v>1</v>
      </c>
      <c r="J259">
        <v>0.9</v>
      </c>
      <c r="K259" t="s">
        <v>702</v>
      </c>
      <c r="L259">
        <v>0</v>
      </c>
      <c r="N259" t="s">
        <v>703</v>
      </c>
      <c r="O259" t="s">
        <v>704</v>
      </c>
      <c r="P259" t="s">
        <v>16</v>
      </c>
      <c r="Q259">
        <f t="shared" si="12"/>
        <v>0.60649155094529028</v>
      </c>
      <c r="R259">
        <f t="shared" si="13"/>
        <v>2.0913501756734145E-2</v>
      </c>
      <c r="S259">
        <f t="shared" si="14"/>
        <v>0.18871430957202695</v>
      </c>
    </row>
    <row r="260" spans="1:19" hidden="1" x14ac:dyDescent="0.2">
      <c r="A260">
        <v>119</v>
      </c>
      <c r="B260" t="s">
        <v>37</v>
      </c>
      <c r="C260">
        <v>-1</v>
      </c>
      <c r="D260">
        <v>9</v>
      </c>
      <c r="E260">
        <v>1038</v>
      </c>
      <c r="F260" t="b">
        <v>1</v>
      </c>
      <c r="G260">
        <v>49.76</v>
      </c>
      <c r="H260">
        <v>30</v>
      </c>
      <c r="I260">
        <v>5</v>
      </c>
      <c r="J260">
        <v>3.36</v>
      </c>
      <c r="K260" t="s">
        <v>1402</v>
      </c>
      <c r="L260">
        <v>0</v>
      </c>
      <c r="N260" t="s">
        <v>1403</v>
      </c>
      <c r="O260" t="s">
        <v>1404</v>
      </c>
      <c r="P260" t="s">
        <v>16</v>
      </c>
      <c r="Q260">
        <f t="shared" si="12"/>
        <v>0.60289389067524113</v>
      </c>
      <c r="R260">
        <f t="shared" si="13"/>
        <v>0.1004823151125402</v>
      </c>
      <c r="S260">
        <f t="shared" si="14"/>
        <v>0.63389062488981052</v>
      </c>
    </row>
    <row r="261" spans="1:19" hidden="1" x14ac:dyDescent="0.2">
      <c r="A261">
        <v>133</v>
      </c>
      <c r="B261" t="s">
        <v>37</v>
      </c>
      <c r="C261">
        <v>-1</v>
      </c>
      <c r="D261">
        <v>10</v>
      </c>
      <c r="E261">
        <v>1029</v>
      </c>
      <c r="F261" t="b">
        <v>1</v>
      </c>
      <c r="G261">
        <v>43.167999999999999</v>
      </c>
      <c r="H261">
        <v>26</v>
      </c>
      <c r="I261">
        <v>9</v>
      </c>
      <c r="J261">
        <v>8.76</v>
      </c>
      <c r="K261" t="s">
        <v>1078</v>
      </c>
      <c r="L261">
        <v>0</v>
      </c>
      <c r="N261" t="s">
        <v>1079</v>
      </c>
      <c r="O261" t="s">
        <v>1080</v>
      </c>
      <c r="P261" t="s">
        <v>16</v>
      </c>
      <c r="Q261">
        <f t="shared" si="12"/>
        <v>0.60229799851742027</v>
      </c>
      <c r="R261">
        <f t="shared" si="13"/>
        <v>0.20848776871756858</v>
      </c>
      <c r="S261">
        <f t="shared" si="14"/>
        <v>0.87567767454938905</v>
      </c>
    </row>
    <row r="262" spans="1:19" hidden="1" x14ac:dyDescent="0.2">
      <c r="A262">
        <v>61</v>
      </c>
      <c r="B262" t="s">
        <v>29</v>
      </c>
      <c r="C262">
        <v>-1</v>
      </c>
      <c r="D262">
        <v>5</v>
      </c>
      <c r="E262">
        <v>1034</v>
      </c>
      <c r="F262" t="b">
        <v>1</v>
      </c>
      <c r="G262">
        <v>56.808</v>
      </c>
      <c r="H262">
        <v>34</v>
      </c>
      <c r="I262">
        <v>5</v>
      </c>
      <c r="J262">
        <v>6.06</v>
      </c>
      <c r="K262" t="s">
        <v>1252</v>
      </c>
      <c r="L262">
        <v>0</v>
      </c>
      <c r="N262" t="s">
        <v>1253</v>
      </c>
      <c r="O262" t="s">
        <v>1254</v>
      </c>
      <c r="P262" t="s">
        <v>16</v>
      </c>
      <c r="Q262">
        <f t="shared" si="12"/>
        <v>0.59850725249964798</v>
      </c>
      <c r="R262">
        <f t="shared" si="13"/>
        <v>8.8015772426418809E-2</v>
      </c>
      <c r="S262">
        <f t="shared" si="14"/>
        <v>0.58528250448896713</v>
      </c>
    </row>
    <row r="263" spans="1:19" hidden="1" x14ac:dyDescent="0.2">
      <c r="A263">
        <v>119</v>
      </c>
      <c r="B263" t="s">
        <v>37</v>
      </c>
      <c r="C263">
        <v>-1</v>
      </c>
      <c r="D263">
        <v>9</v>
      </c>
      <c r="E263">
        <v>1028</v>
      </c>
      <c r="F263" t="b">
        <v>1</v>
      </c>
      <c r="G263">
        <v>60.28</v>
      </c>
      <c r="H263">
        <v>36</v>
      </c>
      <c r="I263">
        <v>13</v>
      </c>
      <c r="J263">
        <v>13.74</v>
      </c>
      <c r="K263" t="s">
        <v>1042</v>
      </c>
      <c r="L263">
        <v>0</v>
      </c>
      <c r="N263" t="s">
        <v>1043</v>
      </c>
      <c r="O263" t="s">
        <v>1044</v>
      </c>
      <c r="P263" t="s">
        <v>16</v>
      </c>
      <c r="Q263">
        <f t="shared" si="12"/>
        <v>0.59721300597213001</v>
      </c>
      <c r="R263">
        <f t="shared" si="13"/>
        <v>0.21566025215660251</v>
      </c>
      <c r="S263">
        <f t="shared" si="14"/>
        <v>0.88428239800505104</v>
      </c>
    </row>
    <row r="264" spans="1:19" hidden="1" x14ac:dyDescent="0.2">
      <c r="A264">
        <v>48</v>
      </c>
      <c r="B264" t="s">
        <v>33</v>
      </c>
      <c r="C264">
        <v>-1</v>
      </c>
      <c r="D264">
        <v>4</v>
      </c>
      <c r="E264">
        <v>1023</v>
      </c>
      <c r="F264" t="b">
        <v>1</v>
      </c>
      <c r="G264">
        <v>45.231999999999999</v>
      </c>
      <c r="H264">
        <v>27</v>
      </c>
      <c r="I264">
        <v>6</v>
      </c>
      <c r="J264">
        <v>7.26</v>
      </c>
      <c r="K264" t="s">
        <v>861</v>
      </c>
      <c r="L264">
        <v>0</v>
      </c>
      <c r="N264" t="s">
        <v>862</v>
      </c>
      <c r="O264" t="s">
        <v>863</v>
      </c>
      <c r="P264" t="s">
        <v>16</v>
      </c>
      <c r="Q264">
        <f t="shared" si="12"/>
        <v>0.59692253272019813</v>
      </c>
      <c r="R264">
        <f t="shared" si="13"/>
        <v>0.13264945171559958</v>
      </c>
      <c r="S264">
        <f t="shared" si="14"/>
        <v>0.73459399129508163</v>
      </c>
    </row>
    <row r="265" spans="1:19" x14ac:dyDescent="0.2">
      <c r="A265">
        <v>98</v>
      </c>
      <c r="B265" t="s">
        <v>37</v>
      </c>
      <c r="C265">
        <v>2</v>
      </c>
      <c r="D265">
        <v>7</v>
      </c>
      <c r="E265">
        <v>1016</v>
      </c>
      <c r="F265" t="b">
        <v>1</v>
      </c>
      <c r="G265">
        <v>43.676000000000002</v>
      </c>
      <c r="H265">
        <v>26</v>
      </c>
      <c r="I265">
        <v>1</v>
      </c>
      <c r="J265">
        <v>1.02</v>
      </c>
      <c r="K265" t="s">
        <v>631</v>
      </c>
      <c r="L265">
        <v>0</v>
      </c>
      <c r="N265" t="s">
        <v>632</v>
      </c>
      <c r="O265" t="s">
        <v>633</v>
      </c>
      <c r="P265" t="s">
        <v>16</v>
      </c>
      <c r="Q265">
        <f t="shared" si="12"/>
        <v>0.59529260921329785</v>
      </c>
      <c r="R265">
        <f t="shared" si="13"/>
        <v>2.2895869585126842E-2</v>
      </c>
      <c r="S265">
        <f t="shared" si="14"/>
        <v>0.20463861544843009</v>
      </c>
    </row>
    <row r="266" spans="1:19" hidden="1" x14ac:dyDescent="0.2">
      <c r="A266">
        <v>91</v>
      </c>
      <c r="B266" t="s">
        <v>37</v>
      </c>
      <c r="C266">
        <v>-1</v>
      </c>
      <c r="D266">
        <v>7</v>
      </c>
      <c r="E266">
        <v>1016</v>
      </c>
      <c r="F266" t="b">
        <v>1</v>
      </c>
      <c r="G266">
        <v>47.207999999999998</v>
      </c>
      <c r="H266">
        <v>28</v>
      </c>
      <c r="I266">
        <v>6</v>
      </c>
      <c r="J266">
        <v>8.8800000000000008</v>
      </c>
      <c r="K266" t="s">
        <v>613</v>
      </c>
      <c r="L266">
        <v>0</v>
      </c>
      <c r="N266" t="s">
        <v>614</v>
      </c>
      <c r="O266" t="s">
        <v>615</v>
      </c>
      <c r="P266" t="s">
        <v>16</v>
      </c>
      <c r="Q266">
        <f t="shared" si="12"/>
        <v>0.59311981020166071</v>
      </c>
      <c r="R266">
        <f t="shared" si="13"/>
        <v>0.12709710218607015</v>
      </c>
      <c r="S266">
        <f t="shared" si="14"/>
        <v>0.71944093951264121</v>
      </c>
    </row>
    <row r="267" spans="1:19" hidden="1" x14ac:dyDescent="0.2">
      <c r="A267">
        <v>20</v>
      </c>
      <c r="B267" t="s">
        <v>33</v>
      </c>
      <c r="C267">
        <v>-1</v>
      </c>
      <c r="D267">
        <v>2</v>
      </c>
      <c r="E267">
        <v>1031</v>
      </c>
      <c r="F267" t="b">
        <v>1</v>
      </c>
      <c r="G267">
        <v>52.451999999999998</v>
      </c>
      <c r="H267">
        <v>31</v>
      </c>
      <c r="I267">
        <v>6</v>
      </c>
      <c r="J267">
        <v>4.5599999999999996</v>
      </c>
      <c r="K267" t="s">
        <v>1147</v>
      </c>
      <c r="L267">
        <v>0</v>
      </c>
      <c r="N267" t="s">
        <v>1148</v>
      </c>
      <c r="O267" t="s">
        <v>1149</v>
      </c>
      <c r="P267" t="s">
        <v>16</v>
      </c>
      <c r="Q267">
        <f t="shared" si="12"/>
        <v>0.59101654846335705</v>
      </c>
      <c r="R267">
        <f t="shared" si="13"/>
        <v>0.11439029970258523</v>
      </c>
      <c r="S267">
        <f t="shared" si="14"/>
        <v>0.68142679807748185</v>
      </c>
    </row>
    <row r="268" spans="1:19" hidden="1" x14ac:dyDescent="0.2">
      <c r="A268">
        <v>59</v>
      </c>
      <c r="B268" t="s">
        <v>21</v>
      </c>
      <c r="C268">
        <v>-1</v>
      </c>
      <c r="D268">
        <v>5</v>
      </c>
      <c r="E268">
        <v>1014</v>
      </c>
      <c r="F268" t="b">
        <v>1</v>
      </c>
      <c r="G268">
        <v>50.792000000000002</v>
      </c>
      <c r="H268">
        <v>30</v>
      </c>
      <c r="I268">
        <v>5</v>
      </c>
      <c r="J268">
        <v>1.8</v>
      </c>
      <c r="K268" t="s">
        <v>529</v>
      </c>
      <c r="L268">
        <v>0</v>
      </c>
      <c r="N268" t="s">
        <v>530</v>
      </c>
      <c r="O268" t="s">
        <v>531</v>
      </c>
      <c r="P268" t="s">
        <v>16</v>
      </c>
      <c r="Q268">
        <f t="shared" si="12"/>
        <v>0.59064419593636797</v>
      </c>
      <c r="R268">
        <f t="shared" si="13"/>
        <v>9.844069932272799E-2</v>
      </c>
      <c r="S268">
        <f t="shared" si="14"/>
        <v>0.62633925539832003</v>
      </c>
    </row>
    <row r="269" spans="1:19" x14ac:dyDescent="0.2">
      <c r="A269">
        <v>94</v>
      </c>
      <c r="B269" t="s">
        <v>21</v>
      </c>
      <c r="C269">
        <v>2</v>
      </c>
      <c r="D269">
        <v>7</v>
      </c>
      <c r="E269">
        <v>1036</v>
      </c>
      <c r="F269" t="b">
        <v>1</v>
      </c>
      <c r="G269">
        <v>40.692</v>
      </c>
      <c r="H269">
        <v>24</v>
      </c>
      <c r="I269">
        <v>0</v>
      </c>
      <c r="J269">
        <v>0</v>
      </c>
      <c r="K269" t="s">
        <v>1336</v>
      </c>
      <c r="L269">
        <v>0</v>
      </c>
      <c r="N269" t="s">
        <v>1337</v>
      </c>
      <c r="O269" t="s">
        <v>1338</v>
      </c>
      <c r="P269" t="s">
        <v>16</v>
      </c>
      <c r="Q269">
        <f t="shared" si="12"/>
        <v>0.58979652020053086</v>
      </c>
      <c r="R269">
        <f t="shared" si="13"/>
        <v>0</v>
      </c>
      <c r="S269">
        <f t="shared" si="14"/>
        <v>0</v>
      </c>
    </row>
    <row r="270" spans="1:19" hidden="1" x14ac:dyDescent="0.2">
      <c r="A270">
        <v>101</v>
      </c>
      <c r="B270" t="s">
        <v>21</v>
      </c>
      <c r="C270">
        <v>-1</v>
      </c>
      <c r="D270">
        <v>8</v>
      </c>
      <c r="E270">
        <v>1017</v>
      </c>
      <c r="F270" t="b">
        <v>1</v>
      </c>
      <c r="G270">
        <v>47.527999999999999</v>
      </c>
      <c r="H270">
        <v>28</v>
      </c>
      <c r="I270">
        <v>8</v>
      </c>
      <c r="J270">
        <v>10.02</v>
      </c>
      <c r="K270" t="s">
        <v>637</v>
      </c>
      <c r="L270">
        <v>0</v>
      </c>
      <c r="N270" t="s">
        <v>638</v>
      </c>
      <c r="O270" t="s">
        <v>639</v>
      </c>
      <c r="P270" t="s">
        <v>16</v>
      </c>
      <c r="Q270">
        <f t="shared" si="12"/>
        <v>0.58912640969533747</v>
      </c>
      <c r="R270">
        <f t="shared" si="13"/>
        <v>0.16832183134152501</v>
      </c>
      <c r="S270">
        <f t="shared" si="14"/>
        <v>0.81422486967445318</v>
      </c>
    </row>
    <row r="271" spans="1:19" hidden="1" x14ac:dyDescent="0.2">
      <c r="A271">
        <v>18</v>
      </c>
      <c r="B271" t="s">
        <v>25</v>
      </c>
      <c r="C271">
        <v>-1</v>
      </c>
      <c r="D271">
        <v>2</v>
      </c>
      <c r="E271">
        <v>1031</v>
      </c>
      <c r="F271" t="b">
        <v>1</v>
      </c>
      <c r="G271">
        <v>50.936</v>
      </c>
      <c r="H271">
        <v>30</v>
      </c>
      <c r="I271">
        <v>5</v>
      </c>
      <c r="J271">
        <v>3.54</v>
      </c>
      <c r="K271" t="s">
        <v>1141</v>
      </c>
      <c r="L271">
        <v>0</v>
      </c>
      <c r="N271" t="s">
        <v>1142</v>
      </c>
      <c r="O271" t="s">
        <v>1143</v>
      </c>
      <c r="P271" t="s">
        <v>16</v>
      </c>
      <c r="Q271">
        <f t="shared" si="12"/>
        <v>0.58897439924611272</v>
      </c>
      <c r="R271">
        <f t="shared" si="13"/>
        <v>9.816239987435213E-2</v>
      </c>
      <c r="S271">
        <f t="shared" si="14"/>
        <v>0.6252979112518946</v>
      </c>
    </row>
    <row r="272" spans="1:19" x14ac:dyDescent="0.2">
      <c r="A272">
        <v>80</v>
      </c>
      <c r="B272" t="s">
        <v>21</v>
      </c>
      <c r="C272">
        <v>2</v>
      </c>
      <c r="D272">
        <v>6</v>
      </c>
      <c r="E272">
        <v>1025</v>
      </c>
      <c r="F272" t="b">
        <v>1</v>
      </c>
      <c r="G272">
        <v>42.484000000000002</v>
      </c>
      <c r="H272">
        <v>25</v>
      </c>
      <c r="I272">
        <v>1</v>
      </c>
      <c r="J272">
        <v>0.12</v>
      </c>
      <c r="K272" t="s">
        <v>942</v>
      </c>
      <c r="L272">
        <v>0</v>
      </c>
      <c r="N272" t="s">
        <v>943</v>
      </c>
      <c r="O272" t="s">
        <v>944</v>
      </c>
      <c r="P272" t="s">
        <v>16</v>
      </c>
      <c r="Q272">
        <f t="shared" si="12"/>
        <v>0.58845683080689193</v>
      </c>
      <c r="R272">
        <f t="shared" si="13"/>
        <v>2.353827323227568E-2</v>
      </c>
      <c r="S272">
        <f t="shared" si="14"/>
        <v>0.20973166949323074</v>
      </c>
    </row>
    <row r="273" spans="1:19" hidden="1" x14ac:dyDescent="0.2">
      <c r="A273">
        <v>90</v>
      </c>
      <c r="B273" t="s">
        <v>33</v>
      </c>
      <c r="C273">
        <v>-1</v>
      </c>
      <c r="D273">
        <v>7</v>
      </c>
      <c r="E273">
        <v>1006</v>
      </c>
      <c r="F273" t="b">
        <v>1</v>
      </c>
      <c r="G273">
        <v>52.688000000000002</v>
      </c>
      <c r="H273">
        <v>31</v>
      </c>
      <c r="I273">
        <v>6</v>
      </c>
      <c r="J273">
        <v>10.62</v>
      </c>
      <c r="K273" t="s">
        <v>251</v>
      </c>
      <c r="L273">
        <v>0</v>
      </c>
      <c r="N273" t="s">
        <v>252</v>
      </c>
      <c r="O273" t="s">
        <v>253</v>
      </c>
      <c r="P273" t="s">
        <v>16</v>
      </c>
      <c r="Q273">
        <f t="shared" si="12"/>
        <v>0.58836926814454904</v>
      </c>
      <c r="R273">
        <f t="shared" si="13"/>
        <v>0.11387792286668691</v>
      </c>
      <c r="S273">
        <f t="shared" si="14"/>
        <v>0.67979031388269973</v>
      </c>
    </row>
    <row r="274" spans="1:19" hidden="1" x14ac:dyDescent="0.2">
      <c r="A274">
        <v>103</v>
      </c>
      <c r="B274" t="s">
        <v>29</v>
      </c>
      <c r="C274">
        <v>-1</v>
      </c>
      <c r="D274">
        <v>8</v>
      </c>
      <c r="E274">
        <v>1017</v>
      </c>
      <c r="F274" t="b">
        <v>1</v>
      </c>
      <c r="G274">
        <v>51.027999999999999</v>
      </c>
      <c r="H274">
        <v>30</v>
      </c>
      <c r="I274">
        <v>5</v>
      </c>
      <c r="J274">
        <v>4.8</v>
      </c>
      <c r="K274" t="s">
        <v>643</v>
      </c>
      <c r="L274">
        <v>0</v>
      </c>
      <c r="N274" t="s">
        <v>644</v>
      </c>
      <c r="O274" t="s">
        <v>645</v>
      </c>
      <c r="P274" t="s">
        <v>16</v>
      </c>
      <c r="Q274">
        <f t="shared" si="12"/>
        <v>0.58791251861722982</v>
      </c>
      <c r="R274">
        <f t="shared" si="13"/>
        <v>9.7985419769538298E-2</v>
      </c>
      <c r="S274">
        <f t="shared" si="14"/>
        <v>0.62463417593600545</v>
      </c>
    </row>
    <row r="275" spans="1:19" hidden="1" x14ac:dyDescent="0.2">
      <c r="A275">
        <v>115</v>
      </c>
      <c r="B275" t="s">
        <v>21</v>
      </c>
      <c r="C275">
        <v>-1</v>
      </c>
      <c r="D275">
        <v>9</v>
      </c>
      <c r="E275">
        <v>1038</v>
      </c>
      <c r="F275" t="b">
        <v>1</v>
      </c>
      <c r="G275">
        <v>49.38</v>
      </c>
      <c r="H275">
        <v>29</v>
      </c>
      <c r="I275">
        <v>7</v>
      </c>
      <c r="J275">
        <v>4.0199999999999996</v>
      </c>
      <c r="K275" t="s">
        <v>1390</v>
      </c>
      <c r="L275">
        <v>0</v>
      </c>
      <c r="N275" t="s">
        <v>1391</v>
      </c>
      <c r="O275" t="s">
        <v>1392</v>
      </c>
      <c r="P275" t="s">
        <v>16</v>
      </c>
      <c r="Q275">
        <f t="shared" si="12"/>
        <v>0.58728230052652897</v>
      </c>
      <c r="R275">
        <f t="shared" si="13"/>
        <v>0.14175779667881733</v>
      </c>
      <c r="S275">
        <f t="shared" si="14"/>
        <v>0.7576998341767327</v>
      </c>
    </row>
    <row r="276" spans="1:19" x14ac:dyDescent="0.2">
      <c r="A276">
        <v>96</v>
      </c>
      <c r="B276" t="s">
        <v>29</v>
      </c>
      <c r="C276">
        <v>2</v>
      </c>
      <c r="D276">
        <v>7</v>
      </c>
      <c r="E276">
        <v>1026</v>
      </c>
      <c r="F276" t="b">
        <v>1</v>
      </c>
      <c r="G276">
        <v>42.683999999999997</v>
      </c>
      <c r="H276">
        <v>25</v>
      </c>
      <c r="I276">
        <v>2</v>
      </c>
      <c r="J276">
        <v>0.36</v>
      </c>
      <c r="K276" t="s">
        <v>983</v>
      </c>
      <c r="L276">
        <v>0</v>
      </c>
      <c r="N276" t="s">
        <v>984</v>
      </c>
      <c r="O276" t="s">
        <v>985</v>
      </c>
      <c r="P276" t="s">
        <v>16</v>
      </c>
      <c r="Q276">
        <f t="shared" si="12"/>
        <v>0.58569955955393127</v>
      </c>
      <c r="R276">
        <f t="shared" si="13"/>
        <v>4.6855964764314501E-2</v>
      </c>
      <c r="S276">
        <f t="shared" si="14"/>
        <v>0.37409685959624395</v>
      </c>
    </row>
    <row r="277" spans="1:19" x14ac:dyDescent="0.2">
      <c r="A277">
        <v>14</v>
      </c>
      <c r="B277" t="s">
        <v>37</v>
      </c>
      <c r="C277">
        <v>2</v>
      </c>
      <c r="D277">
        <v>1</v>
      </c>
      <c r="E277">
        <v>1030</v>
      </c>
      <c r="F277" t="b">
        <v>1</v>
      </c>
      <c r="G277">
        <v>52.951999999999998</v>
      </c>
      <c r="H277">
        <v>31</v>
      </c>
      <c r="I277">
        <v>1</v>
      </c>
      <c r="J277">
        <v>0.12</v>
      </c>
      <c r="K277" t="s">
        <v>1132</v>
      </c>
      <c r="L277">
        <v>0</v>
      </c>
      <c r="N277" t="s">
        <v>1133</v>
      </c>
      <c r="O277" t="s">
        <v>1134</v>
      </c>
      <c r="P277" t="s">
        <v>16</v>
      </c>
      <c r="Q277">
        <f t="shared" si="12"/>
        <v>0.58543586644508239</v>
      </c>
      <c r="R277">
        <f t="shared" si="13"/>
        <v>1.8885027949841367E-2</v>
      </c>
      <c r="S277">
        <f t="shared" si="14"/>
        <v>0.17208954741588878</v>
      </c>
    </row>
    <row r="278" spans="1:19" x14ac:dyDescent="0.2">
      <c r="A278">
        <v>137</v>
      </c>
      <c r="B278" t="s">
        <v>25</v>
      </c>
      <c r="C278">
        <v>2</v>
      </c>
      <c r="D278">
        <v>10</v>
      </c>
      <c r="E278">
        <v>1009</v>
      </c>
      <c r="F278" t="b">
        <v>1</v>
      </c>
      <c r="G278">
        <v>48.015999999999998</v>
      </c>
      <c r="H278">
        <v>28</v>
      </c>
      <c r="I278">
        <v>1</v>
      </c>
      <c r="J278">
        <v>0.66</v>
      </c>
      <c r="K278" t="s">
        <v>371</v>
      </c>
      <c r="L278">
        <v>0</v>
      </c>
      <c r="N278" t="s">
        <v>372</v>
      </c>
      <c r="O278" t="s">
        <v>373</v>
      </c>
      <c r="P278" t="s">
        <v>16</v>
      </c>
      <c r="Q278">
        <f t="shared" si="12"/>
        <v>0.583138953682106</v>
      </c>
      <c r="R278">
        <f t="shared" si="13"/>
        <v>2.0826391202932358E-2</v>
      </c>
      <c r="S278">
        <f t="shared" si="14"/>
        <v>0.18800728621290752</v>
      </c>
    </row>
    <row r="279" spans="1:19" x14ac:dyDescent="0.2">
      <c r="A279">
        <v>70</v>
      </c>
      <c r="B279" t="s">
        <v>37</v>
      </c>
      <c r="C279">
        <v>2</v>
      </c>
      <c r="D279">
        <v>5</v>
      </c>
      <c r="E279">
        <v>1034</v>
      </c>
      <c r="F279" t="b">
        <v>1</v>
      </c>
      <c r="G279">
        <v>55</v>
      </c>
      <c r="H279">
        <v>32</v>
      </c>
      <c r="I279">
        <v>3</v>
      </c>
      <c r="J279">
        <v>2.16</v>
      </c>
      <c r="K279" t="s">
        <v>1276</v>
      </c>
      <c r="L279">
        <v>0</v>
      </c>
      <c r="N279" t="s">
        <v>1277</v>
      </c>
      <c r="O279" t="s">
        <v>1278</v>
      </c>
      <c r="P279" t="s">
        <v>16</v>
      </c>
      <c r="Q279">
        <f t="shared" si="12"/>
        <v>0.58181818181818179</v>
      </c>
      <c r="R279">
        <f t="shared" si="13"/>
        <v>5.4545454545454543E-2</v>
      </c>
      <c r="S279">
        <f t="shared" si="14"/>
        <v>0.4204217212151905</v>
      </c>
    </row>
    <row r="280" spans="1:19" hidden="1" x14ac:dyDescent="0.2">
      <c r="A280">
        <v>32</v>
      </c>
      <c r="B280" t="s">
        <v>25</v>
      </c>
      <c r="C280">
        <v>-1</v>
      </c>
      <c r="D280">
        <v>3</v>
      </c>
      <c r="E280">
        <v>1012</v>
      </c>
      <c r="F280" t="b">
        <v>1</v>
      </c>
      <c r="G280">
        <v>48.228000000000002</v>
      </c>
      <c r="H280">
        <v>28</v>
      </c>
      <c r="I280">
        <v>7</v>
      </c>
      <c r="J280">
        <v>8.1</v>
      </c>
      <c r="K280" t="s">
        <v>461</v>
      </c>
      <c r="L280">
        <v>0</v>
      </c>
      <c r="N280" t="s">
        <v>462</v>
      </c>
      <c r="O280" t="s">
        <v>463</v>
      </c>
      <c r="P280" t="s">
        <v>16</v>
      </c>
      <c r="Q280">
        <f t="shared" si="12"/>
        <v>0.58057559923695778</v>
      </c>
      <c r="R280">
        <f t="shared" si="13"/>
        <v>0.14514389980923945</v>
      </c>
      <c r="S280">
        <f t="shared" si="14"/>
        <v>0.76576701535558667</v>
      </c>
    </row>
    <row r="281" spans="1:19" hidden="1" x14ac:dyDescent="0.2">
      <c r="A281">
        <v>45</v>
      </c>
      <c r="B281" t="s">
        <v>21</v>
      </c>
      <c r="C281">
        <v>-1</v>
      </c>
      <c r="D281">
        <v>4</v>
      </c>
      <c r="E281">
        <v>1003</v>
      </c>
      <c r="F281" t="b">
        <v>1</v>
      </c>
      <c r="G281">
        <v>53.595999999999997</v>
      </c>
      <c r="H281">
        <v>31</v>
      </c>
      <c r="I281">
        <v>5</v>
      </c>
      <c r="J281">
        <v>6.54</v>
      </c>
      <c r="K281" t="s">
        <v>134</v>
      </c>
      <c r="L281">
        <v>0</v>
      </c>
      <c r="N281" t="s">
        <v>135</v>
      </c>
      <c r="O281" t="s">
        <v>136</v>
      </c>
      <c r="P281" t="s">
        <v>16</v>
      </c>
      <c r="Q281">
        <f t="shared" si="12"/>
        <v>0.57840137323680874</v>
      </c>
      <c r="R281">
        <f t="shared" si="13"/>
        <v>9.3290544070453021E-2</v>
      </c>
      <c r="S281">
        <f t="shared" si="14"/>
        <v>0.60659097832082653</v>
      </c>
    </row>
    <row r="282" spans="1:19" x14ac:dyDescent="0.2">
      <c r="A282">
        <v>140</v>
      </c>
      <c r="B282" t="s">
        <v>37</v>
      </c>
      <c r="C282">
        <v>2</v>
      </c>
      <c r="D282">
        <v>10</v>
      </c>
      <c r="E282">
        <v>1029</v>
      </c>
      <c r="F282" t="b">
        <v>1</v>
      </c>
      <c r="G282">
        <v>44.96</v>
      </c>
      <c r="H282">
        <v>26</v>
      </c>
      <c r="I282">
        <v>0</v>
      </c>
      <c r="J282">
        <v>0</v>
      </c>
      <c r="K282" t="s">
        <v>1096</v>
      </c>
      <c r="L282">
        <v>0</v>
      </c>
      <c r="N282" t="s">
        <v>1097</v>
      </c>
      <c r="O282" t="s">
        <v>1098</v>
      </c>
      <c r="P282" t="s">
        <v>16</v>
      </c>
      <c r="Q282">
        <f t="shared" si="12"/>
        <v>0.57829181494661919</v>
      </c>
      <c r="R282">
        <f t="shared" si="13"/>
        <v>0</v>
      </c>
      <c r="S282">
        <f t="shared" si="14"/>
        <v>0</v>
      </c>
    </row>
    <row r="283" spans="1:19" x14ac:dyDescent="0.2">
      <c r="A283">
        <v>111</v>
      </c>
      <c r="B283" t="s">
        <v>33</v>
      </c>
      <c r="C283">
        <v>2</v>
      </c>
      <c r="D283">
        <v>8</v>
      </c>
      <c r="E283">
        <v>1007</v>
      </c>
      <c r="F283" t="b">
        <v>1</v>
      </c>
      <c r="G283">
        <v>39.927999999999997</v>
      </c>
      <c r="H283">
        <v>23</v>
      </c>
      <c r="I283">
        <v>1</v>
      </c>
      <c r="J283">
        <v>0.12</v>
      </c>
      <c r="K283" t="s">
        <v>305</v>
      </c>
      <c r="L283">
        <v>0</v>
      </c>
      <c r="N283" t="s">
        <v>306</v>
      </c>
      <c r="O283" t="s">
        <v>307</v>
      </c>
      <c r="P283" t="s">
        <v>16</v>
      </c>
      <c r="Q283">
        <f t="shared" si="12"/>
        <v>0.57603686635944706</v>
      </c>
      <c r="R283">
        <f t="shared" si="13"/>
        <v>2.5045081146062916E-2</v>
      </c>
      <c r="S283">
        <f t="shared" si="14"/>
        <v>0.22155023012082098</v>
      </c>
    </row>
    <row r="284" spans="1:19" x14ac:dyDescent="0.2">
      <c r="A284">
        <v>83</v>
      </c>
      <c r="B284" t="s">
        <v>33</v>
      </c>
      <c r="C284">
        <v>2</v>
      </c>
      <c r="D284">
        <v>6</v>
      </c>
      <c r="E284">
        <v>1015</v>
      </c>
      <c r="F284" t="b">
        <v>1</v>
      </c>
      <c r="G284">
        <v>50.572000000000003</v>
      </c>
      <c r="H284">
        <v>29</v>
      </c>
      <c r="I284">
        <v>1</v>
      </c>
      <c r="J284">
        <v>0.18</v>
      </c>
      <c r="K284" t="s">
        <v>592</v>
      </c>
      <c r="L284">
        <v>0</v>
      </c>
      <c r="N284" t="s">
        <v>593</v>
      </c>
      <c r="O284" t="s">
        <v>594</v>
      </c>
      <c r="P284" t="s">
        <v>16</v>
      </c>
      <c r="Q284">
        <f t="shared" si="12"/>
        <v>0.57343984813730919</v>
      </c>
      <c r="R284">
        <f t="shared" si="13"/>
        <v>1.9773787866803765E-2</v>
      </c>
      <c r="S284">
        <f t="shared" si="14"/>
        <v>0.17941508223828129</v>
      </c>
    </row>
    <row r="285" spans="1:19" hidden="1" x14ac:dyDescent="0.2">
      <c r="A285">
        <v>63</v>
      </c>
      <c r="B285" t="s">
        <v>37</v>
      </c>
      <c r="C285">
        <v>-1</v>
      </c>
      <c r="D285">
        <v>5</v>
      </c>
      <c r="E285">
        <v>1034</v>
      </c>
      <c r="F285" t="b">
        <v>1</v>
      </c>
      <c r="G285">
        <v>47.204000000000001</v>
      </c>
      <c r="H285">
        <v>27</v>
      </c>
      <c r="I285">
        <v>6</v>
      </c>
      <c r="J285">
        <v>11.28</v>
      </c>
      <c r="K285" t="s">
        <v>1258</v>
      </c>
      <c r="L285">
        <v>0</v>
      </c>
      <c r="N285" t="s">
        <v>1259</v>
      </c>
      <c r="O285" t="s">
        <v>1260</v>
      </c>
      <c r="P285" t="s">
        <v>16</v>
      </c>
      <c r="Q285">
        <f t="shared" si="12"/>
        <v>0.57198542496398608</v>
      </c>
      <c r="R285">
        <f t="shared" si="13"/>
        <v>0.12710787221421913</v>
      </c>
      <c r="S285">
        <f t="shared" si="14"/>
        <v>0.71947115417533714</v>
      </c>
    </row>
    <row r="286" spans="1:19" hidden="1" x14ac:dyDescent="0.2">
      <c r="A286">
        <v>75</v>
      </c>
      <c r="B286" t="s">
        <v>29</v>
      </c>
      <c r="C286">
        <v>-1</v>
      </c>
      <c r="D286">
        <v>6</v>
      </c>
      <c r="E286">
        <v>1005</v>
      </c>
      <c r="F286" t="b">
        <v>1</v>
      </c>
      <c r="G286">
        <v>43.956000000000003</v>
      </c>
      <c r="H286">
        <v>25</v>
      </c>
      <c r="I286">
        <v>7</v>
      </c>
      <c r="J286">
        <v>7.08</v>
      </c>
      <c r="K286" t="s">
        <v>212</v>
      </c>
      <c r="L286">
        <v>0</v>
      </c>
      <c r="N286" t="s">
        <v>213</v>
      </c>
      <c r="O286" t="s">
        <v>214</v>
      </c>
      <c r="P286" t="s">
        <v>16</v>
      </c>
      <c r="Q286">
        <f t="shared" si="12"/>
        <v>0.56875056875056873</v>
      </c>
      <c r="R286">
        <f t="shared" si="13"/>
        <v>0.15925015925015923</v>
      </c>
      <c r="S286">
        <f t="shared" si="14"/>
        <v>0.79658388949904779</v>
      </c>
    </row>
    <row r="287" spans="1:19" x14ac:dyDescent="0.2">
      <c r="A287">
        <v>112</v>
      </c>
      <c r="B287" t="s">
        <v>37</v>
      </c>
      <c r="C287">
        <v>2</v>
      </c>
      <c r="D287">
        <v>8</v>
      </c>
      <c r="E287">
        <v>1007</v>
      </c>
      <c r="F287" t="b">
        <v>1</v>
      </c>
      <c r="G287">
        <v>40.584000000000003</v>
      </c>
      <c r="H287">
        <v>23</v>
      </c>
      <c r="I287">
        <v>1</v>
      </c>
      <c r="J287">
        <v>1.5</v>
      </c>
      <c r="K287" t="s">
        <v>308</v>
      </c>
      <c r="L287">
        <v>0</v>
      </c>
      <c r="N287" t="s">
        <v>309</v>
      </c>
      <c r="O287" t="s">
        <v>310</v>
      </c>
      <c r="P287" t="s">
        <v>16</v>
      </c>
      <c r="Q287">
        <f t="shared" si="12"/>
        <v>0.56672580327222544</v>
      </c>
      <c r="R287">
        <f t="shared" si="13"/>
        <v>2.4640252316183716E-2</v>
      </c>
      <c r="S287">
        <f t="shared" si="14"/>
        <v>0.21839245354387549</v>
      </c>
    </row>
    <row r="288" spans="1:19" x14ac:dyDescent="0.2">
      <c r="A288">
        <v>94</v>
      </c>
      <c r="B288" t="s">
        <v>21</v>
      </c>
      <c r="C288">
        <v>2</v>
      </c>
      <c r="D288">
        <v>7</v>
      </c>
      <c r="E288">
        <v>1006</v>
      </c>
      <c r="F288" t="b">
        <v>1</v>
      </c>
      <c r="G288">
        <v>51.32</v>
      </c>
      <c r="H288">
        <v>29</v>
      </c>
      <c r="I288">
        <v>0</v>
      </c>
      <c r="J288">
        <v>0</v>
      </c>
      <c r="K288" t="s">
        <v>260</v>
      </c>
      <c r="L288">
        <v>0</v>
      </c>
      <c r="N288" t="s">
        <v>261</v>
      </c>
      <c r="O288" t="s">
        <v>262</v>
      </c>
      <c r="P288" t="s">
        <v>16</v>
      </c>
      <c r="Q288">
        <f t="shared" si="12"/>
        <v>0.56508183943881529</v>
      </c>
      <c r="R288">
        <f t="shared" si="13"/>
        <v>0</v>
      </c>
      <c r="S288">
        <f t="shared" si="14"/>
        <v>0</v>
      </c>
    </row>
    <row r="289" spans="1:19" hidden="1" x14ac:dyDescent="0.2">
      <c r="A289">
        <v>5</v>
      </c>
      <c r="B289" t="s">
        <v>29</v>
      </c>
      <c r="C289">
        <v>-1</v>
      </c>
      <c r="D289">
        <v>1</v>
      </c>
      <c r="E289">
        <v>1000</v>
      </c>
      <c r="F289" t="b">
        <v>1</v>
      </c>
      <c r="G289">
        <v>54.9</v>
      </c>
      <c r="H289">
        <v>31</v>
      </c>
      <c r="I289">
        <v>6</v>
      </c>
      <c r="J289">
        <v>6.42</v>
      </c>
      <c r="K289" t="s">
        <v>30</v>
      </c>
      <c r="L289">
        <v>0</v>
      </c>
      <c r="N289" t="s">
        <v>31</v>
      </c>
      <c r="O289" t="s">
        <v>32</v>
      </c>
      <c r="P289" t="s">
        <v>16</v>
      </c>
      <c r="Q289">
        <f t="shared" si="12"/>
        <v>0.56466302367941712</v>
      </c>
      <c r="R289">
        <f t="shared" si="13"/>
        <v>0.10928961748633879</v>
      </c>
      <c r="S289">
        <f t="shared" si="14"/>
        <v>0.66475583934807358</v>
      </c>
    </row>
    <row r="290" spans="1:19" hidden="1" x14ac:dyDescent="0.2">
      <c r="A290">
        <v>77</v>
      </c>
      <c r="B290" t="s">
        <v>37</v>
      </c>
      <c r="C290">
        <v>-1</v>
      </c>
      <c r="D290">
        <v>6</v>
      </c>
      <c r="E290">
        <v>1035</v>
      </c>
      <c r="F290" t="b">
        <v>1</v>
      </c>
      <c r="G290">
        <v>44.347999999999999</v>
      </c>
      <c r="H290">
        <v>25</v>
      </c>
      <c r="I290">
        <v>3</v>
      </c>
      <c r="J290">
        <v>2.94</v>
      </c>
      <c r="K290" t="s">
        <v>1294</v>
      </c>
      <c r="L290">
        <v>0</v>
      </c>
      <c r="N290" t="s">
        <v>1295</v>
      </c>
      <c r="O290" t="s">
        <v>1296</v>
      </c>
      <c r="P290" t="s">
        <v>16</v>
      </c>
      <c r="Q290">
        <f t="shared" si="12"/>
        <v>0.56372327951655088</v>
      </c>
      <c r="R290">
        <f t="shared" si="13"/>
        <v>6.7646793541986106E-2</v>
      </c>
      <c r="S290">
        <f t="shared" si="14"/>
        <v>0.4915904398309513</v>
      </c>
    </row>
    <row r="291" spans="1:19" hidden="1" x14ac:dyDescent="0.2">
      <c r="A291">
        <v>20</v>
      </c>
      <c r="B291" t="s">
        <v>33</v>
      </c>
      <c r="C291">
        <v>-1</v>
      </c>
      <c r="D291">
        <v>2</v>
      </c>
      <c r="E291">
        <v>1011</v>
      </c>
      <c r="F291" t="b">
        <v>1</v>
      </c>
      <c r="G291">
        <v>55.031999999999996</v>
      </c>
      <c r="H291">
        <v>31</v>
      </c>
      <c r="I291">
        <v>8</v>
      </c>
      <c r="J291">
        <v>11.34</v>
      </c>
      <c r="K291" t="s">
        <v>431</v>
      </c>
      <c r="L291">
        <v>0</v>
      </c>
      <c r="N291" t="s">
        <v>432</v>
      </c>
      <c r="O291" t="s">
        <v>433</v>
      </c>
      <c r="P291" t="s">
        <v>16</v>
      </c>
      <c r="Q291">
        <f t="shared" si="12"/>
        <v>0.5633086204390173</v>
      </c>
      <c r="R291">
        <f t="shared" si="13"/>
        <v>0.14536996656490769</v>
      </c>
      <c r="S291">
        <f t="shared" si="14"/>
        <v>0.76629594017782343</v>
      </c>
    </row>
    <row r="292" spans="1:19" hidden="1" x14ac:dyDescent="0.2">
      <c r="A292">
        <v>77</v>
      </c>
      <c r="B292" t="s">
        <v>37</v>
      </c>
      <c r="C292">
        <v>-1</v>
      </c>
      <c r="D292">
        <v>6</v>
      </c>
      <c r="E292">
        <v>1005</v>
      </c>
      <c r="F292" t="b">
        <v>1</v>
      </c>
      <c r="G292">
        <v>51.496000000000002</v>
      </c>
      <c r="H292">
        <v>29</v>
      </c>
      <c r="I292">
        <v>5</v>
      </c>
      <c r="J292">
        <v>10.98</v>
      </c>
      <c r="K292" t="s">
        <v>218</v>
      </c>
      <c r="L292">
        <v>0</v>
      </c>
      <c r="N292" t="s">
        <v>219</v>
      </c>
      <c r="O292" t="s">
        <v>220</v>
      </c>
      <c r="P292" t="s">
        <v>16</v>
      </c>
      <c r="Q292">
        <f t="shared" si="12"/>
        <v>0.56315053596395837</v>
      </c>
      <c r="R292">
        <f t="shared" si="13"/>
        <v>9.7094919993785916E-2</v>
      </c>
      <c r="S292">
        <f t="shared" si="14"/>
        <v>0.62127661677361545</v>
      </c>
    </row>
    <row r="293" spans="1:19" hidden="1" x14ac:dyDescent="0.2">
      <c r="A293">
        <v>47</v>
      </c>
      <c r="B293" t="s">
        <v>29</v>
      </c>
      <c r="C293">
        <v>-1</v>
      </c>
      <c r="D293">
        <v>4</v>
      </c>
      <c r="E293">
        <v>1023</v>
      </c>
      <c r="F293" t="b">
        <v>1</v>
      </c>
      <c r="G293">
        <v>48.008000000000003</v>
      </c>
      <c r="H293">
        <v>27</v>
      </c>
      <c r="I293">
        <v>1</v>
      </c>
      <c r="J293">
        <v>7.2</v>
      </c>
      <c r="K293" t="s">
        <v>858</v>
      </c>
      <c r="L293">
        <v>0</v>
      </c>
      <c r="N293" t="s">
        <v>859</v>
      </c>
      <c r="O293" t="s">
        <v>860</v>
      </c>
      <c r="P293" t="s">
        <v>16</v>
      </c>
      <c r="Q293">
        <f t="shared" si="12"/>
        <v>0.56240626562239626</v>
      </c>
      <c r="R293">
        <f t="shared" si="13"/>
        <v>2.0829861689718378E-2</v>
      </c>
      <c r="S293">
        <f t="shared" si="14"/>
        <v>0.1880354658237553</v>
      </c>
    </row>
    <row r="294" spans="1:19" hidden="1" x14ac:dyDescent="0.2">
      <c r="A294">
        <v>129</v>
      </c>
      <c r="B294" t="s">
        <v>21</v>
      </c>
      <c r="C294">
        <v>-1</v>
      </c>
      <c r="D294">
        <v>10</v>
      </c>
      <c r="E294">
        <v>1019</v>
      </c>
      <c r="F294" t="b">
        <v>1</v>
      </c>
      <c r="G294">
        <v>44.496000000000002</v>
      </c>
      <c r="H294">
        <v>25</v>
      </c>
      <c r="I294">
        <v>9</v>
      </c>
      <c r="J294">
        <v>12.48</v>
      </c>
      <c r="K294" t="s">
        <v>708</v>
      </c>
      <c r="L294">
        <v>0</v>
      </c>
      <c r="N294" t="s">
        <v>709</v>
      </c>
      <c r="O294" t="s">
        <v>710</v>
      </c>
      <c r="P294" t="s">
        <v>16</v>
      </c>
      <c r="Q294">
        <f t="shared" si="12"/>
        <v>0.56184825602301325</v>
      </c>
      <c r="R294">
        <f t="shared" si="13"/>
        <v>0.20226537216828477</v>
      </c>
      <c r="S294">
        <f t="shared" si="14"/>
        <v>0.86769609892108668</v>
      </c>
    </row>
    <row r="295" spans="1:19" x14ac:dyDescent="0.2">
      <c r="A295">
        <v>42</v>
      </c>
      <c r="B295" t="s">
        <v>37</v>
      </c>
      <c r="C295">
        <v>2</v>
      </c>
      <c r="D295">
        <v>3</v>
      </c>
      <c r="E295">
        <v>1032</v>
      </c>
      <c r="F295" t="b">
        <v>1</v>
      </c>
      <c r="G295">
        <v>48.084000000000003</v>
      </c>
      <c r="H295">
        <v>27</v>
      </c>
      <c r="I295">
        <v>1</v>
      </c>
      <c r="J295">
        <v>0.6</v>
      </c>
      <c r="K295" t="s">
        <v>1204</v>
      </c>
      <c r="L295">
        <v>0</v>
      </c>
      <c r="N295" t="s">
        <v>1205</v>
      </c>
      <c r="O295" t="s">
        <v>1206</v>
      </c>
      <c r="P295" t="s">
        <v>16</v>
      </c>
      <c r="Q295">
        <f t="shared" si="12"/>
        <v>0.56151734464686798</v>
      </c>
      <c r="R295">
        <f t="shared" si="13"/>
        <v>2.0796938690624739E-2</v>
      </c>
      <c r="S295">
        <f t="shared" si="14"/>
        <v>0.18776809873731115</v>
      </c>
    </row>
    <row r="296" spans="1:19" x14ac:dyDescent="0.2">
      <c r="A296">
        <v>109</v>
      </c>
      <c r="B296" t="s">
        <v>25</v>
      </c>
      <c r="C296">
        <v>2</v>
      </c>
      <c r="D296">
        <v>8</v>
      </c>
      <c r="E296">
        <v>1007</v>
      </c>
      <c r="F296" t="b">
        <v>1</v>
      </c>
      <c r="G296">
        <v>43.176000000000002</v>
      </c>
      <c r="H296">
        <v>24</v>
      </c>
      <c r="I296">
        <v>1</v>
      </c>
      <c r="J296">
        <v>0.06</v>
      </c>
      <c r="K296" t="s">
        <v>299</v>
      </c>
      <c r="L296">
        <v>0</v>
      </c>
      <c r="N296" t="s">
        <v>300</v>
      </c>
      <c r="O296" t="s">
        <v>301</v>
      </c>
      <c r="P296" t="s">
        <v>16</v>
      </c>
      <c r="Q296">
        <f t="shared" si="12"/>
        <v>0.5558643690939411</v>
      </c>
      <c r="R296">
        <f t="shared" si="13"/>
        <v>2.3161015378914209E-2</v>
      </c>
      <c r="S296">
        <f t="shared" si="14"/>
        <v>0.20674468938789692</v>
      </c>
    </row>
    <row r="297" spans="1:19" x14ac:dyDescent="0.2">
      <c r="A297">
        <v>138</v>
      </c>
      <c r="B297" t="s">
        <v>29</v>
      </c>
      <c r="C297">
        <v>2</v>
      </c>
      <c r="D297">
        <v>10</v>
      </c>
      <c r="E297">
        <v>1029</v>
      </c>
      <c r="F297" t="b">
        <v>1</v>
      </c>
      <c r="G297">
        <v>46.828000000000003</v>
      </c>
      <c r="H297">
        <v>26</v>
      </c>
      <c r="I297">
        <v>0</v>
      </c>
      <c r="J297">
        <v>0</v>
      </c>
      <c r="K297" t="s">
        <v>1090</v>
      </c>
      <c r="L297">
        <v>0</v>
      </c>
      <c r="N297" t="s">
        <v>1091</v>
      </c>
      <c r="O297" t="s">
        <v>1092</v>
      </c>
      <c r="P297" t="s">
        <v>16</v>
      </c>
      <c r="Q297">
        <f t="shared" si="12"/>
        <v>0.55522337063295457</v>
      </c>
      <c r="R297">
        <f t="shared" si="13"/>
        <v>0</v>
      </c>
      <c r="S297">
        <f t="shared" si="14"/>
        <v>0</v>
      </c>
    </row>
    <row r="298" spans="1:19" hidden="1" x14ac:dyDescent="0.2">
      <c r="A298">
        <v>47</v>
      </c>
      <c r="B298" t="s">
        <v>29</v>
      </c>
      <c r="C298">
        <v>-1</v>
      </c>
      <c r="D298">
        <v>4</v>
      </c>
      <c r="E298">
        <v>1003</v>
      </c>
      <c r="F298" t="b">
        <v>1</v>
      </c>
      <c r="G298">
        <v>59.44</v>
      </c>
      <c r="H298">
        <v>33</v>
      </c>
      <c r="I298">
        <v>8</v>
      </c>
      <c r="J298">
        <v>7.08</v>
      </c>
      <c r="K298" t="s">
        <v>140</v>
      </c>
      <c r="L298">
        <v>0</v>
      </c>
      <c r="N298" t="s">
        <v>141</v>
      </c>
      <c r="O298" t="s">
        <v>142</v>
      </c>
      <c r="P298" t="s">
        <v>16</v>
      </c>
      <c r="Q298">
        <f t="shared" si="12"/>
        <v>0.55518169582772547</v>
      </c>
      <c r="R298">
        <f t="shared" si="13"/>
        <v>0.13458950201884254</v>
      </c>
      <c r="S298">
        <f t="shared" si="14"/>
        <v>0.73969337611545427</v>
      </c>
    </row>
    <row r="299" spans="1:19" hidden="1" x14ac:dyDescent="0.2">
      <c r="A299">
        <v>132</v>
      </c>
      <c r="B299" t="s">
        <v>33</v>
      </c>
      <c r="C299">
        <v>-1</v>
      </c>
      <c r="D299">
        <v>10</v>
      </c>
      <c r="E299">
        <v>1039</v>
      </c>
      <c r="F299" t="b">
        <v>1</v>
      </c>
      <c r="G299">
        <v>52.247999999999998</v>
      </c>
      <c r="H299">
        <v>29</v>
      </c>
      <c r="I299">
        <v>8</v>
      </c>
      <c r="J299">
        <v>3.6</v>
      </c>
      <c r="K299" t="s">
        <v>1435</v>
      </c>
      <c r="L299">
        <v>0</v>
      </c>
      <c r="N299" t="s">
        <v>1436</v>
      </c>
      <c r="O299" t="s">
        <v>1437</v>
      </c>
      <c r="P299" t="s">
        <v>16</v>
      </c>
      <c r="Q299">
        <f t="shared" si="12"/>
        <v>0.55504516919307922</v>
      </c>
      <c r="R299">
        <f t="shared" si="13"/>
        <v>0.15311590874291839</v>
      </c>
      <c r="S299">
        <f t="shared" si="14"/>
        <v>0.78371517105406496</v>
      </c>
    </row>
    <row r="300" spans="1:19" hidden="1" x14ac:dyDescent="0.2">
      <c r="A300">
        <v>21</v>
      </c>
      <c r="B300" t="s">
        <v>37</v>
      </c>
      <c r="C300">
        <v>-1</v>
      </c>
      <c r="D300">
        <v>2</v>
      </c>
      <c r="E300">
        <v>1001</v>
      </c>
      <c r="F300" t="b">
        <v>1</v>
      </c>
      <c r="G300">
        <v>52.636000000000003</v>
      </c>
      <c r="H300">
        <v>29</v>
      </c>
      <c r="I300">
        <v>8</v>
      </c>
      <c r="J300">
        <v>6.42</v>
      </c>
      <c r="K300" t="s">
        <v>74</v>
      </c>
      <c r="L300">
        <v>0</v>
      </c>
      <c r="N300" t="s">
        <v>75</v>
      </c>
      <c r="O300" t="s">
        <v>76</v>
      </c>
      <c r="P300" t="s">
        <v>16</v>
      </c>
      <c r="Q300">
        <f t="shared" si="12"/>
        <v>0.55095371988752939</v>
      </c>
      <c r="R300">
        <f t="shared" si="13"/>
        <v>0.1519872330724219</v>
      </c>
      <c r="S300">
        <f t="shared" si="14"/>
        <v>0.78126018847705647</v>
      </c>
    </row>
    <row r="301" spans="1:19" hidden="1" x14ac:dyDescent="0.2">
      <c r="A301">
        <v>75</v>
      </c>
      <c r="B301" t="s">
        <v>29</v>
      </c>
      <c r="C301">
        <v>-1</v>
      </c>
      <c r="D301">
        <v>6</v>
      </c>
      <c r="E301">
        <v>1035</v>
      </c>
      <c r="F301" t="b">
        <v>1</v>
      </c>
      <c r="G301">
        <v>43.588000000000001</v>
      </c>
      <c r="H301">
        <v>24</v>
      </c>
      <c r="I301">
        <v>7</v>
      </c>
      <c r="J301">
        <v>5.94</v>
      </c>
      <c r="K301" t="s">
        <v>1288</v>
      </c>
      <c r="L301">
        <v>0</v>
      </c>
      <c r="N301" t="s">
        <v>1289</v>
      </c>
      <c r="O301" t="s">
        <v>1290</v>
      </c>
      <c r="P301" t="s">
        <v>16</v>
      </c>
      <c r="Q301">
        <f t="shared" si="12"/>
        <v>0.55061025970450583</v>
      </c>
      <c r="R301">
        <f t="shared" si="13"/>
        <v>0.16059465908048087</v>
      </c>
      <c r="S301">
        <f t="shared" si="14"/>
        <v>0.79930051532166879</v>
      </c>
    </row>
    <row r="302" spans="1:19" hidden="1" x14ac:dyDescent="0.2">
      <c r="A302">
        <v>133</v>
      </c>
      <c r="B302" t="s">
        <v>37</v>
      </c>
      <c r="C302">
        <v>-1</v>
      </c>
      <c r="D302">
        <v>10</v>
      </c>
      <c r="E302">
        <v>1039</v>
      </c>
      <c r="F302" t="b">
        <v>1</v>
      </c>
      <c r="G302">
        <v>50.923999999999999</v>
      </c>
      <c r="H302">
        <v>28</v>
      </c>
      <c r="I302">
        <v>9</v>
      </c>
      <c r="J302">
        <v>8.16</v>
      </c>
      <c r="K302" t="s">
        <v>1438</v>
      </c>
      <c r="L302">
        <v>0</v>
      </c>
      <c r="N302" t="s">
        <v>1439</v>
      </c>
      <c r="O302" t="s">
        <v>1440</v>
      </c>
      <c r="P302" t="s">
        <v>16</v>
      </c>
      <c r="Q302">
        <f t="shared" si="12"/>
        <v>0.54983897572853668</v>
      </c>
      <c r="R302">
        <f t="shared" si="13"/>
        <v>0.17673395648417251</v>
      </c>
      <c r="S302">
        <f t="shared" si="14"/>
        <v>0.82921324796635054</v>
      </c>
    </row>
    <row r="303" spans="1:19" hidden="1" x14ac:dyDescent="0.2">
      <c r="A303">
        <v>77</v>
      </c>
      <c r="B303" t="s">
        <v>37</v>
      </c>
      <c r="C303">
        <v>-1</v>
      </c>
      <c r="D303">
        <v>6</v>
      </c>
      <c r="E303">
        <v>1015</v>
      </c>
      <c r="F303" t="b">
        <v>1</v>
      </c>
      <c r="G303">
        <v>50.972000000000001</v>
      </c>
      <c r="H303">
        <v>28</v>
      </c>
      <c r="I303">
        <v>7</v>
      </c>
      <c r="J303">
        <v>4.9800000000000004</v>
      </c>
      <c r="K303" t="s">
        <v>577</v>
      </c>
      <c r="L303">
        <v>0</v>
      </c>
      <c r="N303" t="s">
        <v>578</v>
      </c>
      <c r="O303" t="s">
        <v>579</v>
      </c>
      <c r="P303" t="s">
        <v>16</v>
      </c>
      <c r="Q303">
        <f t="shared" si="12"/>
        <v>0.54932119595071804</v>
      </c>
      <c r="R303">
        <f t="shared" si="13"/>
        <v>0.13733029898767951</v>
      </c>
      <c r="S303">
        <f t="shared" si="14"/>
        <v>0.74673096856637999</v>
      </c>
    </row>
    <row r="304" spans="1:19" hidden="1" x14ac:dyDescent="0.2">
      <c r="A304">
        <v>74</v>
      </c>
      <c r="B304" t="s">
        <v>25</v>
      </c>
      <c r="C304">
        <v>-1</v>
      </c>
      <c r="D304">
        <v>6</v>
      </c>
      <c r="E304">
        <v>1015</v>
      </c>
      <c r="F304" t="b">
        <v>1</v>
      </c>
      <c r="G304">
        <v>49.223999999999997</v>
      </c>
      <c r="H304">
        <v>27</v>
      </c>
      <c r="I304">
        <v>4</v>
      </c>
      <c r="J304">
        <v>3.84</v>
      </c>
      <c r="K304" t="s">
        <v>568</v>
      </c>
      <c r="L304">
        <v>0</v>
      </c>
      <c r="N304" t="s">
        <v>569</v>
      </c>
      <c r="O304" t="s">
        <v>570</v>
      </c>
      <c r="P304" t="s">
        <v>16</v>
      </c>
      <c r="Q304">
        <f t="shared" si="12"/>
        <v>0.54851292052657241</v>
      </c>
      <c r="R304">
        <f t="shared" si="13"/>
        <v>8.1261173411344062E-2</v>
      </c>
      <c r="S304">
        <f t="shared" si="14"/>
        <v>0.55630226886132261</v>
      </c>
    </row>
    <row r="305" spans="1:19" hidden="1" x14ac:dyDescent="0.2">
      <c r="A305">
        <v>34</v>
      </c>
      <c r="B305" t="s">
        <v>33</v>
      </c>
      <c r="C305">
        <v>-1</v>
      </c>
      <c r="D305">
        <v>3</v>
      </c>
      <c r="E305">
        <v>1022</v>
      </c>
      <c r="F305" t="b">
        <v>1</v>
      </c>
      <c r="G305">
        <v>32.863999999999997</v>
      </c>
      <c r="H305">
        <v>18</v>
      </c>
      <c r="I305">
        <v>7</v>
      </c>
      <c r="J305">
        <v>4.8600000000000003</v>
      </c>
      <c r="K305" t="s">
        <v>825</v>
      </c>
      <c r="L305">
        <v>0</v>
      </c>
      <c r="N305" t="s">
        <v>826</v>
      </c>
      <c r="O305" t="s">
        <v>827</v>
      </c>
      <c r="P305" t="s">
        <v>16</v>
      </c>
      <c r="Q305">
        <f t="shared" si="12"/>
        <v>0.54771178188899716</v>
      </c>
      <c r="R305">
        <f t="shared" si="13"/>
        <v>0.21299902629016554</v>
      </c>
      <c r="S305">
        <f t="shared" si="14"/>
        <v>0.88116154901153954</v>
      </c>
    </row>
    <row r="306" spans="1:19" hidden="1" x14ac:dyDescent="0.2">
      <c r="A306">
        <v>119</v>
      </c>
      <c r="B306" t="s">
        <v>37</v>
      </c>
      <c r="C306">
        <v>-1</v>
      </c>
      <c r="D306">
        <v>9</v>
      </c>
      <c r="E306">
        <v>1008</v>
      </c>
      <c r="F306" t="b">
        <v>1</v>
      </c>
      <c r="G306">
        <v>51.308</v>
      </c>
      <c r="H306">
        <v>28</v>
      </c>
      <c r="I306">
        <v>8</v>
      </c>
      <c r="J306">
        <v>6.06</v>
      </c>
      <c r="K306" t="s">
        <v>326</v>
      </c>
      <c r="L306">
        <v>0</v>
      </c>
      <c r="N306" t="s">
        <v>327</v>
      </c>
      <c r="O306" t="s">
        <v>328</v>
      </c>
      <c r="P306" t="s">
        <v>16</v>
      </c>
      <c r="Q306">
        <f t="shared" si="12"/>
        <v>0.54572386372495518</v>
      </c>
      <c r="R306">
        <f t="shared" si="13"/>
        <v>0.15592110392141575</v>
      </c>
      <c r="S306">
        <f t="shared" si="14"/>
        <v>0.78969807426160687</v>
      </c>
    </row>
    <row r="307" spans="1:19" x14ac:dyDescent="0.2">
      <c r="A307">
        <v>125</v>
      </c>
      <c r="B307" t="s">
        <v>33</v>
      </c>
      <c r="C307">
        <v>2</v>
      </c>
      <c r="D307">
        <v>9</v>
      </c>
      <c r="E307">
        <v>1028</v>
      </c>
      <c r="F307" t="b">
        <v>1</v>
      </c>
      <c r="G307">
        <v>58.704000000000001</v>
      </c>
      <c r="H307">
        <v>32</v>
      </c>
      <c r="I307">
        <v>0</v>
      </c>
      <c r="J307">
        <v>0</v>
      </c>
      <c r="K307" t="s">
        <v>1057</v>
      </c>
      <c r="L307">
        <v>0</v>
      </c>
      <c r="N307" t="s">
        <v>1058</v>
      </c>
      <c r="O307" t="s">
        <v>1059</v>
      </c>
      <c r="P307" t="s">
        <v>16</v>
      </c>
      <c r="Q307">
        <f t="shared" si="12"/>
        <v>0.54510765876260558</v>
      </c>
      <c r="R307">
        <f t="shared" si="13"/>
        <v>0</v>
      </c>
      <c r="S307">
        <f t="shared" si="14"/>
        <v>0</v>
      </c>
    </row>
    <row r="308" spans="1:19" x14ac:dyDescent="0.2">
      <c r="A308">
        <v>66</v>
      </c>
      <c r="B308" t="s">
        <v>21</v>
      </c>
      <c r="C308">
        <v>2</v>
      </c>
      <c r="D308">
        <v>5</v>
      </c>
      <c r="E308">
        <v>1034</v>
      </c>
      <c r="F308" t="b">
        <v>1</v>
      </c>
      <c r="G308">
        <v>53.223999999999997</v>
      </c>
      <c r="H308">
        <v>29</v>
      </c>
      <c r="I308">
        <v>3</v>
      </c>
      <c r="J308">
        <v>1.44</v>
      </c>
      <c r="K308" t="s">
        <v>1264</v>
      </c>
      <c r="L308">
        <v>0</v>
      </c>
      <c r="N308" t="s">
        <v>1265</v>
      </c>
      <c r="O308" t="s">
        <v>1266</v>
      </c>
      <c r="P308" t="s">
        <v>16</v>
      </c>
      <c r="Q308">
        <f t="shared" si="12"/>
        <v>0.54486697730347211</v>
      </c>
      <c r="R308">
        <f t="shared" si="13"/>
        <v>5.6365549376221256E-2</v>
      </c>
      <c r="S308">
        <f t="shared" si="14"/>
        <v>0.43087517553805466</v>
      </c>
    </row>
    <row r="309" spans="1:19" x14ac:dyDescent="0.2">
      <c r="A309">
        <v>84</v>
      </c>
      <c r="B309" t="s">
        <v>37</v>
      </c>
      <c r="C309">
        <v>2</v>
      </c>
      <c r="D309">
        <v>6</v>
      </c>
      <c r="E309">
        <v>1005</v>
      </c>
      <c r="F309" t="b">
        <v>1</v>
      </c>
      <c r="G309">
        <v>51.451999999999998</v>
      </c>
      <c r="H309">
        <v>28</v>
      </c>
      <c r="I309">
        <v>2</v>
      </c>
      <c r="J309">
        <v>0.12</v>
      </c>
      <c r="K309" t="s">
        <v>236</v>
      </c>
      <c r="L309">
        <v>0</v>
      </c>
      <c r="N309" t="s">
        <v>237</v>
      </c>
      <c r="O309" t="s">
        <v>238</v>
      </c>
      <c r="P309" t="s">
        <v>16</v>
      </c>
      <c r="Q309">
        <f t="shared" si="12"/>
        <v>0.54419653269066315</v>
      </c>
      <c r="R309">
        <f t="shared" si="13"/>
        <v>3.8871180906475941E-2</v>
      </c>
      <c r="S309">
        <f t="shared" si="14"/>
        <v>0.32207038496592899</v>
      </c>
    </row>
    <row r="310" spans="1:19" x14ac:dyDescent="0.2">
      <c r="A310">
        <v>14</v>
      </c>
      <c r="B310" t="s">
        <v>37</v>
      </c>
      <c r="C310">
        <v>2</v>
      </c>
      <c r="D310">
        <v>1</v>
      </c>
      <c r="E310">
        <v>1000</v>
      </c>
      <c r="F310" t="b">
        <v>1</v>
      </c>
      <c r="G310">
        <v>48.072000000000003</v>
      </c>
      <c r="H310">
        <v>26</v>
      </c>
      <c r="I310">
        <v>1</v>
      </c>
      <c r="J310">
        <v>0.84</v>
      </c>
      <c r="K310" t="s">
        <v>56</v>
      </c>
      <c r="L310">
        <v>0</v>
      </c>
      <c r="N310" t="s">
        <v>57</v>
      </c>
      <c r="O310" t="s">
        <v>58</v>
      </c>
      <c r="P310" t="s">
        <v>16</v>
      </c>
      <c r="Q310">
        <f t="shared" si="12"/>
        <v>0.54085538359127971</v>
      </c>
      <c r="R310">
        <f t="shared" si="13"/>
        <v>2.0802130138126144E-2</v>
      </c>
      <c r="S310">
        <f t="shared" si="14"/>
        <v>0.18781026423554559</v>
      </c>
    </row>
    <row r="311" spans="1:19" hidden="1" x14ac:dyDescent="0.2">
      <c r="A311">
        <v>130</v>
      </c>
      <c r="B311" t="s">
        <v>25</v>
      </c>
      <c r="C311">
        <v>-1</v>
      </c>
      <c r="D311">
        <v>10</v>
      </c>
      <c r="E311">
        <v>1019</v>
      </c>
      <c r="F311" t="b">
        <v>1</v>
      </c>
      <c r="G311">
        <v>48.18</v>
      </c>
      <c r="H311">
        <v>26</v>
      </c>
      <c r="I311">
        <v>5</v>
      </c>
      <c r="J311">
        <v>4.68</v>
      </c>
      <c r="K311" t="s">
        <v>711</v>
      </c>
      <c r="L311">
        <v>0</v>
      </c>
      <c r="N311" t="s">
        <v>712</v>
      </c>
      <c r="O311" t="s">
        <v>713</v>
      </c>
      <c r="P311" t="s">
        <v>16</v>
      </c>
      <c r="Q311">
        <f t="shared" si="12"/>
        <v>0.53964300539643006</v>
      </c>
      <c r="R311">
        <f t="shared" si="13"/>
        <v>0.10377750103777501</v>
      </c>
      <c r="S311">
        <f t="shared" si="14"/>
        <v>0.6457580094900508</v>
      </c>
    </row>
    <row r="312" spans="1:19" x14ac:dyDescent="0.2">
      <c r="A312">
        <v>54</v>
      </c>
      <c r="B312" t="s">
        <v>29</v>
      </c>
      <c r="C312">
        <v>2</v>
      </c>
      <c r="D312">
        <v>4</v>
      </c>
      <c r="E312">
        <v>1003</v>
      </c>
      <c r="F312" t="b">
        <v>1</v>
      </c>
      <c r="G312">
        <v>53.783999999999999</v>
      </c>
      <c r="H312">
        <v>29</v>
      </c>
      <c r="I312">
        <v>4</v>
      </c>
      <c r="J312">
        <v>2.52</v>
      </c>
      <c r="K312" t="s">
        <v>158</v>
      </c>
      <c r="L312">
        <v>0</v>
      </c>
      <c r="N312" t="s">
        <v>159</v>
      </c>
      <c r="O312" t="s">
        <v>160</v>
      </c>
      <c r="P312" t="s">
        <v>16</v>
      </c>
      <c r="Q312">
        <f t="shared" si="12"/>
        <v>0.5391938122861818</v>
      </c>
      <c r="R312">
        <f t="shared" si="13"/>
        <v>7.4371560315335414E-2</v>
      </c>
      <c r="S312">
        <f t="shared" si="14"/>
        <v>0.52465556107583411</v>
      </c>
    </row>
    <row r="313" spans="1:19" hidden="1" x14ac:dyDescent="0.2">
      <c r="A313">
        <v>130</v>
      </c>
      <c r="B313" t="s">
        <v>25</v>
      </c>
      <c r="C313">
        <v>-1</v>
      </c>
      <c r="D313">
        <v>10</v>
      </c>
      <c r="E313">
        <v>1029</v>
      </c>
      <c r="F313" t="b">
        <v>1</v>
      </c>
      <c r="G313">
        <v>48.56</v>
      </c>
      <c r="H313">
        <v>26</v>
      </c>
      <c r="I313">
        <v>3</v>
      </c>
      <c r="J313">
        <v>3.78</v>
      </c>
      <c r="K313" t="s">
        <v>1069</v>
      </c>
      <c r="L313">
        <v>0</v>
      </c>
      <c r="N313" t="s">
        <v>1070</v>
      </c>
      <c r="O313" t="s">
        <v>1071</v>
      </c>
      <c r="P313" t="s">
        <v>16</v>
      </c>
      <c r="Q313">
        <f t="shared" si="12"/>
        <v>0.53542009884678743</v>
      </c>
      <c r="R313">
        <f t="shared" si="13"/>
        <v>6.1779242174629323E-2</v>
      </c>
      <c r="S313">
        <f t="shared" si="14"/>
        <v>0.46086669618840403</v>
      </c>
    </row>
    <row r="314" spans="1:19" hidden="1" x14ac:dyDescent="0.2">
      <c r="A314">
        <v>89</v>
      </c>
      <c r="B314" t="s">
        <v>29</v>
      </c>
      <c r="C314">
        <v>-1</v>
      </c>
      <c r="D314">
        <v>7</v>
      </c>
      <c r="E314">
        <v>1016</v>
      </c>
      <c r="F314" t="b">
        <v>1</v>
      </c>
      <c r="G314">
        <v>54.212000000000003</v>
      </c>
      <c r="H314">
        <v>29</v>
      </c>
      <c r="I314">
        <v>6</v>
      </c>
      <c r="J314">
        <v>4.9800000000000004</v>
      </c>
      <c r="K314" t="s">
        <v>607</v>
      </c>
      <c r="L314">
        <v>0</v>
      </c>
      <c r="N314" t="s">
        <v>608</v>
      </c>
      <c r="O314" t="s">
        <v>609</v>
      </c>
      <c r="P314" t="s">
        <v>16</v>
      </c>
      <c r="Q314">
        <f t="shared" si="12"/>
        <v>0.5349369143363093</v>
      </c>
      <c r="R314">
        <f t="shared" si="13"/>
        <v>0.11067660296613295</v>
      </c>
      <c r="S314">
        <f t="shared" si="14"/>
        <v>0.66937352980381815</v>
      </c>
    </row>
    <row r="315" spans="1:19" x14ac:dyDescent="0.2">
      <c r="A315">
        <v>11</v>
      </c>
      <c r="B315" t="s">
        <v>25</v>
      </c>
      <c r="C315">
        <v>2</v>
      </c>
      <c r="D315">
        <v>1</v>
      </c>
      <c r="E315">
        <v>1020</v>
      </c>
      <c r="F315" t="b">
        <v>1</v>
      </c>
      <c r="G315">
        <v>54.22</v>
      </c>
      <c r="H315">
        <v>29</v>
      </c>
      <c r="I315">
        <v>0</v>
      </c>
      <c r="J315">
        <v>0</v>
      </c>
      <c r="K315" t="s">
        <v>765</v>
      </c>
      <c r="L315">
        <v>0</v>
      </c>
      <c r="N315" t="s">
        <v>766</v>
      </c>
      <c r="O315" t="s">
        <v>767</v>
      </c>
      <c r="P315" t="s">
        <v>16</v>
      </c>
      <c r="Q315">
        <f t="shared" si="12"/>
        <v>0.53485798598303214</v>
      </c>
      <c r="R315">
        <f t="shared" si="13"/>
        <v>0</v>
      </c>
      <c r="S315">
        <f t="shared" si="14"/>
        <v>0</v>
      </c>
    </row>
    <row r="316" spans="1:19" x14ac:dyDescent="0.2">
      <c r="A316">
        <v>38</v>
      </c>
      <c r="B316" t="s">
        <v>21</v>
      </c>
      <c r="C316">
        <v>2</v>
      </c>
      <c r="D316">
        <v>3</v>
      </c>
      <c r="E316">
        <v>1002</v>
      </c>
      <c r="F316" t="b">
        <v>1</v>
      </c>
      <c r="G316">
        <v>52.552</v>
      </c>
      <c r="H316">
        <v>28</v>
      </c>
      <c r="I316">
        <v>0</v>
      </c>
      <c r="J316">
        <v>0</v>
      </c>
      <c r="K316" t="s">
        <v>116</v>
      </c>
      <c r="L316">
        <v>0</v>
      </c>
      <c r="N316" t="s">
        <v>117</v>
      </c>
      <c r="O316" t="s">
        <v>118</v>
      </c>
      <c r="P316" t="s">
        <v>16</v>
      </c>
      <c r="Q316">
        <f t="shared" si="12"/>
        <v>0.53280560207033034</v>
      </c>
      <c r="R316">
        <f t="shared" si="13"/>
        <v>0</v>
      </c>
      <c r="S316">
        <f t="shared" si="14"/>
        <v>0</v>
      </c>
    </row>
    <row r="317" spans="1:19" hidden="1" x14ac:dyDescent="0.2">
      <c r="A317">
        <v>35</v>
      </c>
      <c r="B317" t="s">
        <v>37</v>
      </c>
      <c r="C317">
        <v>-1</v>
      </c>
      <c r="D317">
        <v>3</v>
      </c>
      <c r="E317">
        <v>1012</v>
      </c>
      <c r="F317" t="b">
        <v>1</v>
      </c>
      <c r="G317">
        <v>54.643999999999998</v>
      </c>
      <c r="H317">
        <v>29</v>
      </c>
      <c r="I317">
        <v>13</v>
      </c>
      <c r="J317">
        <v>9.5399999999999991</v>
      </c>
      <c r="K317" t="s">
        <v>470</v>
      </c>
      <c r="L317">
        <v>0</v>
      </c>
      <c r="N317" t="s">
        <v>471</v>
      </c>
      <c r="O317" t="s">
        <v>472</v>
      </c>
      <c r="P317" t="s">
        <v>16</v>
      </c>
      <c r="Q317">
        <f t="shared" si="12"/>
        <v>0.53070785447624624</v>
      </c>
      <c r="R317">
        <f t="shared" si="13"/>
        <v>0.2379035209721104</v>
      </c>
      <c r="S317">
        <f t="shared" si="14"/>
        <v>0.90736008750433539</v>
      </c>
    </row>
    <row r="318" spans="1:19" x14ac:dyDescent="0.2">
      <c r="A318">
        <v>96</v>
      </c>
      <c r="B318" t="s">
        <v>29</v>
      </c>
      <c r="C318">
        <v>2</v>
      </c>
      <c r="D318">
        <v>7</v>
      </c>
      <c r="E318">
        <v>1016</v>
      </c>
      <c r="F318" t="b">
        <v>1</v>
      </c>
      <c r="G318">
        <v>50.908000000000001</v>
      </c>
      <c r="H318">
        <v>27</v>
      </c>
      <c r="I318">
        <v>3</v>
      </c>
      <c r="J318">
        <v>0.54</v>
      </c>
      <c r="K318" t="s">
        <v>625</v>
      </c>
      <c r="L318">
        <v>0</v>
      </c>
      <c r="N318" t="s">
        <v>626</v>
      </c>
      <c r="O318" t="s">
        <v>627</v>
      </c>
      <c r="P318" t="s">
        <v>16</v>
      </c>
      <c r="Q318">
        <f t="shared" si="12"/>
        <v>0.53036850789659773</v>
      </c>
      <c r="R318">
        <f t="shared" si="13"/>
        <v>5.8929834210733084E-2</v>
      </c>
      <c r="S318">
        <f t="shared" si="14"/>
        <v>0.44528363066485954</v>
      </c>
    </row>
    <row r="319" spans="1:19" hidden="1" x14ac:dyDescent="0.2">
      <c r="A319">
        <v>63</v>
      </c>
      <c r="B319" t="s">
        <v>37</v>
      </c>
      <c r="C319">
        <v>-1</v>
      </c>
      <c r="D319">
        <v>5</v>
      </c>
      <c r="E319">
        <v>1014</v>
      </c>
      <c r="F319" t="b">
        <v>1</v>
      </c>
      <c r="G319">
        <v>54.972000000000001</v>
      </c>
      <c r="H319">
        <v>29</v>
      </c>
      <c r="I319">
        <v>8</v>
      </c>
      <c r="J319">
        <v>5.34</v>
      </c>
      <c r="K319" t="s">
        <v>541</v>
      </c>
      <c r="L319">
        <v>0</v>
      </c>
      <c r="N319" t="s">
        <v>542</v>
      </c>
      <c r="O319" t="s">
        <v>543</v>
      </c>
      <c r="P319" t="s">
        <v>16</v>
      </c>
      <c r="Q319">
        <f t="shared" si="12"/>
        <v>0.52754129374954517</v>
      </c>
      <c r="R319">
        <f t="shared" si="13"/>
        <v>0.14552863275849523</v>
      </c>
      <c r="S319">
        <f t="shared" si="14"/>
        <v>0.76666645549479684</v>
      </c>
    </row>
    <row r="320" spans="1:19" x14ac:dyDescent="0.2">
      <c r="A320">
        <v>28</v>
      </c>
      <c r="B320" t="s">
        <v>37</v>
      </c>
      <c r="C320">
        <v>2</v>
      </c>
      <c r="D320">
        <v>2</v>
      </c>
      <c r="E320">
        <v>1001</v>
      </c>
      <c r="F320" t="b">
        <v>1</v>
      </c>
      <c r="G320">
        <v>49.304000000000002</v>
      </c>
      <c r="H320">
        <v>26</v>
      </c>
      <c r="I320">
        <v>1</v>
      </c>
      <c r="J320">
        <v>0.06</v>
      </c>
      <c r="K320" t="s">
        <v>92</v>
      </c>
      <c r="L320">
        <v>0</v>
      </c>
      <c r="N320" t="s">
        <v>93</v>
      </c>
      <c r="O320" t="s">
        <v>94</v>
      </c>
      <c r="P320" t="s">
        <v>16</v>
      </c>
      <c r="Q320">
        <f t="shared" si="12"/>
        <v>0.52734058088593216</v>
      </c>
      <c r="R320">
        <f t="shared" si="13"/>
        <v>2.0282330034074314E-2</v>
      </c>
      <c r="S320">
        <f t="shared" si="14"/>
        <v>0.18357750974328702</v>
      </c>
    </row>
    <row r="321" spans="1:19" x14ac:dyDescent="0.2">
      <c r="A321">
        <v>108</v>
      </c>
      <c r="B321" t="s">
        <v>21</v>
      </c>
      <c r="C321">
        <v>2</v>
      </c>
      <c r="D321">
        <v>8</v>
      </c>
      <c r="E321">
        <v>1007</v>
      </c>
      <c r="F321" t="b">
        <v>1</v>
      </c>
      <c r="G321">
        <v>45.768000000000001</v>
      </c>
      <c r="H321">
        <v>24</v>
      </c>
      <c r="I321">
        <v>1</v>
      </c>
      <c r="J321">
        <v>0.06</v>
      </c>
      <c r="K321" t="s">
        <v>296</v>
      </c>
      <c r="L321">
        <v>0</v>
      </c>
      <c r="N321" t="s">
        <v>297</v>
      </c>
      <c r="O321" t="s">
        <v>298</v>
      </c>
      <c r="P321" t="s">
        <v>16</v>
      </c>
      <c r="Q321">
        <f t="shared" si="12"/>
        <v>0.52438384897745149</v>
      </c>
      <c r="R321">
        <f t="shared" si="13"/>
        <v>2.1849327040727146E-2</v>
      </c>
      <c r="S321">
        <f t="shared" si="14"/>
        <v>0.19627111180546153</v>
      </c>
    </row>
    <row r="322" spans="1:19" x14ac:dyDescent="0.2">
      <c r="A322">
        <v>70</v>
      </c>
      <c r="B322" t="s">
        <v>37</v>
      </c>
      <c r="C322">
        <v>2</v>
      </c>
      <c r="D322">
        <v>5</v>
      </c>
      <c r="E322">
        <v>1004</v>
      </c>
      <c r="F322" t="b">
        <v>1</v>
      </c>
      <c r="G322">
        <v>49.695999999999998</v>
      </c>
      <c r="H322">
        <v>26</v>
      </c>
      <c r="I322">
        <v>0</v>
      </c>
      <c r="J322">
        <v>0</v>
      </c>
      <c r="K322" t="s">
        <v>200</v>
      </c>
      <c r="L322">
        <v>0</v>
      </c>
      <c r="N322" t="s">
        <v>201</v>
      </c>
      <c r="O322" t="s">
        <v>202</v>
      </c>
      <c r="P322" t="s">
        <v>16</v>
      </c>
      <c r="Q322">
        <f t="shared" ref="Q322:Q385" si="15">H322/G322</f>
        <v>0.52318094011590477</v>
      </c>
      <c r="R322">
        <f t="shared" ref="R322:R385" si="16">I322/G322</f>
        <v>0</v>
      </c>
      <c r="S322">
        <f t="shared" ref="S322:S385" si="17">1-EXP((-10*R322))</f>
        <v>0</v>
      </c>
    </row>
    <row r="323" spans="1:19" hidden="1" x14ac:dyDescent="0.2">
      <c r="A323">
        <v>19</v>
      </c>
      <c r="B323" t="s">
        <v>29</v>
      </c>
      <c r="C323">
        <v>-1</v>
      </c>
      <c r="D323">
        <v>2</v>
      </c>
      <c r="E323">
        <v>1011</v>
      </c>
      <c r="F323" t="b">
        <v>1</v>
      </c>
      <c r="G323">
        <v>59.323999999999998</v>
      </c>
      <c r="H323">
        <v>31</v>
      </c>
      <c r="I323">
        <v>9</v>
      </c>
      <c r="J323">
        <v>7.56</v>
      </c>
      <c r="K323" t="s">
        <v>428</v>
      </c>
      <c r="L323">
        <v>0</v>
      </c>
      <c r="N323" t="s">
        <v>429</v>
      </c>
      <c r="O323" t="s">
        <v>430</v>
      </c>
      <c r="P323" t="s">
        <v>16</v>
      </c>
      <c r="Q323">
        <f t="shared" si="15"/>
        <v>0.52255410963522353</v>
      </c>
      <c r="R323">
        <f t="shared" si="16"/>
        <v>0.15170925763603263</v>
      </c>
      <c r="S323">
        <f t="shared" si="17"/>
        <v>0.78065129964279678</v>
      </c>
    </row>
    <row r="324" spans="1:19" x14ac:dyDescent="0.2">
      <c r="A324">
        <v>10</v>
      </c>
      <c r="B324" t="s">
        <v>21</v>
      </c>
      <c r="C324">
        <v>2</v>
      </c>
      <c r="D324">
        <v>1</v>
      </c>
      <c r="E324">
        <v>1000</v>
      </c>
      <c r="F324" t="b">
        <v>1</v>
      </c>
      <c r="G324">
        <v>53.744</v>
      </c>
      <c r="H324">
        <v>28</v>
      </c>
      <c r="I324">
        <v>1</v>
      </c>
      <c r="J324">
        <v>0.78</v>
      </c>
      <c r="K324" t="s">
        <v>44</v>
      </c>
      <c r="L324">
        <v>0</v>
      </c>
      <c r="N324" t="s">
        <v>45</v>
      </c>
      <c r="O324" t="s">
        <v>46</v>
      </c>
      <c r="P324" t="s">
        <v>16</v>
      </c>
      <c r="Q324">
        <f t="shared" si="15"/>
        <v>0.52098838940160763</v>
      </c>
      <c r="R324">
        <f t="shared" si="16"/>
        <v>1.8606728192914559E-2</v>
      </c>
      <c r="S324">
        <f t="shared" si="17"/>
        <v>0.16978226554803311</v>
      </c>
    </row>
    <row r="325" spans="1:19" x14ac:dyDescent="0.2">
      <c r="A325">
        <v>98</v>
      </c>
      <c r="B325" t="s">
        <v>37</v>
      </c>
      <c r="C325">
        <v>2</v>
      </c>
      <c r="D325">
        <v>7</v>
      </c>
      <c r="E325">
        <v>1036</v>
      </c>
      <c r="F325" t="b">
        <v>1</v>
      </c>
      <c r="G325">
        <v>48.131999999999998</v>
      </c>
      <c r="H325">
        <v>25</v>
      </c>
      <c r="I325">
        <v>3</v>
      </c>
      <c r="J325">
        <v>0.54</v>
      </c>
      <c r="K325" t="s">
        <v>1348</v>
      </c>
      <c r="L325">
        <v>0</v>
      </c>
      <c r="N325" t="s">
        <v>1349</v>
      </c>
      <c r="O325" t="s">
        <v>1350</v>
      </c>
      <c r="P325" t="s">
        <v>16</v>
      </c>
      <c r="Q325">
        <f t="shared" si="15"/>
        <v>0.51940496966674976</v>
      </c>
      <c r="R325">
        <f t="shared" si="16"/>
        <v>6.2328596360009973E-2</v>
      </c>
      <c r="S325">
        <f t="shared" si="17"/>
        <v>0.46382032718179989</v>
      </c>
    </row>
    <row r="326" spans="1:19" hidden="1" x14ac:dyDescent="0.2">
      <c r="A326">
        <v>116</v>
      </c>
      <c r="B326" t="s">
        <v>25</v>
      </c>
      <c r="C326">
        <v>-1</v>
      </c>
      <c r="D326">
        <v>9</v>
      </c>
      <c r="E326">
        <v>1028</v>
      </c>
      <c r="F326" t="b">
        <v>1</v>
      </c>
      <c r="G326">
        <v>59.747999999999998</v>
      </c>
      <c r="H326">
        <v>31</v>
      </c>
      <c r="I326">
        <v>7</v>
      </c>
      <c r="J326">
        <v>6.36</v>
      </c>
      <c r="K326" t="s">
        <v>1033</v>
      </c>
      <c r="L326">
        <v>0</v>
      </c>
      <c r="N326" t="s">
        <v>1034</v>
      </c>
      <c r="O326" t="s">
        <v>1035</v>
      </c>
      <c r="P326" t="s">
        <v>16</v>
      </c>
      <c r="Q326">
        <f t="shared" si="15"/>
        <v>0.51884581910691574</v>
      </c>
      <c r="R326">
        <f t="shared" si="16"/>
        <v>0.1171587333467229</v>
      </c>
      <c r="S326">
        <f t="shared" si="17"/>
        <v>0.69012532376976421</v>
      </c>
    </row>
    <row r="327" spans="1:19" hidden="1" x14ac:dyDescent="0.2">
      <c r="A327">
        <v>18</v>
      </c>
      <c r="B327" t="s">
        <v>25</v>
      </c>
      <c r="C327">
        <v>-1</v>
      </c>
      <c r="D327">
        <v>2</v>
      </c>
      <c r="E327">
        <v>1021</v>
      </c>
      <c r="F327" t="b">
        <v>1</v>
      </c>
      <c r="G327">
        <v>50.283999999999999</v>
      </c>
      <c r="H327">
        <v>26</v>
      </c>
      <c r="I327">
        <v>7</v>
      </c>
      <c r="J327">
        <v>5.94</v>
      </c>
      <c r="K327" t="s">
        <v>783</v>
      </c>
      <c r="L327">
        <v>0</v>
      </c>
      <c r="N327" t="s">
        <v>784</v>
      </c>
      <c r="O327" t="s">
        <v>785</v>
      </c>
      <c r="P327" t="s">
        <v>16</v>
      </c>
      <c r="Q327">
        <f t="shared" si="15"/>
        <v>0.51706308169596693</v>
      </c>
      <c r="R327">
        <f t="shared" si="16"/>
        <v>0.13920929122583725</v>
      </c>
      <c r="S327">
        <f t="shared" si="17"/>
        <v>0.75144544299702043</v>
      </c>
    </row>
    <row r="328" spans="1:19" hidden="1" x14ac:dyDescent="0.2">
      <c r="A328">
        <v>102</v>
      </c>
      <c r="B328" t="s">
        <v>25</v>
      </c>
      <c r="C328">
        <v>-1</v>
      </c>
      <c r="D328">
        <v>8</v>
      </c>
      <c r="E328">
        <v>1027</v>
      </c>
      <c r="F328" t="b">
        <v>1</v>
      </c>
      <c r="G328">
        <v>58.292000000000002</v>
      </c>
      <c r="H328">
        <v>30</v>
      </c>
      <c r="I328">
        <v>8</v>
      </c>
      <c r="J328">
        <v>6.84</v>
      </c>
      <c r="K328" t="s">
        <v>998</v>
      </c>
      <c r="L328">
        <v>0</v>
      </c>
      <c r="N328" t="s">
        <v>999</v>
      </c>
      <c r="O328" t="s">
        <v>1000</v>
      </c>
      <c r="P328" t="s">
        <v>16</v>
      </c>
      <c r="Q328">
        <f t="shared" si="15"/>
        <v>0.51465038084128178</v>
      </c>
      <c r="R328">
        <f t="shared" si="16"/>
        <v>0.13724010155767516</v>
      </c>
      <c r="S328">
        <f t="shared" si="17"/>
        <v>0.74650242335357042</v>
      </c>
    </row>
    <row r="329" spans="1:19" hidden="1" x14ac:dyDescent="0.2">
      <c r="A329">
        <v>6</v>
      </c>
      <c r="B329" t="s">
        <v>33</v>
      </c>
      <c r="C329">
        <v>-1</v>
      </c>
      <c r="D329">
        <v>1</v>
      </c>
      <c r="E329">
        <v>1020</v>
      </c>
      <c r="F329" t="b">
        <v>1</v>
      </c>
      <c r="G329">
        <v>58.432000000000002</v>
      </c>
      <c r="H329">
        <v>30</v>
      </c>
      <c r="I329">
        <v>8</v>
      </c>
      <c r="J329">
        <v>8.76</v>
      </c>
      <c r="K329" t="s">
        <v>753</v>
      </c>
      <c r="L329">
        <v>0</v>
      </c>
      <c r="N329" t="s">
        <v>754</v>
      </c>
      <c r="O329" t="s">
        <v>755</v>
      </c>
      <c r="P329" t="s">
        <v>16</v>
      </c>
      <c r="Q329">
        <f t="shared" si="15"/>
        <v>0.51341730558598031</v>
      </c>
      <c r="R329">
        <f t="shared" si="16"/>
        <v>0.13691128148959475</v>
      </c>
      <c r="S329">
        <f t="shared" si="17"/>
        <v>0.74566750050480324</v>
      </c>
    </row>
    <row r="330" spans="1:19" hidden="1" x14ac:dyDescent="0.2">
      <c r="A330">
        <v>17</v>
      </c>
      <c r="B330" t="s">
        <v>21</v>
      </c>
      <c r="C330">
        <v>-1</v>
      </c>
      <c r="D330">
        <v>2</v>
      </c>
      <c r="E330">
        <v>1001</v>
      </c>
      <c r="F330" t="b">
        <v>1</v>
      </c>
      <c r="G330">
        <v>60.472000000000001</v>
      </c>
      <c r="H330">
        <v>31</v>
      </c>
      <c r="I330">
        <v>8</v>
      </c>
      <c r="J330">
        <v>6.72</v>
      </c>
      <c r="K330" t="s">
        <v>62</v>
      </c>
      <c r="L330">
        <v>0</v>
      </c>
      <c r="N330" t="s">
        <v>63</v>
      </c>
      <c r="O330" t="s">
        <v>64</v>
      </c>
      <c r="P330" t="s">
        <v>16</v>
      </c>
      <c r="Q330">
        <f t="shared" si="15"/>
        <v>0.51263394628919168</v>
      </c>
      <c r="R330">
        <f t="shared" si="16"/>
        <v>0.13229263130043656</v>
      </c>
      <c r="S330">
        <f t="shared" si="17"/>
        <v>0.7336452768761812</v>
      </c>
    </row>
    <row r="331" spans="1:19" hidden="1" x14ac:dyDescent="0.2">
      <c r="A331">
        <v>101</v>
      </c>
      <c r="B331" t="s">
        <v>21</v>
      </c>
      <c r="C331">
        <v>-1</v>
      </c>
      <c r="D331">
        <v>8</v>
      </c>
      <c r="E331">
        <v>1007</v>
      </c>
      <c r="F331" t="b">
        <v>1</v>
      </c>
      <c r="G331">
        <v>50.856000000000002</v>
      </c>
      <c r="H331">
        <v>26</v>
      </c>
      <c r="I331">
        <v>8</v>
      </c>
      <c r="J331">
        <v>8.94</v>
      </c>
      <c r="K331" t="s">
        <v>278</v>
      </c>
      <c r="L331">
        <v>0</v>
      </c>
      <c r="N331" t="s">
        <v>279</v>
      </c>
      <c r="O331" t="s">
        <v>280</v>
      </c>
      <c r="P331" t="s">
        <v>16</v>
      </c>
      <c r="Q331">
        <f t="shared" si="15"/>
        <v>0.5112474437627812</v>
      </c>
      <c r="R331">
        <f t="shared" si="16"/>
        <v>0.15730690577316345</v>
      </c>
      <c r="S331">
        <f t="shared" si="17"/>
        <v>0.79259234151922175</v>
      </c>
    </row>
    <row r="332" spans="1:19" hidden="1" x14ac:dyDescent="0.2">
      <c r="A332">
        <v>133</v>
      </c>
      <c r="B332" t="s">
        <v>37</v>
      </c>
      <c r="C332">
        <v>-1</v>
      </c>
      <c r="D332">
        <v>10</v>
      </c>
      <c r="E332">
        <v>1019</v>
      </c>
      <c r="F332" t="b">
        <v>1</v>
      </c>
      <c r="G332">
        <v>52.948</v>
      </c>
      <c r="H332">
        <v>27</v>
      </c>
      <c r="I332">
        <v>10</v>
      </c>
      <c r="J332">
        <v>12.3</v>
      </c>
      <c r="K332" t="s">
        <v>720</v>
      </c>
      <c r="L332">
        <v>0</v>
      </c>
      <c r="N332" t="s">
        <v>721</v>
      </c>
      <c r="O332" t="s">
        <v>722</v>
      </c>
      <c r="P332" t="s">
        <v>16</v>
      </c>
      <c r="Q332">
        <f t="shared" si="15"/>
        <v>0.50993427513787115</v>
      </c>
      <c r="R332">
        <f t="shared" si="16"/>
        <v>0.18886454634735966</v>
      </c>
      <c r="S332">
        <f t="shared" si="17"/>
        <v>0.84872342022690273</v>
      </c>
    </row>
    <row r="333" spans="1:19" hidden="1" x14ac:dyDescent="0.2">
      <c r="A333">
        <v>76</v>
      </c>
      <c r="B333" t="s">
        <v>33</v>
      </c>
      <c r="C333">
        <v>-1</v>
      </c>
      <c r="D333">
        <v>6</v>
      </c>
      <c r="E333">
        <v>1035</v>
      </c>
      <c r="F333" t="b">
        <v>1</v>
      </c>
      <c r="G333">
        <v>49.091999999999999</v>
      </c>
      <c r="H333">
        <v>25</v>
      </c>
      <c r="I333">
        <v>7</v>
      </c>
      <c r="J333">
        <v>7.2</v>
      </c>
      <c r="K333" t="s">
        <v>1291</v>
      </c>
      <c r="L333">
        <v>0</v>
      </c>
      <c r="N333" t="s">
        <v>1292</v>
      </c>
      <c r="O333" t="s">
        <v>1293</v>
      </c>
      <c r="P333" t="s">
        <v>16</v>
      </c>
      <c r="Q333">
        <f t="shared" si="15"/>
        <v>0.50924794263831175</v>
      </c>
      <c r="R333">
        <f t="shared" si="16"/>
        <v>0.14258942393872728</v>
      </c>
      <c r="S333">
        <f t="shared" si="17"/>
        <v>0.75970651279809942</v>
      </c>
    </row>
    <row r="334" spans="1:19" hidden="1" x14ac:dyDescent="0.2">
      <c r="A334">
        <v>59</v>
      </c>
      <c r="B334" t="s">
        <v>21</v>
      </c>
      <c r="C334">
        <v>-1</v>
      </c>
      <c r="D334">
        <v>5</v>
      </c>
      <c r="E334">
        <v>1024</v>
      </c>
      <c r="F334" t="b">
        <v>1</v>
      </c>
      <c r="G334">
        <v>55.043999999999997</v>
      </c>
      <c r="H334">
        <v>28</v>
      </c>
      <c r="I334">
        <v>12</v>
      </c>
      <c r="J334">
        <v>15.24</v>
      </c>
      <c r="K334" t="s">
        <v>888</v>
      </c>
      <c r="L334">
        <v>0</v>
      </c>
      <c r="N334" t="s">
        <v>889</v>
      </c>
      <c r="O334" t="s">
        <v>890</v>
      </c>
      <c r="P334" t="s">
        <v>16</v>
      </c>
      <c r="Q334">
        <f t="shared" si="15"/>
        <v>0.508683961921372</v>
      </c>
      <c r="R334">
        <f t="shared" si="16"/>
        <v>0.21800741225201659</v>
      </c>
      <c r="S334">
        <f t="shared" si="17"/>
        <v>0.88696684797215886</v>
      </c>
    </row>
    <row r="335" spans="1:19" x14ac:dyDescent="0.2">
      <c r="A335">
        <v>39</v>
      </c>
      <c r="B335" t="s">
        <v>25</v>
      </c>
      <c r="C335">
        <v>2</v>
      </c>
      <c r="D335">
        <v>3</v>
      </c>
      <c r="E335">
        <v>1002</v>
      </c>
      <c r="F335" t="b">
        <v>1</v>
      </c>
      <c r="G335">
        <v>53.188000000000002</v>
      </c>
      <c r="H335">
        <v>27</v>
      </c>
      <c r="I335">
        <v>0</v>
      </c>
      <c r="J335">
        <v>0</v>
      </c>
      <c r="K335" t="s">
        <v>119</v>
      </c>
      <c r="L335">
        <v>0</v>
      </c>
      <c r="N335" t="s">
        <v>120</v>
      </c>
      <c r="O335" t="s">
        <v>121</v>
      </c>
      <c r="P335" t="s">
        <v>16</v>
      </c>
      <c r="Q335">
        <f t="shared" si="15"/>
        <v>0.50763330074452884</v>
      </c>
      <c r="R335">
        <f t="shared" si="16"/>
        <v>0</v>
      </c>
      <c r="S335">
        <f t="shared" si="17"/>
        <v>0</v>
      </c>
    </row>
    <row r="336" spans="1:19" hidden="1" x14ac:dyDescent="0.2">
      <c r="A336">
        <v>49</v>
      </c>
      <c r="B336" t="s">
        <v>37</v>
      </c>
      <c r="C336">
        <v>-1</v>
      </c>
      <c r="D336">
        <v>4</v>
      </c>
      <c r="E336">
        <v>1013</v>
      </c>
      <c r="F336" t="b">
        <v>1</v>
      </c>
      <c r="G336">
        <v>49.323999999999998</v>
      </c>
      <c r="H336">
        <v>25</v>
      </c>
      <c r="I336">
        <v>5</v>
      </c>
      <c r="J336">
        <v>5.94</v>
      </c>
      <c r="K336" t="s">
        <v>505</v>
      </c>
      <c r="L336">
        <v>0</v>
      </c>
      <c r="N336" t="s">
        <v>506</v>
      </c>
      <c r="O336" t="s">
        <v>507</v>
      </c>
      <c r="P336" t="s">
        <v>16</v>
      </c>
      <c r="Q336">
        <f t="shared" si="15"/>
        <v>0.50685264779823214</v>
      </c>
      <c r="R336">
        <f t="shared" si="16"/>
        <v>0.10137052955964643</v>
      </c>
      <c r="S336">
        <f t="shared" si="17"/>
        <v>0.6371280622743698</v>
      </c>
    </row>
    <row r="337" spans="1:19" x14ac:dyDescent="0.2">
      <c r="A337">
        <v>10</v>
      </c>
      <c r="B337" t="s">
        <v>21</v>
      </c>
      <c r="C337">
        <v>2</v>
      </c>
      <c r="D337">
        <v>1</v>
      </c>
      <c r="E337">
        <v>1010</v>
      </c>
      <c r="F337" t="b">
        <v>1</v>
      </c>
      <c r="G337">
        <v>57.304000000000002</v>
      </c>
      <c r="H337">
        <v>29</v>
      </c>
      <c r="I337">
        <v>2</v>
      </c>
      <c r="J337">
        <v>0.36</v>
      </c>
      <c r="K337" t="s">
        <v>404</v>
      </c>
      <c r="L337">
        <v>0</v>
      </c>
      <c r="N337" t="s">
        <v>405</v>
      </c>
      <c r="O337" t="s">
        <v>406</v>
      </c>
      <c r="P337" t="s">
        <v>16</v>
      </c>
      <c r="Q337">
        <f t="shared" si="15"/>
        <v>0.50607287449392713</v>
      </c>
      <c r="R337">
        <f t="shared" si="16"/>
        <v>3.4901577551305317E-2</v>
      </c>
      <c r="S337">
        <f t="shared" si="17"/>
        <v>0.29461799758080576</v>
      </c>
    </row>
    <row r="338" spans="1:19" x14ac:dyDescent="0.2">
      <c r="A338">
        <v>24</v>
      </c>
      <c r="B338" t="s">
        <v>21</v>
      </c>
      <c r="C338">
        <v>2</v>
      </c>
      <c r="D338">
        <v>2</v>
      </c>
      <c r="E338">
        <v>1001</v>
      </c>
      <c r="F338" t="b">
        <v>1</v>
      </c>
      <c r="G338">
        <v>53.524000000000001</v>
      </c>
      <c r="H338">
        <v>27</v>
      </c>
      <c r="I338">
        <v>2</v>
      </c>
      <c r="J338">
        <v>0.9</v>
      </c>
      <c r="K338" t="s">
        <v>80</v>
      </c>
      <c r="L338">
        <v>0</v>
      </c>
      <c r="N338" t="s">
        <v>81</v>
      </c>
      <c r="O338" t="s">
        <v>82</v>
      </c>
      <c r="P338" t="s">
        <v>16</v>
      </c>
      <c r="Q338">
        <f t="shared" si="15"/>
        <v>0.50444660339287051</v>
      </c>
      <c r="R338">
        <f t="shared" si="16"/>
        <v>3.7366415066138553E-2</v>
      </c>
      <c r="S338">
        <f t="shared" si="17"/>
        <v>0.3117919927757552</v>
      </c>
    </row>
    <row r="339" spans="1:19" x14ac:dyDescent="0.2">
      <c r="A339">
        <v>70</v>
      </c>
      <c r="B339" t="s">
        <v>37</v>
      </c>
      <c r="C339">
        <v>2</v>
      </c>
      <c r="D339">
        <v>5</v>
      </c>
      <c r="E339">
        <v>1024</v>
      </c>
      <c r="F339" t="b">
        <v>1</v>
      </c>
      <c r="G339">
        <v>53.536000000000001</v>
      </c>
      <c r="H339">
        <v>27</v>
      </c>
      <c r="I339">
        <v>3</v>
      </c>
      <c r="J339">
        <v>1.08</v>
      </c>
      <c r="K339" t="s">
        <v>918</v>
      </c>
      <c r="L339">
        <v>0</v>
      </c>
      <c r="N339" t="s">
        <v>919</v>
      </c>
      <c r="O339" t="s">
        <v>920</v>
      </c>
      <c r="P339" t="s">
        <v>16</v>
      </c>
      <c r="Q339">
        <f t="shared" si="15"/>
        <v>0.50433353257621039</v>
      </c>
      <c r="R339">
        <f t="shared" si="16"/>
        <v>5.603705917513449E-2</v>
      </c>
      <c r="S339">
        <f t="shared" si="17"/>
        <v>0.42900258229896038</v>
      </c>
    </row>
    <row r="340" spans="1:19" hidden="1" x14ac:dyDescent="0.2">
      <c r="A340">
        <v>104</v>
      </c>
      <c r="B340" t="s">
        <v>33</v>
      </c>
      <c r="C340">
        <v>-1</v>
      </c>
      <c r="D340">
        <v>8</v>
      </c>
      <c r="E340">
        <v>1017</v>
      </c>
      <c r="F340" t="b">
        <v>1</v>
      </c>
      <c r="G340">
        <v>59.548000000000002</v>
      </c>
      <c r="H340">
        <v>30</v>
      </c>
      <c r="I340">
        <v>8</v>
      </c>
      <c r="J340">
        <v>6.12</v>
      </c>
      <c r="K340" t="s">
        <v>646</v>
      </c>
      <c r="L340">
        <v>0</v>
      </c>
      <c r="N340" t="s">
        <v>647</v>
      </c>
      <c r="O340" t="s">
        <v>648</v>
      </c>
      <c r="P340" t="s">
        <v>16</v>
      </c>
      <c r="Q340">
        <f t="shared" si="15"/>
        <v>0.50379525760730837</v>
      </c>
      <c r="R340">
        <f t="shared" si="16"/>
        <v>0.13434540202861556</v>
      </c>
      <c r="S340">
        <f t="shared" si="17"/>
        <v>0.7390571915246209</v>
      </c>
    </row>
    <row r="341" spans="1:19" hidden="1" x14ac:dyDescent="0.2">
      <c r="A341">
        <v>47</v>
      </c>
      <c r="B341" t="s">
        <v>29</v>
      </c>
      <c r="C341">
        <v>-1</v>
      </c>
      <c r="D341">
        <v>4</v>
      </c>
      <c r="E341">
        <v>1033</v>
      </c>
      <c r="F341" t="b">
        <v>1</v>
      </c>
      <c r="G341">
        <v>47.683999999999997</v>
      </c>
      <c r="H341">
        <v>24</v>
      </c>
      <c r="I341">
        <v>6</v>
      </c>
      <c r="J341">
        <v>7.02</v>
      </c>
      <c r="K341" t="s">
        <v>1216</v>
      </c>
      <c r="L341">
        <v>0</v>
      </c>
      <c r="N341" t="s">
        <v>1217</v>
      </c>
      <c r="O341" t="s">
        <v>1218</v>
      </c>
      <c r="P341" t="s">
        <v>16</v>
      </c>
      <c r="Q341">
        <f t="shared" si="15"/>
        <v>0.50331348041271706</v>
      </c>
      <c r="R341">
        <f t="shared" si="16"/>
        <v>0.12582837010317927</v>
      </c>
      <c r="S341">
        <f t="shared" si="17"/>
        <v>0.71585872037080622</v>
      </c>
    </row>
    <row r="342" spans="1:19" hidden="1" x14ac:dyDescent="0.2">
      <c r="A342">
        <v>20</v>
      </c>
      <c r="B342" t="s">
        <v>33</v>
      </c>
      <c r="C342">
        <v>-1</v>
      </c>
      <c r="D342">
        <v>2</v>
      </c>
      <c r="E342">
        <v>1001</v>
      </c>
      <c r="F342" t="b">
        <v>1</v>
      </c>
      <c r="G342">
        <v>63.643999999999998</v>
      </c>
      <c r="H342">
        <v>32</v>
      </c>
      <c r="I342">
        <v>11</v>
      </c>
      <c r="J342">
        <v>9.42</v>
      </c>
      <c r="K342" t="s">
        <v>71</v>
      </c>
      <c r="L342">
        <v>0</v>
      </c>
      <c r="N342" t="s">
        <v>72</v>
      </c>
      <c r="O342" t="s">
        <v>73</v>
      </c>
      <c r="P342" t="s">
        <v>16</v>
      </c>
      <c r="Q342">
        <f t="shared" si="15"/>
        <v>0.50279680724027409</v>
      </c>
      <c r="R342">
        <f t="shared" si="16"/>
        <v>0.17283640248884419</v>
      </c>
      <c r="S342">
        <f t="shared" si="17"/>
        <v>0.82242531977502797</v>
      </c>
    </row>
    <row r="343" spans="1:19" hidden="1" x14ac:dyDescent="0.2">
      <c r="A343">
        <v>88</v>
      </c>
      <c r="B343" t="s">
        <v>25</v>
      </c>
      <c r="C343">
        <v>-1</v>
      </c>
      <c r="D343">
        <v>7</v>
      </c>
      <c r="E343">
        <v>1036</v>
      </c>
      <c r="F343" t="b">
        <v>1</v>
      </c>
      <c r="G343">
        <v>51.792000000000002</v>
      </c>
      <c r="H343">
        <v>26</v>
      </c>
      <c r="I343">
        <v>5</v>
      </c>
      <c r="J343">
        <v>3.18</v>
      </c>
      <c r="K343" t="s">
        <v>1321</v>
      </c>
      <c r="L343">
        <v>0</v>
      </c>
      <c r="N343" t="s">
        <v>1322</v>
      </c>
      <c r="O343" t="s">
        <v>1323</v>
      </c>
      <c r="P343" t="s">
        <v>16</v>
      </c>
      <c r="Q343">
        <f t="shared" si="15"/>
        <v>0.50200803212851408</v>
      </c>
      <c r="R343">
        <f t="shared" si="16"/>
        <v>9.6540006178560386E-2</v>
      </c>
      <c r="S343">
        <f t="shared" si="17"/>
        <v>0.61916918659582842</v>
      </c>
    </row>
    <row r="344" spans="1:19" hidden="1" x14ac:dyDescent="0.2">
      <c r="A344">
        <v>117</v>
      </c>
      <c r="B344" t="s">
        <v>29</v>
      </c>
      <c r="C344">
        <v>-1</v>
      </c>
      <c r="D344">
        <v>9</v>
      </c>
      <c r="E344">
        <v>1018</v>
      </c>
      <c r="F344" t="b">
        <v>1</v>
      </c>
      <c r="G344">
        <v>62.02</v>
      </c>
      <c r="H344">
        <v>31</v>
      </c>
      <c r="I344">
        <v>4</v>
      </c>
      <c r="J344">
        <v>3.66</v>
      </c>
      <c r="K344" t="s">
        <v>678</v>
      </c>
      <c r="L344">
        <v>0</v>
      </c>
      <c r="N344" t="s">
        <v>679</v>
      </c>
      <c r="O344" t="s">
        <v>680</v>
      </c>
      <c r="P344" t="s">
        <v>16</v>
      </c>
      <c r="Q344">
        <f t="shared" si="15"/>
        <v>0.49983876168977748</v>
      </c>
      <c r="R344">
        <f t="shared" si="16"/>
        <v>6.4495324089003547E-2</v>
      </c>
      <c r="S344">
        <f t="shared" si="17"/>
        <v>0.47531292456633267</v>
      </c>
    </row>
    <row r="345" spans="1:19" x14ac:dyDescent="0.2">
      <c r="A345">
        <v>126</v>
      </c>
      <c r="B345" t="s">
        <v>37</v>
      </c>
      <c r="C345">
        <v>2</v>
      </c>
      <c r="D345">
        <v>9</v>
      </c>
      <c r="E345">
        <v>1028</v>
      </c>
      <c r="F345" t="b">
        <v>1</v>
      </c>
      <c r="G345">
        <v>66.191999999999993</v>
      </c>
      <c r="H345">
        <v>33</v>
      </c>
      <c r="I345">
        <v>1</v>
      </c>
      <c r="J345">
        <v>1.1399999999999999</v>
      </c>
      <c r="K345" t="s">
        <v>1060</v>
      </c>
      <c r="L345">
        <v>0</v>
      </c>
      <c r="N345" t="s">
        <v>1061</v>
      </c>
      <c r="O345" t="s">
        <v>1062</v>
      </c>
      <c r="P345" t="s">
        <v>16</v>
      </c>
      <c r="Q345">
        <f t="shared" si="15"/>
        <v>0.49854967367657727</v>
      </c>
      <c r="R345">
        <f t="shared" si="16"/>
        <v>1.5107565868987191E-2</v>
      </c>
      <c r="S345">
        <f t="shared" si="17"/>
        <v>0.14021735383024037</v>
      </c>
    </row>
    <row r="346" spans="1:19" hidden="1" x14ac:dyDescent="0.2">
      <c r="A346">
        <v>34</v>
      </c>
      <c r="B346" t="s">
        <v>33</v>
      </c>
      <c r="C346">
        <v>-1</v>
      </c>
      <c r="D346">
        <v>3</v>
      </c>
      <c r="E346">
        <v>1032</v>
      </c>
      <c r="F346" t="b">
        <v>1</v>
      </c>
      <c r="G346">
        <v>62.276000000000003</v>
      </c>
      <c r="H346">
        <v>31</v>
      </c>
      <c r="I346">
        <v>9</v>
      </c>
      <c r="J346">
        <v>6</v>
      </c>
      <c r="K346" t="s">
        <v>1183</v>
      </c>
      <c r="L346">
        <v>0</v>
      </c>
      <c r="N346" t="s">
        <v>1184</v>
      </c>
      <c r="O346" t="s">
        <v>1185</v>
      </c>
      <c r="P346" t="s">
        <v>16</v>
      </c>
      <c r="Q346">
        <f t="shared" si="15"/>
        <v>0.4977840580641017</v>
      </c>
      <c r="R346">
        <f t="shared" si="16"/>
        <v>0.14451795234119083</v>
      </c>
      <c r="S346">
        <f t="shared" si="17"/>
        <v>0.76429624158548148</v>
      </c>
    </row>
    <row r="347" spans="1:19" hidden="1" x14ac:dyDescent="0.2">
      <c r="A347">
        <v>132</v>
      </c>
      <c r="B347" t="s">
        <v>33</v>
      </c>
      <c r="C347">
        <v>-1</v>
      </c>
      <c r="D347">
        <v>10</v>
      </c>
      <c r="E347">
        <v>1029</v>
      </c>
      <c r="F347" t="b">
        <v>1</v>
      </c>
      <c r="G347">
        <v>52.295999999999999</v>
      </c>
      <c r="H347">
        <v>26</v>
      </c>
      <c r="I347">
        <v>7</v>
      </c>
      <c r="J347">
        <v>4.2</v>
      </c>
      <c r="K347" t="s">
        <v>1075</v>
      </c>
      <c r="L347">
        <v>0</v>
      </c>
      <c r="N347" t="s">
        <v>1076</v>
      </c>
      <c r="O347" t="s">
        <v>1077</v>
      </c>
      <c r="P347" t="s">
        <v>16</v>
      </c>
      <c r="Q347">
        <f t="shared" si="15"/>
        <v>0.49716995563714245</v>
      </c>
      <c r="R347">
        <f t="shared" si="16"/>
        <v>0.13385344959461526</v>
      </c>
      <c r="S347">
        <f t="shared" si="17"/>
        <v>0.7377703142102281</v>
      </c>
    </row>
    <row r="348" spans="1:19" x14ac:dyDescent="0.2">
      <c r="A348">
        <v>95</v>
      </c>
      <c r="B348" t="s">
        <v>25</v>
      </c>
      <c r="C348">
        <v>2</v>
      </c>
      <c r="D348">
        <v>7</v>
      </c>
      <c r="E348">
        <v>1026</v>
      </c>
      <c r="F348" t="b">
        <v>1</v>
      </c>
      <c r="G348">
        <v>58.704000000000001</v>
      </c>
      <c r="H348">
        <v>29</v>
      </c>
      <c r="I348">
        <v>0</v>
      </c>
      <c r="J348">
        <v>0</v>
      </c>
      <c r="K348" t="s">
        <v>980</v>
      </c>
      <c r="L348">
        <v>0</v>
      </c>
      <c r="N348" t="s">
        <v>981</v>
      </c>
      <c r="O348" t="s">
        <v>982</v>
      </c>
      <c r="P348" t="s">
        <v>16</v>
      </c>
      <c r="Q348">
        <f t="shared" si="15"/>
        <v>0.49400381575361135</v>
      </c>
      <c r="R348">
        <f t="shared" si="16"/>
        <v>0</v>
      </c>
      <c r="S348">
        <f t="shared" si="17"/>
        <v>0</v>
      </c>
    </row>
    <row r="349" spans="1:19" hidden="1" x14ac:dyDescent="0.2">
      <c r="A349">
        <v>19</v>
      </c>
      <c r="B349" t="s">
        <v>29</v>
      </c>
      <c r="C349">
        <v>-1</v>
      </c>
      <c r="D349">
        <v>2</v>
      </c>
      <c r="E349">
        <v>1001</v>
      </c>
      <c r="F349" t="b">
        <v>1</v>
      </c>
      <c r="G349">
        <v>63.08</v>
      </c>
      <c r="H349">
        <v>31</v>
      </c>
      <c r="I349">
        <v>7</v>
      </c>
      <c r="J349">
        <v>6.9</v>
      </c>
      <c r="K349" t="s">
        <v>68</v>
      </c>
      <c r="L349">
        <v>0</v>
      </c>
      <c r="N349" t="s">
        <v>69</v>
      </c>
      <c r="O349" t="s">
        <v>70</v>
      </c>
      <c r="P349" t="s">
        <v>16</v>
      </c>
      <c r="Q349">
        <f t="shared" si="15"/>
        <v>0.49143944197844008</v>
      </c>
      <c r="R349">
        <f t="shared" si="16"/>
        <v>0.11097019657577679</v>
      </c>
      <c r="S349">
        <f t="shared" si="17"/>
        <v>0.67034280443168193</v>
      </c>
    </row>
    <row r="350" spans="1:19" x14ac:dyDescent="0.2">
      <c r="A350">
        <v>26</v>
      </c>
      <c r="B350" t="s">
        <v>29</v>
      </c>
      <c r="C350">
        <v>2</v>
      </c>
      <c r="D350">
        <v>2</v>
      </c>
      <c r="E350">
        <v>1011</v>
      </c>
      <c r="F350" t="b">
        <v>1</v>
      </c>
      <c r="G350">
        <v>48.915999999999997</v>
      </c>
      <c r="H350">
        <v>24</v>
      </c>
      <c r="I350">
        <v>3</v>
      </c>
      <c r="J350">
        <v>1.08</v>
      </c>
      <c r="K350" t="s">
        <v>446</v>
      </c>
      <c r="L350">
        <v>0</v>
      </c>
      <c r="N350" t="s">
        <v>447</v>
      </c>
      <c r="O350" t="s">
        <v>448</v>
      </c>
      <c r="P350" t="s">
        <v>16</v>
      </c>
      <c r="Q350">
        <f t="shared" si="15"/>
        <v>0.49063701038515006</v>
      </c>
      <c r="R350">
        <f t="shared" si="16"/>
        <v>6.1329626298143758E-2</v>
      </c>
      <c r="S350">
        <f t="shared" si="17"/>
        <v>0.45843720967326229</v>
      </c>
    </row>
    <row r="351" spans="1:19" hidden="1" x14ac:dyDescent="0.2">
      <c r="A351">
        <v>115</v>
      </c>
      <c r="B351" t="s">
        <v>21</v>
      </c>
      <c r="C351">
        <v>-1</v>
      </c>
      <c r="D351">
        <v>9</v>
      </c>
      <c r="E351">
        <v>1008</v>
      </c>
      <c r="F351" t="b">
        <v>1</v>
      </c>
      <c r="G351">
        <v>53.04</v>
      </c>
      <c r="H351">
        <v>26</v>
      </c>
      <c r="I351">
        <v>11</v>
      </c>
      <c r="J351">
        <v>15.36</v>
      </c>
      <c r="K351" t="s">
        <v>314</v>
      </c>
      <c r="L351">
        <v>0</v>
      </c>
      <c r="N351" t="s">
        <v>315</v>
      </c>
      <c r="O351" t="s">
        <v>316</v>
      </c>
      <c r="P351" t="s">
        <v>16</v>
      </c>
      <c r="Q351">
        <f t="shared" si="15"/>
        <v>0.49019607843137258</v>
      </c>
      <c r="R351">
        <f t="shared" si="16"/>
        <v>0.20739064856711917</v>
      </c>
      <c r="S351">
        <f t="shared" si="17"/>
        <v>0.87430619965836476</v>
      </c>
    </row>
    <row r="352" spans="1:19" hidden="1" x14ac:dyDescent="0.2">
      <c r="A352">
        <v>105</v>
      </c>
      <c r="B352" t="s">
        <v>37</v>
      </c>
      <c r="C352">
        <v>-1</v>
      </c>
      <c r="D352">
        <v>8</v>
      </c>
      <c r="E352">
        <v>1017</v>
      </c>
      <c r="F352" t="b">
        <v>1</v>
      </c>
      <c r="G352">
        <v>61.207999999999998</v>
      </c>
      <c r="H352">
        <v>30</v>
      </c>
      <c r="I352">
        <v>7</v>
      </c>
      <c r="J352">
        <v>4.1399999999999997</v>
      </c>
      <c r="K352" t="s">
        <v>649</v>
      </c>
      <c r="L352">
        <v>0</v>
      </c>
      <c r="N352" t="s">
        <v>650</v>
      </c>
      <c r="O352" t="s">
        <v>651</v>
      </c>
      <c r="P352" t="s">
        <v>16</v>
      </c>
      <c r="Q352">
        <f t="shared" si="15"/>
        <v>0.49013200888772712</v>
      </c>
      <c r="R352">
        <f t="shared" si="16"/>
        <v>0.11436413540713633</v>
      </c>
      <c r="S352">
        <f t="shared" si="17"/>
        <v>0.68134343473847014</v>
      </c>
    </row>
    <row r="353" spans="1:19" hidden="1" x14ac:dyDescent="0.2">
      <c r="A353">
        <v>77</v>
      </c>
      <c r="B353" t="s">
        <v>37</v>
      </c>
      <c r="C353">
        <v>-1</v>
      </c>
      <c r="D353">
        <v>6</v>
      </c>
      <c r="E353">
        <v>1025</v>
      </c>
      <c r="F353" t="b">
        <v>1</v>
      </c>
      <c r="G353">
        <v>48.988</v>
      </c>
      <c r="H353">
        <v>24</v>
      </c>
      <c r="I353">
        <v>5</v>
      </c>
      <c r="J353">
        <v>6</v>
      </c>
      <c r="K353" t="s">
        <v>936</v>
      </c>
      <c r="L353">
        <v>0</v>
      </c>
      <c r="N353" t="s">
        <v>937</v>
      </c>
      <c r="O353" t="s">
        <v>938</v>
      </c>
      <c r="P353" t="s">
        <v>16</v>
      </c>
      <c r="Q353">
        <f t="shared" si="15"/>
        <v>0.48991589777088268</v>
      </c>
      <c r="R353">
        <f t="shared" si="16"/>
        <v>0.10206581203560056</v>
      </c>
      <c r="S353">
        <f t="shared" si="17"/>
        <v>0.63964229662357708</v>
      </c>
    </row>
    <row r="354" spans="1:19" x14ac:dyDescent="0.2">
      <c r="A354">
        <v>55</v>
      </c>
      <c r="B354" t="s">
        <v>33</v>
      </c>
      <c r="C354">
        <v>2</v>
      </c>
      <c r="D354">
        <v>4</v>
      </c>
      <c r="E354">
        <v>1003</v>
      </c>
      <c r="F354" t="b">
        <v>1</v>
      </c>
      <c r="G354">
        <v>59.375999999999998</v>
      </c>
      <c r="H354">
        <v>29</v>
      </c>
      <c r="I354">
        <v>6</v>
      </c>
      <c r="J354">
        <v>2.94</v>
      </c>
      <c r="K354" t="s">
        <v>161</v>
      </c>
      <c r="L354">
        <v>0</v>
      </c>
      <c r="N354" t="s">
        <v>162</v>
      </c>
      <c r="O354" t="s">
        <v>163</v>
      </c>
      <c r="P354" t="s">
        <v>16</v>
      </c>
      <c r="Q354">
        <f t="shared" si="15"/>
        <v>0.48841282673133929</v>
      </c>
      <c r="R354">
        <f t="shared" si="16"/>
        <v>0.10105092966855296</v>
      </c>
      <c r="S354">
        <f t="shared" si="17"/>
        <v>0.63596646871947093</v>
      </c>
    </row>
    <row r="355" spans="1:19" hidden="1" x14ac:dyDescent="0.2">
      <c r="A355">
        <v>129</v>
      </c>
      <c r="B355" t="s">
        <v>21</v>
      </c>
      <c r="C355">
        <v>-1</v>
      </c>
      <c r="D355">
        <v>10</v>
      </c>
      <c r="E355">
        <v>1039</v>
      </c>
      <c r="F355" t="b">
        <v>1</v>
      </c>
      <c r="G355">
        <v>55.4</v>
      </c>
      <c r="H355">
        <v>27</v>
      </c>
      <c r="I355">
        <v>8</v>
      </c>
      <c r="J355">
        <v>7.5</v>
      </c>
      <c r="K355" t="s">
        <v>1426</v>
      </c>
      <c r="L355">
        <v>0</v>
      </c>
      <c r="N355" t="s">
        <v>1427</v>
      </c>
      <c r="O355" t="s">
        <v>1428</v>
      </c>
      <c r="P355" t="s">
        <v>16</v>
      </c>
      <c r="Q355">
        <f t="shared" si="15"/>
        <v>0.48736462093862815</v>
      </c>
      <c r="R355">
        <f t="shared" si="16"/>
        <v>0.1444043321299639</v>
      </c>
      <c r="S355">
        <f t="shared" si="17"/>
        <v>0.76402828227816266</v>
      </c>
    </row>
    <row r="356" spans="1:19" x14ac:dyDescent="0.2">
      <c r="A356">
        <v>13</v>
      </c>
      <c r="B356" t="s">
        <v>33</v>
      </c>
      <c r="C356">
        <v>2</v>
      </c>
      <c r="D356">
        <v>1</v>
      </c>
      <c r="E356">
        <v>1020</v>
      </c>
      <c r="F356" t="b">
        <v>1</v>
      </c>
      <c r="G356">
        <v>59.676000000000002</v>
      </c>
      <c r="H356">
        <v>29</v>
      </c>
      <c r="I356">
        <v>2</v>
      </c>
      <c r="J356">
        <v>0.18</v>
      </c>
      <c r="K356" t="s">
        <v>771</v>
      </c>
      <c r="L356">
        <v>0</v>
      </c>
      <c r="N356" t="s">
        <v>772</v>
      </c>
      <c r="O356" t="s">
        <v>773</v>
      </c>
      <c r="P356" t="s">
        <v>16</v>
      </c>
      <c r="Q356">
        <f t="shared" si="15"/>
        <v>0.48595750385414571</v>
      </c>
      <c r="R356">
        <f t="shared" si="16"/>
        <v>3.3514310610630739E-2</v>
      </c>
      <c r="S356">
        <f t="shared" si="17"/>
        <v>0.28476427557118855</v>
      </c>
    </row>
    <row r="357" spans="1:19" hidden="1" x14ac:dyDescent="0.2">
      <c r="A357">
        <v>101</v>
      </c>
      <c r="B357" t="s">
        <v>21</v>
      </c>
      <c r="C357">
        <v>-1</v>
      </c>
      <c r="D357">
        <v>8</v>
      </c>
      <c r="E357">
        <v>1037</v>
      </c>
      <c r="F357" t="b">
        <v>1</v>
      </c>
      <c r="G357">
        <v>51.503999999999998</v>
      </c>
      <c r="H357">
        <v>25</v>
      </c>
      <c r="I357">
        <v>4</v>
      </c>
      <c r="J357">
        <v>3.42</v>
      </c>
      <c r="K357" t="s">
        <v>1354</v>
      </c>
      <c r="L357">
        <v>0</v>
      </c>
      <c r="N357" t="s">
        <v>1355</v>
      </c>
      <c r="O357" t="s">
        <v>1356</v>
      </c>
      <c r="P357" t="s">
        <v>16</v>
      </c>
      <c r="Q357">
        <f t="shared" si="15"/>
        <v>0.48539919229574402</v>
      </c>
      <c r="R357">
        <f t="shared" si="16"/>
        <v>7.7663870767319051E-2</v>
      </c>
      <c r="S357">
        <f t="shared" si="17"/>
        <v>0.54005055958137005</v>
      </c>
    </row>
    <row r="358" spans="1:19" hidden="1" x14ac:dyDescent="0.2">
      <c r="A358">
        <v>7</v>
      </c>
      <c r="B358" t="s">
        <v>37</v>
      </c>
      <c r="C358">
        <v>-1</v>
      </c>
      <c r="D358">
        <v>1</v>
      </c>
      <c r="E358">
        <v>1020</v>
      </c>
      <c r="F358" t="b">
        <v>1</v>
      </c>
      <c r="G358">
        <v>59.76</v>
      </c>
      <c r="H358">
        <v>29</v>
      </c>
      <c r="I358">
        <v>10</v>
      </c>
      <c r="J358">
        <v>5.0999999999999996</v>
      </c>
      <c r="K358" t="s">
        <v>756</v>
      </c>
      <c r="L358">
        <v>0</v>
      </c>
      <c r="N358" t="s">
        <v>757</v>
      </c>
      <c r="O358" t="s">
        <v>758</v>
      </c>
      <c r="P358" t="s">
        <v>16</v>
      </c>
      <c r="Q358">
        <f t="shared" si="15"/>
        <v>0.48527443105756363</v>
      </c>
      <c r="R358">
        <f t="shared" si="16"/>
        <v>0.16733601070950468</v>
      </c>
      <c r="S358">
        <f t="shared" si="17"/>
        <v>0.81238440316659755</v>
      </c>
    </row>
    <row r="359" spans="1:19" x14ac:dyDescent="0.2">
      <c r="A359">
        <v>84</v>
      </c>
      <c r="B359" t="s">
        <v>37</v>
      </c>
      <c r="C359">
        <v>2</v>
      </c>
      <c r="D359">
        <v>6</v>
      </c>
      <c r="E359">
        <v>1035</v>
      </c>
      <c r="F359" t="b">
        <v>1</v>
      </c>
      <c r="G359">
        <v>53.636000000000003</v>
      </c>
      <c r="H359">
        <v>26</v>
      </c>
      <c r="I359">
        <v>0</v>
      </c>
      <c r="J359">
        <v>0</v>
      </c>
      <c r="K359" t="s">
        <v>1312</v>
      </c>
      <c r="L359">
        <v>0</v>
      </c>
      <c r="N359" t="s">
        <v>1313</v>
      </c>
      <c r="O359" t="s">
        <v>1314</v>
      </c>
      <c r="P359" t="s">
        <v>16</v>
      </c>
      <c r="Q359">
        <f t="shared" si="15"/>
        <v>0.4847490491460959</v>
      </c>
      <c r="R359">
        <f t="shared" si="16"/>
        <v>0</v>
      </c>
      <c r="S359">
        <f t="shared" si="17"/>
        <v>0</v>
      </c>
    </row>
    <row r="360" spans="1:19" x14ac:dyDescent="0.2">
      <c r="A360">
        <v>97</v>
      </c>
      <c r="B360" t="s">
        <v>33</v>
      </c>
      <c r="C360">
        <v>2</v>
      </c>
      <c r="D360">
        <v>7</v>
      </c>
      <c r="E360">
        <v>1016</v>
      </c>
      <c r="F360" t="b">
        <v>1</v>
      </c>
      <c r="G360">
        <v>55.847999999999999</v>
      </c>
      <c r="H360">
        <v>27</v>
      </c>
      <c r="I360">
        <v>3</v>
      </c>
      <c r="J360">
        <v>0.54</v>
      </c>
      <c r="K360" t="s">
        <v>628</v>
      </c>
      <c r="L360">
        <v>0</v>
      </c>
      <c r="N360" t="s">
        <v>629</v>
      </c>
      <c r="O360" t="s">
        <v>630</v>
      </c>
      <c r="P360" t="s">
        <v>16</v>
      </c>
      <c r="Q360">
        <f t="shared" si="15"/>
        <v>0.48345509239363987</v>
      </c>
      <c r="R360">
        <f t="shared" si="16"/>
        <v>5.3717232488182207E-2</v>
      </c>
      <c r="S360">
        <f t="shared" si="17"/>
        <v>0.41560159294145749</v>
      </c>
    </row>
    <row r="361" spans="1:19" hidden="1" x14ac:dyDescent="0.2">
      <c r="A361">
        <v>62</v>
      </c>
      <c r="B361" t="s">
        <v>33</v>
      </c>
      <c r="C361">
        <v>-1</v>
      </c>
      <c r="D361">
        <v>5</v>
      </c>
      <c r="E361">
        <v>1014</v>
      </c>
      <c r="F361" t="b">
        <v>1</v>
      </c>
      <c r="G361">
        <v>62.072000000000003</v>
      </c>
      <c r="H361">
        <v>30</v>
      </c>
      <c r="I361">
        <v>9</v>
      </c>
      <c r="J361">
        <v>11.34</v>
      </c>
      <c r="K361" t="s">
        <v>538</v>
      </c>
      <c r="L361">
        <v>0</v>
      </c>
      <c r="N361" t="s">
        <v>539</v>
      </c>
      <c r="O361" t="s">
        <v>540</v>
      </c>
      <c r="P361" t="s">
        <v>16</v>
      </c>
      <c r="Q361">
        <f t="shared" si="15"/>
        <v>0.48330970485887353</v>
      </c>
      <c r="R361">
        <f t="shared" si="16"/>
        <v>0.14499291145766208</v>
      </c>
      <c r="S361">
        <f t="shared" si="17"/>
        <v>0.76541308370267691</v>
      </c>
    </row>
    <row r="362" spans="1:19" x14ac:dyDescent="0.2">
      <c r="A362">
        <v>82</v>
      </c>
      <c r="B362" t="s">
        <v>29</v>
      </c>
      <c r="C362">
        <v>2</v>
      </c>
      <c r="D362">
        <v>6</v>
      </c>
      <c r="E362">
        <v>1015</v>
      </c>
      <c r="F362" t="b">
        <v>1</v>
      </c>
      <c r="G362">
        <v>55.988</v>
      </c>
      <c r="H362">
        <v>27</v>
      </c>
      <c r="I362">
        <v>1</v>
      </c>
      <c r="J362">
        <v>0.12</v>
      </c>
      <c r="K362" t="s">
        <v>589</v>
      </c>
      <c r="L362">
        <v>0</v>
      </c>
      <c r="N362" t="s">
        <v>590</v>
      </c>
      <c r="O362" t="s">
        <v>591</v>
      </c>
      <c r="P362" t="s">
        <v>16</v>
      </c>
      <c r="Q362">
        <f t="shared" si="15"/>
        <v>0.4822461956133457</v>
      </c>
      <c r="R362">
        <f t="shared" si="16"/>
        <v>1.7860970207901693E-2</v>
      </c>
      <c r="S362">
        <f t="shared" si="17"/>
        <v>0.16356770651738506</v>
      </c>
    </row>
    <row r="363" spans="1:19" hidden="1" x14ac:dyDescent="0.2">
      <c r="A363">
        <v>59</v>
      </c>
      <c r="B363" t="s">
        <v>21</v>
      </c>
      <c r="C363">
        <v>-1</v>
      </c>
      <c r="D363">
        <v>5</v>
      </c>
      <c r="E363">
        <v>1004</v>
      </c>
      <c r="F363" t="b">
        <v>1</v>
      </c>
      <c r="G363">
        <v>54.46</v>
      </c>
      <c r="H363">
        <v>26</v>
      </c>
      <c r="I363">
        <v>4</v>
      </c>
      <c r="J363">
        <v>3.24</v>
      </c>
      <c r="K363" t="s">
        <v>170</v>
      </c>
      <c r="L363">
        <v>0</v>
      </c>
      <c r="N363" t="s">
        <v>171</v>
      </c>
      <c r="O363" t="s">
        <v>172</v>
      </c>
      <c r="P363" t="s">
        <v>16</v>
      </c>
      <c r="Q363">
        <f t="shared" si="15"/>
        <v>0.47741461623209697</v>
      </c>
      <c r="R363">
        <f t="shared" si="16"/>
        <v>7.3448402497245685E-2</v>
      </c>
      <c r="S363">
        <f t="shared" si="17"/>
        <v>0.52024706434230072</v>
      </c>
    </row>
    <row r="364" spans="1:19" hidden="1" x14ac:dyDescent="0.2">
      <c r="A364">
        <v>116</v>
      </c>
      <c r="B364" t="s">
        <v>25</v>
      </c>
      <c r="C364">
        <v>-1</v>
      </c>
      <c r="D364">
        <v>9</v>
      </c>
      <c r="E364">
        <v>1038</v>
      </c>
      <c r="F364" t="b">
        <v>1</v>
      </c>
      <c r="G364">
        <v>54.584000000000003</v>
      </c>
      <c r="H364">
        <v>26</v>
      </c>
      <c r="I364">
        <v>5</v>
      </c>
      <c r="J364">
        <v>4.5</v>
      </c>
      <c r="K364" t="s">
        <v>1393</v>
      </c>
      <c r="L364">
        <v>0</v>
      </c>
      <c r="N364" t="s">
        <v>1394</v>
      </c>
      <c r="O364" t="s">
        <v>1395</v>
      </c>
      <c r="P364" t="s">
        <v>16</v>
      </c>
      <c r="Q364">
        <f t="shared" si="15"/>
        <v>0.47633006009086909</v>
      </c>
      <c r="R364">
        <f t="shared" si="16"/>
        <v>9.1601934632859441E-2</v>
      </c>
      <c r="S364">
        <f t="shared" si="17"/>
        <v>0.5998914310504202</v>
      </c>
    </row>
    <row r="365" spans="1:19" x14ac:dyDescent="0.2">
      <c r="A365">
        <v>70</v>
      </c>
      <c r="B365" t="s">
        <v>37</v>
      </c>
      <c r="C365">
        <v>2</v>
      </c>
      <c r="D365">
        <v>5</v>
      </c>
      <c r="E365">
        <v>1014</v>
      </c>
      <c r="F365" t="b">
        <v>1</v>
      </c>
      <c r="G365">
        <v>61.06</v>
      </c>
      <c r="H365">
        <v>29</v>
      </c>
      <c r="I365">
        <v>1</v>
      </c>
      <c r="J365">
        <v>0.12</v>
      </c>
      <c r="K365" t="s">
        <v>559</v>
      </c>
      <c r="L365">
        <v>0</v>
      </c>
      <c r="N365" t="s">
        <v>560</v>
      </c>
      <c r="O365" t="s">
        <v>561</v>
      </c>
      <c r="P365" t="s">
        <v>16</v>
      </c>
      <c r="Q365">
        <f t="shared" si="15"/>
        <v>0.47494267933180478</v>
      </c>
      <c r="R365">
        <f t="shared" si="16"/>
        <v>1.6377333770062234E-2</v>
      </c>
      <c r="S365">
        <f t="shared" si="17"/>
        <v>0.15106557849748881</v>
      </c>
    </row>
    <row r="366" spans="1:19" x14ac:dyDescent="0.2">
      <c r="A366">
        <v>136</v>
      </c>
      <c r="B366" t="s">
        <v>21</v>
      </c>
      <c r="C366">
        <v>2</v>
      </c>
      <c r="D366">
        <v>10</v>
      </c>
      <c r="E366">
        <v>1029</v>
      </c>
      <c r="F366" t="b">
        <v>1</v>
      </c>
      <c r="G366">
        <v>52.752000000000002</v>
      </c>
      <c r="H366">
        <v>25</v>
      </c>
      <c r="I366">
        <v>0</v>
      </c>
      <c r="J366">
        <v>0</v>
      </c>
      <c r="K366" t="s">
        <v>1084</v>
      </c>
      <c r="L366">
        <v>0</v>
      </c>
      <c r="N366" t="s">
        <v>1085</v>
      </c>
      <c r="O366" t="s">
        <v>1086</v>
      </c>
      <c r="P366" t="s">
        <v>16</v>
      </c>
      <c r="Q366">
        <f t="shared" si="15"/>
        <v>0.47391568092205033</v>
      </c>
      <c r="R366">
        <f t="shared" si="16"/>
        <v>0</v>
      </c>
      <c r="S366">
        <f t="shared" si="17"/>
        <v>0</v>
      </c>
    </row>
    <row r="367" spans="1:19" x14ac:dyDescent="0.2">
      <c r="A367">
        <v>41</v>
      </c>
      <c r="B367" t="s">
        <v>33</v>
      </c>
      <c r="C367">
        <v>2</v>
      </c>
      <c r="D367">
        <v>3</v>
      </c>
      <c r="E367">
        <v>1002</v>
      </c>
      <c r="F367" t="b">
        <v>1</v>
      </c>
      <c r="G367">
        <v>61.204000000000001</v>
      </c>
      <c r="H367">
        <v>29</v>
      </c>
      <c r="I367">
        <v>4</v>
      </c>
      <c r="J367">
        <v>2.46</v>
      </c>
      <c r="K367" t="s">
        <v>125</v>
      </c>
      <c r="L367">
        <v>0</v>
      </c>
      <c r="N367" t="s">
        <v>126</v>
      </c>
      <c r="O367" t="s">
        <v>127</v>
      </c>
      <c r="P367" t="s">
        <v>16</v>
      </c>
      <c r="Q367">
        <f t="shared" si="15"/>
        <v>0.47382524018038036</v>
      </c>
      <c r="R367">
        <f t="shared" si="16"/>
        <v>6.5355205542121431E-2</v>
      </c>
      <c r="S367">
        <f t="shared" si="17"/>
        <v>0.47980526931508982</v>
      </c>
    </row>
    <row r="368" spans="1:19" hidden="1" x14ac:dyDescent="0.2">
      <c r="A368">
        <v>118</v>
      </c>
      <c r="B368" t="s">
        <v>33</v>
      </c>
      <c r="C368">
        <v>-1</v>
      </c>
      <c r="D368">
        <v>9</v>
      </c>
      <c r="E368">
        <v>1028</v>
      </c>
      <c r="F368" t="b">
        <v>1</v>
      </c>
      <c r="G368">
        <v>69.823999999999998</v>
      </c>
      <c r="H368">
        <v>33</v>
      </c>
      <c r="I368">
        <v>11</v>
      </c>
      <c r="J368">
        <v>9.66</v>
      </c>
      <c r="K368" t="s">
        <v>1039</v>
      </c>
      <c r="L368">
        <v>0</v>
      </c>
      <c r="N368" t="s">
        <v>1040</v>
      </c>
      <c r="O368" t="s">
        <v>1041</v>
      </c>
      <c r="P368" t="s">
        <v>16</v>
      </c>
      <c r="Q368">
        <f t="shared" si="15"/>
        <v>0.47261686526122826</v>
      </c>
      <c r="R368">
        <f t="shared" si="16"/>
        <v>0.15753895508707608</v>
      </c>
      <c r="S368">
        <f t="shared" si="17"/>
        <v>0.7930730715866019</v>
      </c>
    </row>
    <row r="369" spans="1:19" hidden="1" x14ac:dyDescent="0.2">
      <c r="A369">
        <v>75</v>
      </c>
      <c r="B369" t="s">
        <v>29</v>
      </c>
      <c r="C369">
        <v>-1</v>
      </c>
      <c r="D369">
        <v>6</v>
      </c>
      <c r="E369">
        <v>1015</v>
      </c>
      <c r="F369" t="b">
        <v>1</v>
      </c>
      <c r="G369">
        <v>59.308</v>
      </c>
      <c r="H369">
        <v>28</v>
      </c>
      <c r="I369">
        <v>5</v>
      </c>
      <c r="J369">
        <v>3.36</v>
      </c>
      <c r="K369" t="s">
        <v>571</v>
      </c>
      <c r="L369">
        <v>0</v>
      </c>
      <c r="N369" t="s">
        <v>572</v>
      </c>
      <c r="O369" t="s">
        <v>573</v>
      </c>
      <c r="P369" t="s">
        <v>16</v>
      </c>
      <c r="Q369">
        <f t="shared" si="15"/>
        <v>0.47211168813650772</v>
      </c>
      <c r="R369">
        <f t="shared" si="16"/>
        <v>8.4305658595804953E-2</v>
      </c>
      <c r="S369">
        <f t="shared" si="17"/>
        <v>0.56960702227314164</v>
      </c>
    </row>
    <row r="370" spans="1:19" x14ac:dyDescent="0.2">
      <c r="A370">
        <v>42</v>
      </c>
      <c r="B370" t="s">
        <v>37</v>
      </c>
      <c r="C370">
        <v>2</v>
      </c>
      <c r="D370">
        <v>3</v>
      </c>
      <c r="E370">
        <v>1022</v>
      </c>
      <c r="F370" t="b">
        <v>1</v>
      </c>
      <c r="G370">
        <v>40.28</v>
      </c>
      <c r="H370">
        <v>19</v>
      </c>
      <c r="I370">
        <v>1</v>
      </c>
      <c r="J370">
        <v>0.06</v>
      </c>
      <c r="K370" t="s">
        <v>846</v>
      </c>
      <c r="L370">
        <v>0</v>
      </c>
      <c r="N370" t="s">
        <v>847</v>
      </c>
      <c r="O370" t="s">
        <v>848</v>
      </c>
      <c r="P370" t="s">
        <v>16</v>
      </c>
      <c r="Q370">
        <f t="shared" si="15"/>
        <v>0.47169811320754718</v>
      </c>
      <c r="R370">
        <f t="shared" si="16"/>
        <v>2.4826216484607744E-2</v>
      </c>
      <c r="S370">
        <f t="shared" si="17"/>
        <v>0.21984461285149548</v>
      </c>
    </row>
    <row r="371" spans="1:19" hidden="1" x14ac:dyDescent="0.2">
      <c r="A371">
        <v>35</v>
      </c>
      <c r="B371" t="s">
        <v>37</v>
      </c>
      <c r="C371">
        <v>-1</v>
      </c>
      <c r="D371">
        <v>3</v>
      </c>
      <c r="E371">
        <v>1032</v>
      </c>
      <c r="F371" t="b">
        <v>1</v>
      </c>
      <c r="G371">
        <v>57.475999999999999</v>
      </c>
      <c r="H371">
        <v>27</v>
      </c>
      <c r="I371">
        <v>4</v>
      </c>
      <c r="J371">
        <v>3.24</v>
      </c>
      <c r="K371" t="s">
        <v>1186</v>
      </c>
      <c r="L371">
        <v>0</v>
      </c>
      <c r="N371" t="s">
        <v>1187</v>
      </c>
      <c r="O371" t="s">
        <v>1188</v>
      </c>
      <c r="P371" t="s">
        <v>16</v>
      </c>
      <c r="Q371">
        <f t="shared" si="15"/>
        <v>0.46976129166956643</v>
      </c>
      <c r="R371">
        <f t="shared" si="16"/>
        <v>6.9594265432528363E-2</v>
      </c>
      <c r="S371">
        <f t="shared" si="17"/>
        <v>0.5013957850334807</v>
      </c>
    </row>
    <row r="372" spans="1:19" x14ac:dyDescent="0.2">
      <c r="A372">
        <v>125</v>
      </c>
      <c r="B372" t="s">
        <v>33</v>
      </c>
      <c r="C372">
        <v>2</v>
      </c>
      <c r="D372">
        <v>9</v>
      </c>
      <c r="E372">
        <v>1018</v>
      </c>
      <c r="F372" t="b">
        <v>1</v>
      </c>
      <c r="G372">
        <v>53.235999999999997</v>
      </c>
      <c r="H372">
        <v>25</v>
      </c>
      <c r="I372">
        <v>1</v>
      </c>
      <c r="J372">
        <v>0.06</v>
      </c>
      <c r="K372" t="s">
        <v>699</v>
      </c>
      <c r="L372">
        <v>0</v>
      </c>
      <c r="N372" t="s">
        <v>700</v>
      </c>
      <c r="O372" t="s">
        <v>701</v>
      </c>
      <c r="P372" t="s">
        <v>16</v>
      </c>
      <c r="Q372">
        <f t="shared" si="15"/>
        <v>0.46960703283492378</v>
      </c>
      <c r="R372">
        <f t="shared" si="16"/>
        <v>1.8784281313396951E-2</v>
      </c>
      <c r="S372">
        <f t="shared" si="17"/>
        <v>0.17125503518121998</v>
      </c>
    </row>
    <row r="373" spans="1:19" x14ac:dyDescent="0.2">
      <c r="A373">
        <v>140</v>
      </c>
      <c r="B373" t="s">
        <v>37</v>
      </c>
      <c r="C373">
        <v>2</v>
      </c>
      <c r="D373">
        <v>10</v>
      </c>
      <c r="E373">
        <v>1019</v>
      </c>
      <c r="F373" t="b">
        <v>1</v>
      </c>
      <c r="G373">
        <v>57.552</v>
      </c>
      <c r="H373">
        <v>27</v>
      </c>
      <c r="I373">
        <v>0</v>
      </c>
      <c r="J373">
        <v>0</v>
      </c>
      <c r="K373" t="s">
        <v>738</v>
      </c>
      <c r="L373">
        <v>0</v>
      </c>
      <c r="N373" t="s">
        <v>739</v>
      </c>
      <c r="O373" t="s">
        <v>740</v>
      </c>
      <c r="P373" t="s">
        <v>16</v>
      </c>
      <c r="Q373">
        <f t="shared" si="15"/>
        <v>0.46914095079232693</v>
      </c>
      <c r="R373">
        <f t="shared" si="16"/>
        <v>0</v>
      </c>
      <c r="S373">
        <f t="shared" si="17"/>
        <v>0</v>
      </c>
    </row>
    <row r="374" spans="1:19" hidden="1" x14ac:dyDescent="0.2">
      <c r="A374">
        <v>46</v>
      </c>
      <c r="B374" t="s">
        <v>25</v>
      </c>
      <c r="C374">
        <v>-1</v>
      </c>
      <c r="D374">
        <v>4</v>
      </c>
      <c r="E374">
        <v>1033</v>
      </c>
      <c r="F374" t="b">
        <v>1</v>
      </c>
      <c r="G374">
        <v>46.9</v>
      </c>
      <c r="H374">
        <v>22</v>
      </c>
      <c r="I374">
        <v>4</v>
      </c>
      <c r="J374">
        <v>5.58</v>
      </c>
      <c r="K374" t="s">
        <v>1213</v>
      </c>
      <c r="L374">
        <v>0</v>
      </c>
      <c r="N374" t="s">
        <v>1214</v>
      </c>
      <c r="O374" t="s">
        <v>1215</v>
      </c>
      <c r="P374" t="s">
        <v>16</v>
      </c>
      <c r="Q374">
        <f t="shared" si="15"/>
        <v>0.46908315565031983</v>
      </c>
      <c r="R374">
        <f t="shared" si="16"/>
        <v>8.5287846481876331E-2</v>
      </c>
      <c r="S374">
        <f t="shared" si="17"/>
        <v>0.57381359790766195</v>
      </c>
    </row>
    <row r="375" spans="1:19" x14ac:dyDescent="0.2">
      <c r="A375">
        <v>39</v>
      </c>
      <c r="B375" t="s">
        <v>25</v>
      </c>
      <c r="C375">
        <v>2</v>
      </c>
      <c r="D375">
        <v>3</v>
      </c>
      <c r="E375">
        <v>1022</v>
      </c>
      <c r="F375" t="b">
        <v>1</v>
      </c>
      <c r="G375">
        <v>44.963999999999999</v>
      </c>
      <c r="H375">
        <v>21</v>
      </c>
      <c r="I375">
        <v>1</v>
      </c>
      <c r="J375">
        <v>0.06</v>
      </c>
      <c r="K375" t="s">
        <v>837</v>
      </c>
      <c r="L375">
        <v>0</v>
      </c>
      <c r="N375" t="s">
        <v>838</v>
      </c>
      <c r="O375" t="s">
        <v>839</v>
      </c>
      <c r="P375" t="s">
        <v>16</v>
      </c>
      <c r="Q375">
        <f t="shared" si="15"/>
        <v>0.4670402989057913</v>
      </c>
      <c r="R375">
        <f t="shared" si="16"/>
        <v>2.224001423360911E-2</v>
      </c>
      <c r="S375">
        <f t="shared" si="17"/>
        <v>0.19940505169995137</v>
      </c>
    </row>
    <row r="376" spans="1:19" x14ac:dyDescent="0.2">
      <c r="A376">
        <v>52</v>
      </c>
      <c r="B376" t="s">
        <v>21</v>
      </c>
      <c r="C376">
        <v>2</v>
      </c>
      <c r="D376">
        <v>4</v>
      </c>
      <c r="E376">
        <v>1023</v>
      </c>
      <c r="F376" t="b">
        <v>1</v>
      </c>
      <c r="G376">
        <v>62.384</v>
      </c>
      <c r="H376">
        <v>29</v>
      </c>
      <c r="I376">
        <v>2</v>
      </c>
      <c r="J376">
        <v>1.62</v>
      </c>
      <c r="K376" t="s">
        <v>870</v>
      </c>
      <c r="L376">
        <v>0</v>
      </c>
      <c r="N376" t="s">
        <v>871</v>
      </c>
      <c r="O376" t="s">
        <v>872</v>
      </c>
      <c r="P376" t="s">
        <v>16</v>
      </c>
      <c r="Q376">
        <f t="shared" si="15"/>
        <v>0.4648627853295717</v>
      </c>
      <c r="R376">
        <f t="shared" si="16"/>
        <v>3.2059502436522183E-2</v>
      </c>
      <c r="S376">
        <f t="shared" si="17"/>
        <v>0.27428291077365907</v>
      </c>
    </row>
    <row r="377" spans="1:19" hidden="1" x14ac:dyDescent="0.2">
      <c r="A377">
        <v>87</v>
      </c>
      <c r="B377" t="s">
        <v>21</v>
      </c>
      <c r="C377">
        <v>-1</v>
      </c>
      <c r="D377">
        <v>7</v>
      </c>
      <c r="E377">
        <v>1016</v>
      </c>
      <c r="F377" t="b">
        <v>1</v>
      </c>
      <c r="G377">
        <v>58.116</v>
      </c>
      <c r="H377">
        <v>27</v>
      </c>
      <c r="I377">
        <v>5</v>
      </c>
      <c r="J377">
        <v>6.06</v>
      </c>
      <c r="K377" t="s">
        <v>601</v>
      </c>
      <c r="L377">
        <v>0</v>
      </c>
      <c r="N377" t="s">
        <v>602</v>
      </c>
      <c r="O377" t="s">
        <v>603</v>
      </c>
      <c r="P377" t="s">
        <v>16</v>
      </c>
      <c r="Q377">
        <f t="shared" si="15"/>
        <v>0.46458806524881274</v>
      </c>
      <c r="R377">
        <f t="shared" si="16"/>
        <v>8.6034826897928282E-2</v>
      </c>
      <c r="S377">
        <f t="shared" si="17"/>
        <v>0.57698526624877444</v>
      </c>
    </row>
    <row r="378" spans="1:19" hidden="1" x14ac:dyDescent="0.2">
      <c r="A378">
        <v>133</v>
      </c>
      <c r="B378" t="s">
        <v>37</v>
      </c>
      <c r="C378">
        <v>-1</v>
      </c>
      <c r="D378">
        <v>10</v>
      </c>
      <c r="E378">
        <v>1009</v>
      </c>
      <c r="F378" t="b">
        <v>1</v>
      </c>
      <c r="G378">
        <v>56.003999999999998</v>
      </c>
      <c r="H378">
        <v>26</v>
      </c>
      <c r="I378">
        <v>8</v>
      </c>
      <c r="J378">
        <v>5.34</v>
      </c>
      <c r="K378" t="s">
        <v>362</v>
      </c>
      <c r="L378">
        <v>0</v>
      </c>
      <c r="N378" t="s">
        <v>363</v>
      </c>
      <c r="O378" t="s">
        <v>364</v>
      </c>
      <c r="P378" t="s">
        <v>16</v>
      </c>
      <c r="Q378">
        <f t="shared" si="15"/>
        <v>0.46425255338904364</v>
      </c>
      <c r="R378">
        <f t="shared" si="16"/>
        <v>0.14284693950432112</v>
      </c>
      <c r="S378">
        <f t="shared" si="17"/>
        <v>0.76032450986990829</v>
      </c>
    </row>
    <row r="379" spans="1:19" hidden="1" x14ac:dyDescent="0.2">
      <c r="A379">
        <v>19</v>
      </c>
      <c r="B379" t="s">
        <v>29</v>
      </c>
      <c r="C379">
        <v>-1</v>
      </c>
      <c r="D379">
        <v>2</v>
      </c>
      <c r="E379">
        <v>1031</v>
      </c>
      <c r="F379" t="b">
        <v>1</v>
      </c>
      <c r="G379">
        <v>66.808000000000007</v>
      </c>
      <c r="H379">
        <v>31</v>
      </c>
      <c r="I379">
        <v>10</v>
      </c>
      <c r="J379">
        <v>8.0399999999999991</v>
      </c>
      <c r="K379" t="s">
        <v>1144</v>
      </c>
      <c r="L379">
        <v>0</v>
      </c>
      <c r="N379" t="s">
        <v>1145</v>
      </c>
      <c r="O379" t="s">
        <v>1146</v>
      </c>
      <c r="P379" t="s">
        <v>16</v>
      </c>
      <c r="Q379">
        <f t="shared" si="15"/>
        <v>0.4640162854747934</v>
      </c>
      <c r="R379">
        <f t="shared" si="16"/>
        <v>0.14968267273380431</v>
      </c>
      <c r="S379">
        <f t="shared" si="17"/>
        <v>0.77616066240270543</v>
      </c>
    </row>
    <row r="380" spans="1:19" x14ac:dyDescent="0.2">
      <c r="A380">
        <v>123</v>
      </c>
      <c r="B380" t="s">
        <v>25</v>
      </c>
      <c r="C380">
        <v>2</v>
      </c>
      <c r="D380">
        <v>9</v>
      </c>
      <c r="E380">
        <v>1028</v>
      </c>
      <c r="F380" t="b">
        <v>1</v>
      </c>
      <c r="G380">
        <v>64.808000000000007</v>
      </c>
      <c r="H380">
        <v>30</v>
      </c>
      <c r="I380">
        <v>1</v>
      </c>
      <c r="J380">
        <v>0.12</v>
      </c>
      <c r="K380" t="s">
        <v>1051</v>
      </c>
      <c r="L380">
        <v>0</v>
      </c>
      <c r="N380" t="s">
        <v>1052</v>
      </c>
      <c r="O380" t="s">
        <v>1053</v>
      </c>
      <c r="P380" t="s">
        <v>16</v>
      </c>
      <c r="Q380">
        <f t="shared" si="15"/>
        <v>0.46290581409702503</v>
      </c>
      <c r="R380">
        <f t="shared" si="16"/>
        <v>1.5430193803234167E-2</v>
      </c>
      <c r="S380">
        <f t="shared" si="17"/>
        <v>0.14298678294240386</v>
      </c>
    </row>
    <row r="381" spans="1:19" x14ac:dyDescent="0.2">
      <c r="A381">
        <v>139</v>
      </c>
      <c r="B381" t="s">
        <v>33</v>
      </c>
      <c r="C381">
        <v>2</v>
      </c>
      <c r="D381">
        <v>10</v>
      </c>
      <c r="E381">
        <v>1019</v>
      </c>
      <c r="F381" t="b">
        <v>1</v>
      </c>
      <c r="G381">
        <v>64.947999999999993</v>
      </c>
      <c r="H381">
        <v>30</v>
      </c>
      <c r="I381">
        <v>2</v>
      </c>
      <c r="J381">
        <v>0.36</v>
      </c>
      <c r="K381" t="s">
        <v>735</v>
      </c>
      <c r="L381">
        <v>0</v>
      </c>
      <c r="N381" t="s">
        <v>736</v>
      </c>
      <c r="O381" t="s">
        <v>737</v>
      </c>
      <c r="P381" t="s">
        <v>16</v>
      </c>
      <c r="Q381">
        <f t="shared" si="15"/>
        <v>0.46190798792880461</v>
      </c>
      <c r="R381">
        <f t="shared" si="16"/>
        <v>3.079386586192031E-2</v>
      </c>
      <c r="S381">
        <f t="shared" si="17"/>
        <v>0.26503959988787074</v>
      </c>
    </row>
    <row r="382" spans="1:19" x14ac:dyDescent="0.2">
      <c r="A382">
        <v>67</v>
      </c>
      <c r="B382" t="s">
        <v>25</v>
      </c>
      <c r="C382">
        <v>2</v>
      </c>
      <c r="D382">
        <v>5</v>
      </c>
      <c r="E382">
        <v>1004</v>
      </c>
      <c r="F382" t="b">
        <v>1</v>
      </c>
      <c r="G382">
        <v>56.363999999999997</v>
      </c>
      <c r="H382">
        <v>26</v>
      </c>
      <c r="I382">
        <v>3</v>
      </c>
      <c r="J382">
        <v>1.38</v>
      </c>
      <c r="K382" t="s">
        <v>191</v>
      </c>
      <c r="L382">
        <v>0</v>
      </c>
      <c r="N382" t="s">
        <v>192</v>
      </c>
      <c r="O382" t="s">
        <v>193</v>
      </c>
      <c r="P382" t="s">
        <v>16</v>
      </c>
      <c r="Q382">
        <f t="shared" si="15"/>
        <v>0.46128734653324821</v>
      </c>
      <c r="R382">
        <f t="shared" si="16"/>
        <v>5.3225463061528637E-2</v>
      </c>
      <c r="S382">
        <f t="shared" si="17"/>
        <v>0.41272062218505379</v>
      </c>
    </row>
    <row r="383" spans="1:19" hidden="1" x14ac:dyDescent="0.2">
      <c r="A383">
        <v>4</v>
      </c>
      <c r="B383" t="s">
        <v>25</v>
      </c>
      <c r="C383">
        <v>-1</v>
      </c>
      <c r="D383">
        <v>1</v>
      </c>
      <c r="E383">
        <v>1030</v>
      </c>
      <c r="F383" t="b">
        <v>1</v>
      </c>
      <c r="G383">
        <v>62.896000000000001</v>
      </c>
      <c r="H383">
        <v>29</v>
      </c>
      <c r="I383">
        <v>6</v>
      </c>
      <c r="J383">
        <v>9.48</v>
      </c>
      <c r="K383" t="s">
        <v>1105</v>
      </c>
      <c r="L383">
        <v>0</v>
      </c>
      <c r="N383" t="s">
        <v>1106</v>
      </c>
      <c r="O383" t="s">
        <v>1107</v>
      </c>
      <c r="P383" t="s">
        <v>16</v>
      </c>
      <c r="Q383">
        <f t="shared" si="15"/>
        <v>0.4610786059526838</v>
      </c>
      <c r="R383">
        <f t="shared" si="16"/>
        <v>9.5395573645382856E-2</v>
      </c>
      <c r="S383">
        <f t="shared" si="17"/>
        <v>0.61478580026309104</v>
      </c>
    </row>
    <row r="384" spans="1:19" x14ac:dyDescent="0.2">
      <c r="A384">
        <v>138</v>
      </c>
      <c r="B384" t="s">
        <v>29</v>
      </c>
      <c r="C384">
        <v>2</v>
      </c>
      <c r="D384">
        <v>10</v>
      </c>
      <c r="E384">
        <v>1019</v>
      </c>
      <c r="F384" t="b">
        <v>1</v>
      </c>
      <c r="G384">
        <v>65.123999999999995</v>
      </c>
      <c r="H384">
        <v>30</v>
      </c>
      <c r="I384">
        <v>2</v>
      </c>
      <c r="J384">
        <v>0.24</v>
      </c>
      <c r="K384" t="s">
        <v>732</v>
      </c>
      <c r="L384">
        <v>0</v>
      </c>
      <c r="N384" t="s">
        <v>733</v>
      </c>
      <c r="O384" t="s">
        <v>734</v>
      </c>
      <c r="P384" t="s">
        <v>16</v>
      </c>
      <c r="Q384">
        <f t="shared" si="15"/>
        <v>0.46065966463976415</v>
      </c>
      <c r="R384">
        <f t="shared" si="16"/>
        <v>3.0710644309317612E-2</v>
      </c>
      <c r="S384">
        <f t="shared" si="17"/>
        <v>0.2644276998508428</v>
      </c>
    </row>
    <row r="385" spans="1:19" x14ac:dyDescent="0.2">
      <c r="A385">
        <v>56</v>
      </c>
      <c r="B385" t="s">
        <v>37</v>
      </c>
      <c r="C385">
        <v>2</v>
      </c>
      <c r="D385">
        <v>4</v>
      </c>
      <c r="E385">
        <v>1023</v>
      </c>
      <c r="F385" t="b">
        <v>1</v>
      </c>
      <c r="G385">
        <v>60.787999999999997</v>
      </c>
      <c r="H385">
        <v>28</v>
      </c>
      <c r="I385">
        <v>4</v>
      </c>
      <c r="J385">
        <v>0.48</v>
      </c>
      <c r="K385" t="s">
        <v>882</v>
      </c>
      <c r="L385">
        <v>0</v>
      </c>
      <c r="N385" t="s">
        <v>883</v>
      </c>
      <c r="O385" t="s">
        <v>884</v>
      </c>
      <c r="P385" t="s">
        <v>16</v>
      </c>
      <c r="Q385">
        <f t="shared" si="15"/>
        <v>0.46061722708429298</v>
      </c>
      <c r="R385">
        <f t="shared" si="16"/>
        <v>6.580246101204186E-2</v>
      </c>
      <c r="S385">
        <f t="shared" si="17"/>
        <v>0.48212667352892291</v>
      </c>
    </row>
    <row r="386" spans="1:19" x14ac:dyDescent="0.2">
      <c r="A386">
        <v>139</v>
      </c>
      <c r="B386" t="s">
        <v>33</v>
      </c>
      <c r="C386">
        <v>2</v>
      </c>
      <c r="D386">
        <v>10</v>
      </c>
      <c r="E386">
        <v>1029</v>
      </c>
      <c r="F386" t="b">
        <v>1</v>
      </c>
      <c r="G386">
        <v>54.316000000000003</v>
      </c>
      <c r="H386">
        <v>25</v>
      </c>
      <c r="I386">
        <v>0</v>
      </c>
      <c r="J386">
        <v>0</v>
      </c>
      <c r="K386" t="s">
        <v>1093</v>
      </c>
      <c r="L386">
        <v>0</v>
      </c>
      <c r="N386" t="s">
        <v>1094</v>
      </c>
      <c r="O386" t="s">
        <v>1095</v>
      </c>
      <c r="P386" t="s">
        <v>16</v>
      </c>
      <c r="Q386">
        <f t="shared" ref="Q386:Q449" si="18">H386/G386</f>
        <v>0.46026953383901609</v>
      </c>
      <c r="R386">
        <f t="shared" ref="R386:R449" si="19">I386/G386</f>
        <v>0</v>
      </c>
      <c r="S386">
        <f t="shared" ref="S386:S449" si="20">1-EXP((-10*R386))</f>
        <v>0</v>
      </c>
    </row>
    <row r="387" spans="1:19" hidden="1" x14ac:dyDescent="0.2">
      <c r="A387">
        <v>5</v>
      </c>
      <c r="B387" t="s">
        <v>29</v>
      </c>
      <c r="C387">
        <v>-1</v>
      </c>
      <c r="D387">
        <v>1</v>
      </c>
      <c r="E387">
        <v>1020</v>
      </c>
      <c r="F387" t="b">
        <v>1</v>
      </c>
      <c r="G387">
        <v>65.183999999999997</v>
      </c>
      <c r="H387">
        <v>30</v>
      </c>
      <c r="I387">
        <v>9</v>
      </c>
      <c r="J387">
        <v>5.94</v>
      </c>
      <c r="K387" t="s">
        <v>750</v>
      </c>
      <c r="L387">
        <v>0</v>
      </c>
      <c r="N387" t="s">
        <v>751</v>
      </c>
      <c r="O387" t="s">
        <v>752</v>
      </c>
      <c r="P387" t="s">
        <v>16</v>
      </c>
      <c r="Q387">
        <f t="shared" si="18"/>
        <v>0.46023564064801181</v>
      </c>
      <c r="R387">
        <f t="shared" si="19"/>
        <v>0.13807069219440354</v>
      </c>
      <c r="S387">
        <f t="shared" si="20"/>
        <v>0.74859923049309884</v>
      </c>
    </row>
    <row r="388" spans="1:19" x14ac:dyDescent="0.2">
      <c r="A388">
        <v>122</v>
      </c>
      <c r="B388" t="s">
        <v>21</v>
      </c>
      <c r="C388">
        <v>2</v>
      </c>
      <c r="D388">
        <v>9</v>
      </c>
      <c r="E388">
        <v>1008</v>
      </c>
      <c r="F388" t="b">
        <v>1</v>
      </c>
      <c r="G388">
        <v>52.195999999999998</v>
      </c>
      <c r="H388">
        <v>24</v>
      </c>
      <c r="I388">
        <v>0</v>
      </c>
      <c r="J388">
        <v>0</v>
      </c>
      <c r="K388" t="s">
        <v>332</v>
      </c>
      <c r="L388">
        <v>0</v>
      </c>
      <c r="N388" t="s">
        <v>333</v>
      </c>
      <c r="O388" t="s">
        <v>334</v>
      </c>
      <c r="P388" t="s">
        <v>16</v>
      </c>
      <c r="Q388">
        <f t="shared" si="18"/>
        <v>0.4598053490688942</v>
      </c>
      <c r="R388">
        <f t="shared" si="19"/>
        <v>0</v>
      </c>
      <c r="S388">
        <f t="shared" si="20"/>
        <v>0</v>
      </c>
    </row>
    <row r="389" spans="1:19" x14ac:dyDescent="0.2">
      <c r="A389">
        <v>124</v>
      </c>
      <c r="B389" t="s">
        <v>29</v>
      </c>
      <c r="C389">
        <v>2</v>
      </c>
      <c r="D389">
        <v>9</v>
      </c>
      <c r="E389">
        <v>1018</v>
      </c>
      <c r="F389" t="b">
        <v>1</v>
      </c>
      <c r="G389">
        <v>52.2</v>
      </c>
      <c r="H389">
        <v>24</v>
      </c>
      <c r="I389">
        <v>1</v>
      </c>
      <c r="J389">
        <v>0.18</v>
      </c>
      <c r="K389" t="s">
        <v>696</v>
      </c>
      <c r="L389">
        <v>0</v>
      </c>
      <c r="N389" t="s">
        <v>697</v>
      </c>
      <c r="O389" t="s">
        <v>698</v>
      </c>
      <c r="P389" t="s">
        <v>16</v>
      </c>
      <c r="Q389">
        <f t="shared" si="18"/>
        <v>0.45977011494252873</v>
      </c>
      <c r="R389">
        <f t="shared" si="19"/>
        <v>1.9157088122605363E-2</v>
      </c>
      <c r="S389">
        <f t="shared" si="20"/>
        <v>0.1743389008387014</v>
      </c>
    </row>
    <row r="390" spans="1:19" x14ac:dyDescent="0.2">
      <c r="A390">
        <v>10</v>
      </c>
      <c r="B390" t="s">
        <v>21</v>
      </c>
      <c r="C390">
        <v>2</v>
      </c>
      <c r="D390">
        <v>1</v>
      </c>
      <c r="E390">
        <v>1020</v>
      </c>
      <c r="F390" t="b">
        <v>1</v>
      </c>
      <c r="G390">
        <v>65.28</v>
      </c>
      <c r="H390">
        <v>30</v>
      </c>
      <c r="I390">
        <v>1</v>
      </c>
      <c r="J390">
        <v>1.1399999999999999</v>
      </c>
      <c r="K390" t="s">
        <v>762</v>
      </c>
      <c r="L390">
        <v>0</v>
      </c>
      <c r="N390" t="s">
        <v>763</v>
      </c>
      <c r="O390" t="s">
        <v>764</v>
      </c>
      <c r="P390" t="s">
        <v>16</v>
      </c>
      <c r="Q390">
        <f t="shared" si="18"/>
        <v>0.45955882352941174</v>
      </c>
      <c r="R390">
        <f t="shared" si="19"/>
        <v>1.5318627450980392E-2</v>
      </c>
      <c r="S390">
        <f t="shared" si="20"/>
        <v>0.14203011099503382</v>
      </c>
    </row>
    <row r="391" spans="1:19" x14ac:dyDescent="0.2">
      <c r="A391">
        <v>123</v>
      </c>
      <c r="B391" t="s">
        <v>25</v>
      </c>
      <c r="C391">
        <v>2</v>
      </c>
      <c r="D391">
        <v>9</v>
      </c>
      <c r="E391">
        <v>1038</v>
      </c>
      <c r="F391" t="b">
        <v>1</v>
      </c>
      <c r="G391">
        <v>50.055999999999997</v>
      </c>
      <c r="H391">
        <v>23</v>
      </c>
      <c r="I391">
        <v>0</v>
      </c>
      <c r="J391">
        <v>0</v>
      </c>
      <c r="K391" t="s">
        <v>1411</v>
      </c>
      <c r="L391">
        <v>0</v>
      </c>
      <c r="N391" t="s">
        <v>1412</v>
      </c>
      <c r="O391" t="s">
        <v>1413</v>
      </c>
      <c r="P391" t="s">
        <v>16</v>
      </c>
      <c r="Q391">
        <f t="shared" si="18"/>
        <v>0.45948537637845616</v>
      </c>
      <c r="R391">
        <f t="shared" si="19"/>
        <v>0</v>
      </c>
      <c r="S391">
        <f t="shared" si="20"/>
        <v>0</v>
      </c>
    </row>
    <row r="392" spans="1:19" x14ac:dyDescent="0.2">
      <c r="A392">
        <v>25</v>
      </c>
      <c r="B392" t="s">
        <v>25</v>
      </c>
      <c r="C392">
        <v>2</v>
      </c>
      <c r="D392">
        <v>2</v>
      </c>
      <c r="E392">
        <v>1011</v>
      </c>
      <c r="F392" t="b">
        <v>1</v>
      </c>
      <c r="G392">
        <v>54.448</v>
      </c>
      <c r="H392">
        <v>25</v>
      </c>
      <c r="I392">
        <v>3</v>
      </c>
      <c r="J392">
        <v>0.96</v>
      </c>
      <c r="K392" t="s">
        <v>443</v>
      </c>
      <c r="L392">
        <v>0</v>
      </c>
      <c r="N392" t="s">
        <v>444</v>
      </c>
      <c r="O392" t="s">
        <v>445</v>
      </c>
      <c r="P392" t="s">
        <v>16</v>
      </c>
      <c r="Q392">
        <f t="shared" si="18"/>
        <v>0.45915368792242139</v>
      </c>
      <c r="R392">
        <f t="shared" si="19"/>
        <v>5.5098442550690567E-2</v>
      </c>
      <c r="S392">
        <f t="shared" si="20"/>
        <v>0.42361787426159048</v>
      </c>
    </row>
    <row r="393" spans="1:19" hidden="1" x14ac:dyDescent="0.2">
      <c r="A393">
        <v>4</v>
      </c>
      <c r="B393" t="s">
        <v>25</v>
      </c>
      <c r="C393">
        <v>-1</v>
      </c>
      <c r="D393">
        <v>1</v>
      </c>
      <c r="E393">
        <v>1020</v>
      </c>
      <c r="F393" t="b">
        <v>1</v>
      </c>
      <c r="G393">
        <v>61.124000000000002</v>
      </c>
      <c r="H393">
        <v>28</v>
      </c>
      <c r="I393">
        <v>3</v>
      </c>
      <c r="J393">
        <v>3.24</v>
      </c>
      <c r="K393" t="s">
        <v>747</v>
      </c>
      <c r="L393">
        <v>0</v>
      </c>
      <c r="N393" t="s">
        <v>748</v>
      </c>
      <c r="O393" t="s">
        <v>749</v>
      </c>
      <c r="P393" t="s">
        <v>16</v>
      </c>
      <c r="Q393">
        <f t="shared" si="18"/>
        <v>0.45808520384791568</v>
      </c>
      <c r="R393">
        <f t="shared" si="19"/>
        <v>4.9080557555133825E-2</v>
      </c>
      <c r="S393">
        <f t="shared" si="20"/>
        <v>0.38786692393165845</v>
      </c>
    </row>
    <row r="394" spans="1:19" hidden="1" x14ac:dyDescent="0.2">
      <c r="A394">
        <v>73</v>
      </c>
      <c r="B394" t="s">
        <v>21</v>
      </c>
      <c r="C394">
        <v>-1</v>
      </c>
      <c r="D394">
        <v>6</v>
      </c>
      <c r="E394">
        <v>1035</v>
      </c>
      <c r="F394" t="b">
        <v>1</v>
      </c>
      <c r="G394">
        <v>56.835999999999999</v>
      </c>
      <c r="H394">
        <v>26</v>
      </c>
      <c r="I394">
        <v>5</v>
      </c>
      <c r="J394">
        <v>11.1</v>
      </c>
      <c r="K394" t="s">
        <v>1282</v>
      </c>
      <c r="L394">
        <v>0</v>
      </c>
      <c r="N394" t="s">
        <v>1283</v>
      </c>
      <c r="O394" t="s">
        <v>1284</v>
      </c>
      <c r="P394" t="s">
        <v>16</v>
      </c>
      <c r="Q394">
        <f t="shared" si="18"/>
        <v>0.45745654162854532</v>
      </c>
      <c r="R394">
        <f t="shared" si="19"/>
        <v>8.7972411851643326E-2</v>
      </c>
      <c r="S394">
        <f t="shared" si="20"/>
        <v>0.58510264160724745</v>
      </c>
    </row>
    <row r="395" spans="1:19" x14ac:dyDescent="0.2">
      <c r="A395">
        <v>24</v>
      </c>
      <c r="B395" t="s">
        <v>21</v>
      </c>
      <c r="C395">
        <v>2</v>
      </c>
      <c r="D395">
        <v>2</v>
      </c>
      <c r="E395">
        <v>1031</v>
      </c>
      <c r="F395" t="b">
        <v>1</v>
      </c>
      <c r="G395">
        <v>67.983999999999995</v>
      </c>
      <c r="H395">
        <v>31</v>
      </c>
      <c r="I395">
        <v>0</v>
      </c>
      <c r="J395">
        <v>0</v>
      </c>
      <c r="K395" t="s">
        <v>1156</v>
      </c>
      <c r="L395">
        <v>0</v>
      </c>
      <c r="N395" t="s">
        <v>1157</v>
      </c>
      <c r="O395" t="s">
        <v>1158</v>
      </c>
      <c r="P395" t="s">
        <v>16</v>
      </c>
      <c r="Q395">
        <f t="shared" si="18"/>
        <v>0.4559896446222641</v>
      </c>
      <c r="R395">
        <f t="shared" si="19"/>
        <v>0</v>
      </c>
      <c r="S395">
        <f t="shared" si="20"/>
        <v>0</v>
      </c>
    </row>
    <row r="396" spans="1:19" hidden="1" x14ac:dyDescent="0.2">
      <c r="A396">
        <v>35</v>
      </c>
      <c r="B396" t="s">
        <v>37</v>
      </c>
      <c r="C396">
        <v>-1</v>
      </c>
      <c r="D396">
        <v>3</v>
      </c>
      <c r="E396">
        <v>1022</v>
      </c>
      <c r="F396" t="b">
        <v>1</v>
      </c>
      <c r="G396">
        <v>41.683999999999997</v>
      </c>
      <c r="H396">
        <v>19</v>
      </c>
      <c r="I396">
        <v>4</v>
      </c>
      <c r="J396">
        <v>4.8600000000000003</v>
      </c>
      <c r="K396" t="s">
        <v>828</v>
      </c>
      <c r="L396">
        <v>0</v>
      </c>
      <c r="N396" t="s">
        <v>829</v>
      </c>
      <c r="O396" t="s">
        <v>830</v>
      </c>
      <c r="P396" t="s">
        <v>16</v>
      </c>
      <c r="Q396">
        <f t="shared" si="18"/>
        <v>0.45581038288072162</v>
      </c>
      <c r="R396">
        <f t="shared" si="19"/>
        <v>9.5960080606467713E-2</v>
      </c>
      <c r="S396">
        <f t="shared" si="20"/>
        <v>0.61695423499476787</v>
      </c>
    </row>
    <row r="397" spans="1:19" hidden="1" x14ac:dyDescent="0.2">
      <c r="A397">
        <v>129</v>
      </c>
      <c r="B397" t="s">
        <v>21</v>
      </c>
      <c r="C397">
        <v>-1</v>
      </c>
      <c r="D397">
        <v>10</v>
      </c>
      <c r="E397">
        <v>1029</v>
      </c>
      <c r="F397" t="b">
        <v>1</v>
      </c>
      <c r="G397">
        <v>57.444000000000003</v>
      </c>
      <c r="H397">
        <v>26</v>
      </c>
      <c r="I397">
        <v>5</v>
      </c>
      <c r="J397">
        <v>5.28</v>
      </c>
      <c r="K397" t="s">
        <v>1066</v>
      </c>
      <c r="L397">
        <v>0</v>
      </c>
      <c r="N397" t="s">
        <v>1067</v>
      </c>
      <c r="O397" t="s">
        <v>1068</v>
      </c>
      <c r="P397" t="s">
        <v>16</v>
      </c>
      <c r="Q397">
        <f t="shared" si="18"/>
        <v>0.45261472042336881</v>
      </c>
      <c r="R397">
        <f t="shared" si="19"/>
        <v>8.704129238910939E-2</v>
      </c>
      <c r="S397">
        <f t="shared" si="20"/>
        <v>0.58122141014426609</v>
      </c>
    </row>
    <row r="398" spans="1:19" x14ac:dyDescent="0.2">
      <c r="A398">
        <v>42</v>
      </c>
      <c r="B398" t="s">
        <v>37</v>
      </c>
      <c r="C398">
        <v>2</v>
      </c>
      <c r="D398">
        <v>3</v>
      </c>
      <c r="E398">
        <v>1012</v>
      </c>
      <c r="F398" t="b">
        <v>1</v>
      </c>
      <c r="G398">
        <v>68.524000000000001</v>
      </c>
      <c r="H398">
        <v>31</v>
      </c>
      <c r="I398">
        <v>0</v>
      </c>
      <c r="J398">
        <v>0</v>
      </c>
      <c r="K398" t="s">
        <v>487</v>
      </c>
      <c r="L398">
        <v>0</v>
      </c>
      <c r="N398" t="s">
        <v>488</v>
      </c>
      <c r="O398" t="s">
        <v>489</v>
      </c>
      <c r="P398" t="s">
        <v>16</v>
      </c>
      <c r="Q398">
        <f t="shared" si="18"/>
        <v>0.45239624073317375</v>
      </c>
      <c r="R398">
        <f t="shared" si="19"/>
        <v>0</v>
      </c>
      <c r="S398">
        <f t="shared" si="20"/>
        <v>0</v>
      </c>
    </row>
    <row r="399" spans="1:19" hidden="1" x14ac:dyDescent="0.2">
      <c r="A399">
        <v>48</v>
      </c>
      <c r="B399" t="s">
        <v>33</v>
      </c>
      <c r="C399">
        <v>-1</v>
      </c>
      <c r="D399">
        <v>4</v>
      </c>
      <c r="E399">
        <v>1013</v>
      </c>
      <c r="F399" t="b">
        <v>1</v>
      </c>
      <c r="G399">
        <v>59.728000000000002</v>
      </c>
      <c r="H399">
        <v>27</v>
      </c>
      <c r="I399">
        <v>13</v>
      </c>
      <c r="J399">
        <v>15.48</v>
      </c>
      <c r="K399" t="s">
        <v>502</v>
      </c>
      <c r="L399">
        <v>0</v>
      </c>
      <c r="N399" t="s">
        <v>503</v>
      </c>
      <c r="O399" t="s">
        <v>504</v>
      </c>
      <c r="P399" t="s">
        <v>16</v>
      </c>
      <c r="Q399">
        <f t="shared" si="18"/>
        <v>0.45204929011518885</v>
      </c>
      <c r="R399">
        <f t="shared" si="19"/>
        <v>0.21765336190731316</v>
      </c>
      <c r="S399">
        <f t="shared" si="20"/>
        <v>0.88656594442636472</v>
      </c>
    </row>
    <row r="400" spans="1:19" hidden="1" x14ac:dyDescent="0.2">
      <c r="A400">
        <v>74</v>
      </c>
      <c r="B400" t="s">
        <v>25</v>
      </c>
      <c r="C400">
        <v>-1</v>
      </c>
      <c r="D400">
        <v>6</v>
      </c>
      <c r="E400">
        <v>1025</v>
      </c>
      <c r="F400" t="b">
        <v>1</v>
      </c>
      <c r="G400">
        <v>53.107999999999997</v>
      </c>
      <c r="H400">
        <v>24</v>
      </c>
      <c r="I400">
        <v>2</v>
      </c>
      <c r="J400">
        <v>2.94</v>
      </c>
      <c r="K400" t="s">
        <v>927</v>
      </c>
      <c r="L400">
        <v>0</v>
      </c>
      <c r="N400" t="s">
        <v>928</v>
      </c>
      <c r="O400" t="s">
        <v>929</v>
      </c>
      <c r="P400" t="s">
        <v>16</v>
      </c>
      <c r="Q400">
        <f t="shared" si="18"/>
        <v>0.45190931686374936</v>
      </c>
      <c r="R400">
        <f t="shared" si="19"/>
        <v>3.765910973864578E-2</v>
      </c>
      <c r="S400">
        <f t="shared" si="20"/>
        <v>0.31380339587783057</v>
      </c>
    </row>
    <row r="401" spans="1:19" x14ac:dyDescent="0.2">
      <c r="A401">
        <v>52</v>
      </c>
      <c r="B401" t="s">
        <v>21</v>
      </c>
      <c r="C401">
        <v>2</v>
      </c>
      <c r="D401">
        <v>4</v>
      </c>
      <c r="E401">
        <v>1003</v>
      </c>
      <c r="F401" t="b">
        <v>1</v>
      </c>
      <c r="G401">
        <v>62.124000000000002</v>
      </c>
      <c r="H401">
        <v>28</v>
      </c>
      <c r="I401">
        <v>1</v>
      </c>
      <c r="J401">
        <v>0.54</v>
      </c>
      <c r="K401" t="s">
        <v>152</v>
      </c>
      <c r="L401">
        <v>0</v>
      </c>
      <c r="N401" t="s">
        <v>153</v>
      </c>
      <c r="O401" t="s">
        <v>154</v>
      </c>
      <c r="P401" t="s">
        <v>16</v>
      </c>
      <c r="Q401">
        <f t="shared" si="18"/>
        <v>0.45071148026527591</v>
      </c>
      <c r="R401">
        <f t="shared" si="19"/>
        <v>1.609683858090271E-2</v>
      </c>
      <c r="S401">
        <f t="shared" si="20"/>
        <v>0.14868101555731972</v>
      </c>
    </row>
    <row r="402" spans="1:19" hidden="1" x14ac:dyDescent="0.2">
      <c r="A402">
        <v>49</v>
      </c>
      <c r="B402" t="s">
        <v>37</v>
      </c>
      <c r="C402">
        <v>-1</v>
      </c>
      <c r="D402">
        <v>4</v>
      </c>
      <c r="E402">
        <v>1023</v>
      </c>
      <c r="F402" t="b">
        <v>1</v>
      </c>
      <c r="G402">
        <v>59.932000000000002</v>
      </c>
      <c r="H402">
        <v>27</v>
      </c>
      <c r="I402">
        <v>11</v>
      </c>
      <c r="J402">
        <v>8.4</v>
      </c>
      <c r="K402" t="s">
        <v>864</v>
      </c>
      <c r="L402">
        <v>0</v>
      </c>
      <c r="N402" t="s">
        <v>865</v>
      </c>
      <c r="O402" t="s">
        <v>866</v>
      </c>
      <c r="P402" t="s">
        <v>16</v>
      </c>
      <c r="Q402">
        <f t="shared" si="18"/>
        <v>0.4505105786558099</v>
      </c>
      <c r="R402">
        <f t="shared" si="19"/>
        <v>0.18354134685977441</v>
      </c>
      <c r="S402">
        <f t="shared" si="20"/>
        <v>0.84045247976105397</v>
      </c>
    </row>
    <row r="403" spans="1:19" hidden="1" x14ac:dyDescent="0.2">
      <c r="A403">
        <v>46</v>
      </c>
      <c r="B403" t="s">
        <v>25</v>
      </c>
      <c r="C403">
        <v>-1</v>
      </c>
      <c r="D403">
        <v>4</v>
      </c>
      <c r="E403">
        <v>1003</v>
      </c>
      <c r="F403" t="b">
        <v>1</v>
      </c>
      <c r="G403">
        <v>69.075999999999993</v>
      </c>
      <c r="H403">
        <v>31</v>
      </c>
      <c r="I403">
        <v>5</v>
      </c>
      <c r="J403">
        <v>6.18</v>
      </c>
      <c r="K403" t="s">
        <v>137</v>
      </c>
      <c r="L403">
        <v>0</v>
      </c>
      <c r="N403" t="s">
        <v>138</v>
      </c>
      <c r="O403" t="s">
        <v>139</v>
      </c>
      <c r="P403" t="s">
        <v>16</v>
      </c>
      <c r="Q403">
        <f t="shared" si="18"/>
        <v>0.44878105275348895</v>
      </c>
      <c r="R403">
        <f t="shared" si="19"/>
        <v>7.2384040766691762E-2</v>
      </c>
      <c r="S403">
        <f t="shared" si="20"/>
        <v>0.51511348623727682</v>
      </c>
    </row>
    <row r="404" spans="1:19" hidden="1" x14ac:dyDescent="0.2">
      <c r="A404">
        <v>60</v>
      </c>
      <c r="B404" t="s">
        <v>25</v>
      </c>
      <c r="C404">
        <v>-1</v>
      </c>
      <c r="D404">
        <v>5</v>
      </c>
      <c r="E404">
        <v>1004</v>
      </c>
      <c r="F404" t="b">
        <v>1</v>
      </c>
      <c r="G404">
        <v>53.508000000000003</v>
      </c>
      <c r="H404">
        <v>24</v>
      </c>
      <c r="I404">
        <v>3</v>
      </c>
      <c r="J404">
        <v>0.72</v>
      </c>
      <c r="K404" t="s">
        <v>173</v>
      </c>
      <c r="L404">
        <v>0</v>
      </c>
      <c r="N404" t="s">
        <v>174</v>
      </c>
      <c r="O404" t="s">
        <v>175</v>
      </c>
      <c r="P404" t="s">
        <v>16</v>
      </c>
      <c r="Q404">
        <f t="shared" si="18"/>
        <v>0.44853106077595872</v>
      </c>
      <c r="R404">
        <f t="shared" si="19"/>
        <v>5.606638259699484E-2</v>
      </c>
      <c r="S404">
        <f t="shared" si="20"/>
        <v>0.42916999373398423</v>
      </c>
    </row>
    <row r="405" spans="1:19" hidden="1" x14ac:dyDescent="0.2">
      <c r="A405">
        <v>88</v>
      </c>
      <c r="B405" t="s">
        <v>25</v>
      </c>
      <c r="C405">
        <v>-1</v>
      </c>
      <c r="D405">
        <v>7</v>
      </c>
      <c r="E405">
        <v>1026</v>
      </c>
      <c r="F405" t="b">
        <v>1</v>
      </c>
      <c r="G405">
        <v>64.787999999999997</v>
      </c>
      <c r="H405">
        <v>29</v>
      </c>
      <c r="I405">
        <v>2</v>
      </c>
      <c r="J405">
        <v>3</v>
      </c>
      <c r="K405" t="s">
        <v>963</v>
      </c>
      <c r="L405">
        <v>0</v>
      </c>
      <c r="N405" t="s">
        <v>964</v>
      </c>
      <c r="O405" t="s">
        <v>965</v>
      </c>
      <c r="P405" t="s">
        <v>16</v>
      </c>
      <c r="Q405">
        <f t="shared" si="18"/>
        <v>0.44761375563375938</v>
      </c>
      <c r="R405">
        <f t="shared" si="19"/>
        <v>3.0869914181638577E-2</v>
      </c>
      <c r="S405">
        <f t="shared" si="20"/>
        <v>0.26559831245006593</v>
      </c>
    </row>
    <row r="406" spans="1:19" x14ac:dyDescent="0.2">
      <c r="A406">
        <v>24</v>
      </c>
      <c r="B406" t="s">
        <v>21</v>
      </c>
      <c r="C406">
        <v>2</v>
      </c>
      <c r="D406">
        <v>2</v>
      </c>
      <c r="E406">
        <v>1021</v>
      </c>
      <c r="F406" t="b">
        <v>1</v>
      </c>
      <c r="G406">
        <v>46.92</v>
      </c>
      <c r="H406">
        <v>21</v>
      </c>
      <c r="I406">
        <v>0</v>
      </c>
      <c r="J406">
        <v>0</v>
      </c>
      <c r="K406" t="s">
        <v>798</v>
      </c>
      <c r="L406">
        <v>0</v>
      </c>
      <c r="N406" t="s">
        <v>799</v>
      </c>
      <c r="O406" t="s">
        <v>800</v>
      </c>
      <c r="P406" t="s">
        <v>16</v>
      </c>
      <c r="Q406">
        <f t="shared" si="18"/>
        <v>0.4475703324808184</v>
      </c>
      <c r="R406">
        <f t="shared" si="19"/>
        <v>0</v>
      </c>
      <c r="S406">
        <f t="shared" si="20"/>
        <v>0</v>
      </c>
    </row>
    <row r="407" spans="1:19" hidden="1" x14ac:dyDescent="0.2">
      <c r="A407">
        <v>18</v>
      </c>
      <c r="B407" t="s">
        <v>25</v>
      </c>
      <c r="C407">
        <v>-1</v>
      </c>
      <c r="D407">
        <v>2</v>
      </c>
      <c r="E407">
        <v>1001</v>
      </c>
      <c r="F407" t="b">
        <v>1</v>
      </c>
      <c r="G407">
        <v>65.02</v>
      </c>
      <c r="H407">
        <v>29</v>
      </c>
      <c r="I407">
        <v>11</v>
      </c>
      <c r="J407">
        <v>11.7</v>
      </c>
      <c r="K407" t="s">
        <v>65</v>
      </c>
      <c r="L407">
        <v>0</v>
      </c>
      <c r="N407" t="s">
        <v>66</v>
      </c>
      <c r="O407" t="s">
        <v>67</v>
      </c>
      <c r="P407" t="s">
        <v>16</v>
      </c>
      <c r="Q407">
        <f t="shared" si="18"/>
        <v>0.44601661027376194</v>
      </c>
      <c r="R407">
        <f t="shared" si="19"/>
        <v>0.16917871424177178</v>
      </c>
      <c r="S407">
        <f t="shared" si="20"/>
        <v>0.81580994418426811</v>
      </c>
    </row>
    <row r="408" spans="1:19" x14ac:dyDescent="0.2">
      <c r="A408">
        <v>108</v>
      </c>
      <c r="B408" t="s">
        <v>21</v>
      </c>
      <c r="C408">
        <v>2</v>
      </c>
      <c r="D408">
        <v>8</v>
      </c>
      <c r="E408">
        <v>1027</v>
      </c>
      <c r="F408" t="b">
        <v>1</v>
      </c>
      <c r="G408">
        <v>71.908000000000001</v>
      </c>
      <c r="H408">
        <v>32</v>
      </c>
      <c r="I408">
        <v>3</v>
      </c>
      <c r="J408">
        <v>1.26</v>
      </c>
      <c r="K408" t="s">
        <v>1012</v>
      </c>
      <c r="L408">
        <v>0</v>
      </c>
      <c r="N408" t="s">
        <v>1013</v>
      </c>
      <c r="O408" t="s">
        <v>1014</v>
      </c>
      <c r="P408" t="s">
        <v>16</v>
      </c>
      <c r="Q408">
        <f t="shared" si="18"/>
        <v>0.44501307225899761</v>
      </c>
      <c r="R408">
        <f t="shared" si="19"/>
        <v>4.1719975524281028E-2</v>
      </c>
      <c r="S408">
        <f t="shared" si="20"/>
        <v>0.34111070979245717</v>
      </c>
    </row>
    <row r="409" spans="1:19" x14ac:dyDescent="0.2">
      <c r="A409">
        <v>139</v>
      </c>
      <c r="B409" t="s">
        <v>33</v>
      </c>
      <c r="C409">
        <v>2</v>
      </c>
      <c r="D409">
        <v>10</v>
      </c>
      <c r="E409">
        <v>1039</v>
      </c>
      <c r="F409" t="b">
        <v>1</v>
      </c>
      <c r="G409">
        <v>65.2</v>
      </c>
      <c r="H409">
        <v>29</v>
      </c>
      <c r="I409">
        <v>2</v>
      </c>
      <c r="J409">
        <v>0.3</v>
      </c>
      <c r="K409" t="s">
        <v>1453</v>
      </c>
      <c r="L409">
        <v>0</v>
      </c>
      <c r="N409" t="s">
        <v>1454</v>
      </c>
      <c r="O409" t="s">
        <v>1455</v>
      </c>
      <c r="P409" t="s">
        <v>16</v>
      </c>
      <c r="Q409">
        <f t="shared" si="18"/>
        <v>0.44478527607361962</v>
      </c>
      <c r="R409">
        <f t="shared" si="19"/>
        <v>3.0674846625766871E-2</v>
      </c>
      <c r="S409">
        <f t="shared" si="20"/>
        <v>0.26416433487007973</v>
      </c>
    </row>
    <row r="410" spans="1:19" hidden="1" x14ac:dyDescent="0.2">
      <c r="A410">
        <v>131</v>
      </c>
      <c r="B410" t="s">
        <v>29</v>
      </c>
      <c r="C410">
        <v>-1</v>
      </c>
      <c r="D410">
        <v>10</v>
      </c>
      <c r="E410">
        <v>1029</v>
      </c>
      <c r="F410" t="b">
        <v>1</v>
      </c>
      <c r="G410">
        <v>58.975999999999999</v>
      </c>
      <c r="H410">
        <v>26</v>
      </c>
      <c r="I410">
        <v>8</v>
      </c>
      <c r="J410">
        <v>11.46</v>
      </c>
      <c r="K410" t="s">
        <v>1072</v>
      </c>
      <c r="L410">
        <v>0</v>
      </c>
      <c r="N410" t="s">
        <v>1073</v>
      </c>
      <c r="O410" t="s">
        <v>1074</v>
      </c>
      <c r="P410" t="s">
        <v>16</v>
      </c>
      <c r="Q410">
        <f t="shared" si="18"/>
        <v>0.440857297883885</v>
      </c>
      <c r="R410">
        <f t="shared" si="19"/>
        <v>0.13564839934888767</v>
      </c>
      <c r="S410">
        <f t="shared" si="20"/>
        <v>0.74243521376356592</v>
      </c>
    </row>
    <row r="411" spans="1:19" x14ac:dyDescent="0.2">
      <c r="A411">
        <v>12</v>
      </c>
      <c r="B411" t="s">
        <v>29</v>
      </c>
      <c r="C411">
        <v>2</v>
      </c>
      <c r="D411">
        <v>1</v>
      </c>
      <c r="E411">
        <v>1000</v>
      </c>
      <c r="F411" t="b">
        <v>1</v>
      </c>
      <c r="G411">
        <v>68.072000000000003</v>
      </c>
      <c r="H411">
        <v>30</v>
      </c>
      <c r="I411">
        <v>3</v>
      </c>
      <c r="J411">
        <v>0.54</v>
      </c>
      <c r="K411" t="s">
        <v>50</v>
      </c>
      <c r="L411">
        <v>0</v>
      </c>
      <c r="N411" t="s">
        <v>51</v>
      </c>
      <c r="O411" t="s">
        <v>52</v>
      </c>
      <c r="P411" t="s">
        <v>16</v>
      </c>
      <c r="Q411">
        <f t="shared" si="18"/>
        <v>0.44070983664355384</v>
      </c>
      <c r="R411">
        <f t="shared" si="19"/>
        <v>4.4070983664355384E-2</v>
      </c>
      <c r="S411">
        <f t="shared" si="20"/>
        <v>0.35642057735202015</v>
      </c>
    </row>
    <row r="412" spans="1:19" x14ac:dyDescent="0.2">
      <c r="A412">
        <v>28</v>
      </c>
      <c r="B412" t="s">
        <v>37</v>
      </c>
      <c r="C412">
        <v>2</v>
      </c>
      <c r="D412">
        <v>2</v>
      </c>
      <c r="E412">
        <v>1031</v>
      </c>
      <c r="F412" t="b">
        <v>1</v>
      </c>
      <c r="G412">
        <v>61.32</v>
      </c>
      <c r="H412">
        <v>27</v>
      </c>
      <c r="I412">
        <v>2</v>
      </c>
      <c r="J412">
        <v>0.48</v>
      </c>
      <c r="K412" t="s">
        <v>1168</v>
      </c>
      <c r="L412">
        <v>0</v>
      </c>
      <c r="N412" t="s">
        <v>1169</v>
      </c>
      <c r="O412" t="s">
        <v>1170</v>
      </c>
      <c r="P412" t="s">
        <v>16</v>
      </c>
      <c r="Q412">
        <f t="shared" si="18"/>
        <v>0.44031311154598823</v>
      </c>
      <c r="R412">
        <f t="shared" si="19"/>
        <v>3.2615786040443573E-2</v>
      </c>
      <c r="S412">
        <f t="shared" si="20"/>
        <v>0.27830874803391004</v>
      </c>
    </row>
    <row r="413" spans="1:19" hidden="1" x14ac:dyDescent="0.2">
      <c r="A413">
        <v>90</v>
      </c>
      <c r="B413" t="s">
        <v>33</v>
      </c>
      <c r="C413">
        <v>-1</v>
      </c>
      <c r="D413">
        <v>7</v>
      </c>
      <c r="E413">
        <v>1016</v>
      </c>
      <c r="F413" t="b">
        <v>1</v>
      </c>
      <c r="G413">
        <v>65.932000000000002</v>
      </c>
      <c r="H413">
        <v>29</v>
      </c>
      <c r="I413">
        <v>6</v>
      </c>
      <c r="J413">
        <v>6.36</v>
      </c>
      <c r="K413" t="s">
        <v>610</v>
      </c>
      <c r="L413">
        <v>0</v>
      </c>
      <c r="N413" t="s">
        <v>611</v>
      </c>
      <c r="O413" t="s">
        <v>612</v>
      </c>
      <c r="P413" t="s">
        <v>16</v>
      </c>
      <c r="Q413">
        <f t="shared" si="18"/>
        <v>0.4398471152096099</v>
      </c>
      <c r="R413">
        <f t="shared" si="19"/>
        <v>9.1002851422677902E-2</v>
      </c>
      <c r="S413">
        <f t="shared" si="20"/>
        <v>0.5974872534697353</v>
      </c>
    </row>
    <row r="414" spans="1:19" x14ac:dyDescent="0.2">
      <c r="A414">
        <v>26</v>
      </c>
      <c r="B414" t="s">
        <v>29</v>
      </c>
      <c r="C414">
        <v>2</v>
      </c>
      <c r="D414">
        <v>2</v>
      </c>
      <c r="E414">
        <v>1031</v>
      </c>
      <c r="F414" t="b">
        <v>1</v>
      </c>
      <c r="G414">
        <v>68.236000000000004</v>
      </c>
      <c r="H414">
        <v>30</v>
      </c>
      <c r="I414">
        <v>4</v>
      </c>
      <c r="J414">
        <v>2.04</v>
      </c>
      <c r="K414" t="s">
        <v>1162</v>
      </c>
      <c r="L414">
        <v>0</v>
      </c>
      <c r="N414" t="s">
        <v>1163</v>
      </c>
      <c r="O414" t="s">
        <v>1164</v>
      </c>
      <c r="P414" t="s">
        <v>16</v>
      </c>
      <c r="Q414">
        <f t="shared" si="18"/>
        <v>0.43965062430388646</v>
      </c>
      <c r="R414">
        <f t="shared" si="19"/>
        <v>5.8620083240518199E-2</v>
      </c>
      <c r="S414">
        <f t="shared" si="20"/>
        <v>0.44356272744764047</v>
      </c>
    </row>
    <row r="415" spans="1:19" x14ac:dyDescent="0.2">
      <c r="A415">
        <v>69</v>
      </c>
      <c r="B415" t="s">
        <v>33</v>
      </c>
      <c r="C415">
        <v>2</v>
      </c>
      <c r="D415">
        <v>5</v>
      </c>
      <c r="E415">
        <v>1014</v>
      </c>
      <c r="F415" t="b">
        <v>1</v>
      </c>
      <c r="G415">
        <v>70.78</v>
      </c>
      <c r="H415">
        <v>31</v>
      </c>
      <c r="I415">
        <v>4</v>
      </c>
      <c r="J415">
        <v>1.2</v>
      </c>
      <c r="K415" t="s">
        <v>556</v>
      </c>
      <c r="L415">
        <v>0</v>
      </c>
      <c r="N415" t="s">
        <v>557</v>
      </c>
      <c r="O415" t="s">
        <v>558</v>
      </c>
      <c r="P415" t="s">
        <v>16</v>
      </c>
      <c r="Q415">
        <f t="shared" si="18"/>
        <v>0.43797682961288498</v>
      </c>
      <c r="R415">
        <f t="shared" si="19"/>
        <v>5.6513139304888382E-2</v>
      </c>
      <c r="S415">
        <f t="shared" si="20"/>
        <v>0.43171452690909828</v>
      </c>
    </row>
    <row r="416" spans="1:19" hidden="1" x14ac:dyDescent="0.2">
      <c r="A416">
        <v>48</v>
      </c>
      <c r="B416" t="s">
        <v>33</v>
      </c>
      <c r="C416">
        <v>-1</v>
      </c>
      <c r="D416">
        <v>4</v>
      </c>
      <c r="E416">
        <v>1033</v>
      </c>
      <c r="F416" t="b">
        <v>1</v>
      </c>
      <c r="G416">
        <v>45.704000000000001</v>
      </c>
      <c r="H416">
        <v>20</v>
      </c>
      <c r="I416">
        <v>6</v>
      </c>
      <c r="J416">
        <v>5.64</v>
      </c>
      <c r="K416" t="s">
        <v>1219</v>
      </c>
      <c r="L416">
        <v>0</v>
      </c>
      <c r="N416" t="s">
        <v>1220</v>
      </c>
      <c r="O416" t="s">
        <v>1221</v>
      </c>
      <c r="P416" t="s">
        <v>16</v>
      </c>
      <c r="Q416">
        <f t="shared" si="18"/>
        <v>0.43759845965342203</v>
      </c>
      <c r="R416">
        <f t="shared" si="19"/>
        <v>0.13127953789602662</v>
      </c>
      <c r="S416">
        <f t="shared" si="20"/>
        <v>0.73093313969928064</v>
      </c>
    </row>
    <row r="417" spans="1:19" x14ac:dyDescent="0.2">
      <c r="A417">
        <v>67</v>
      </c>
      <c r="B417" t="s">
        <v>25</v>
      </c>
      <c r="C417">
        <v>2</v>
      </c>
      <c r="D417">
        <v>5</v>
      </c>
      <c r="E417">
        <v>1014</v>
      </c>
      <c r="F417" t="b">
        <v>1</v>
      </c>
      <c r="G417">
        <v>61.756</v>
      </c>
      <c r="H417">
        <v>27</v>
      </c>
      <c r="I417">
        <v>3</v>
      </c>
      <c r="J417">
        <v>2.88</v>
      </c>
      <c r="K417" t="s">
        <v>550</v>
      </c>
      <c r="L417">
        <v>0</v>
      </c>
      <c r="N417" t="s">
        <v>551</v>
      </c>
      <c r="O417" t="s">
        <v>552</v>
      </c>
      <c r="P417" t="s">
        <v>16</v>
      </c>
      <c r="Q417">
        <f t="shared" si="18"/>
        <v>0.43720448215558</v>
      </c>
      <c r="R417">
        <f t="shared" si="19"/>
        <v>4.8578275795064449E-2</v>
      </c>
      <c r="S417">
        <f t="shared" si="20"/>
        <v>0.3847845565389596</v>
      </c>
    </row>
    <row r="418" spans="1:19" hidden="1" x14ac:dyDescent="0.2">
      <c r="A418">
        <v>45</v>
      </c>
      <c r="B418" t="s">
        <v>21</v>
      </c>
      <c r="C418">
        <v>-1</v>
      </c>
      <c r="D418">
        <v>4</v>
      </c>
      <c r="E418">
        <v>1023</v>
      </c>
      <c r="F418" t="b">
        <v>1</v>
      </c>
      <c r="G418">
        <v>59.5</v>
      </c>
      <c r="H418">
        <v>26</v>
      </c>
      <c r="I418">
        <v>6</v>
      </c>
      <c r="J418">
        <v>6.9</v>
      </c>
      <c r="K418" t="s">
        <v>852</v>
      </c>
      <c r="L418">
        <v>0</v>
      </c>
      <c r="N418" t="s">
        <v>853</v>
      </c>
      <c r="O418" t="s">
        <v>854</v>
      </c>
      <c r="P418" t="s">
        <v>16</v>
      </c>
      <c r="Q418">
        <f t="shared" si="18"/>
        <v>0.43697478991596639</v>
      </c>
      <c r="R418">
        <f t="shared" si="19"/>
        <v>0.10084033613445378</v>
      </c>
      <c r="S418">
        <f t="shared" si="20"/>
        <v>0.63519902983593801</v>
      </c>
    </row>
    <row r="419" spans="1:19" hidden="1" x14ac:dyDescent="0.2">
      <c r="A419">
        <v>3</v>
      </c>
      <c r="B419" t="s">
        <v>21</v>
      </c>
      <c r="C419">
        <v>-1</v>
      </c>
      <c r="D419">
        <v>1</v>
      </c>
      <c r="E419">
        <v>1020</v>
      </c>
      <c r="F419" t="b">
        <v>1</v>
      </c>
      <c r="G419">
        <v>71.028000000000006</v>
      </c>
      <c r="H419">
        <v>31</v>
      </c>
      <c r="I419">
        <v>7</v>
      </c>
      <c r="J419">
        <v>6.24</v>
      </c>
      <c r="K419" t="s">
        <v>744</v>
      </c>
      <c r="L419">
        <v>0</v>
      </c>
      <c r="N419" t="s">
        <v>745</v>
      </c>
      <c r="O419" t="s">
        <v>746</v>
      </c>
      <c r="P419" t="s">
        <v>16</v>
      </c>
      <c r="Q419">
        <f t="shared" si="18"/>
        <v>0.43644759813031475</v>
      </c>
      <c r="R419">
        <f t="shared" si="19"/>
        <v>9.8552683448780751E-2</v>
      </c>
      <c r="S419">
        <f t="shared" si="20"/>
        <v>0.62675746191140591</v>
      </c>
    </row>
    <row r="420" spans="1:19" hidden="1" x14ac:dyDescent="0.2">
      <c r="A420">
        <v>116</v>
      </c>
      <c r="B420" t="s">
        <v>25</v>
      </c>
      <c r="C420">
        <v>-1</v>
      </c>
      <c r="D420">
        <v>9</v>
      </c>
      <c r="E420">
        <v>1018</v>
      </c>
      <c r="F420" t="b">
        <v>1</v>
      </c>
      <c r="G420">
        <v>66.591999999999999</v>
      </c>
      <c r="H420">
        <v>29</v>
      </c>
      <c r="I420">
        <v>5</v>
      </c>
      <c r="J420">
        <v>6.66</v>
      </c>
      <c r="K420" t="s">
        <v>675</v>
      </c>
      <c r="L420">
        <v>0</v>
      </c>
      <c r="N420" t="s">
        <v>676</v>
      </c>
      <c r="O420" t="s">
        <v>677</v>
      </c>
      <c r="P420" t="s">
        <v>16</v>
      </c>
      <c r="Q420">
        <f t="shared" si="18"/>
        <v>0.43548774627582892</v>
      </c>
      <c r="R420">
        <f t="shared" si="19"/>
        <v>7.5084094185487754E-2</v>
      </c>
      <c r="S420">
        <f t="shared" si="20"/>
        <v>0.52803051308599303</v>
      </c>
    </row>
    <row r="421" spans="1:19" hidden="1" x14ac:dyDescent="0.2">
      <c r="A421">
        <v>46</v>
      </c>
      <c r="B421" t="s">
        <v>25</v>
      </c>
      <c r="C421">
        <v>-1</v>
      </c>
      <c r="D421">
        <v>4</v>
      </c>
      <c r="E421">
        <v>1013</v>
      </c>
      <c r="F421" t="b">
        <v>1</v>
      </c>
      <c r="G421">
        <v>52.835999999999999</v>
      </c>
      <c r="H421">
        <v>23</v>
      </c>
      <c r="I421">
        <v>3</v>
      </c>
      <c r="J421">
        <v>2.82</v>
      </c>
      <c r="K421" t="s">
        <v>496</v>
      </c>
      <c r="L421">
        <v>0</v>
      </c>
      <c r="N421" t="s">
        <v>497</v>
      </c>
      <c r="O421" t="s">
        <v>498</v>
      </c>
      <c r="P421" t="s">
        <v>16</v>
      </c>
      <c r="Q421">
        <f t="shared" si="18"/>
        <v>0.43530925883867061</v>
      </c>
      <c r="R421">
        <f t="shared" si="19"/>
        <v>5.6779468544174427E-2</v>
      </c>
      <c r="S421">
        <f t="shared" si="20"/>
        <v>0.43322602361427964</v>
      </c>
    </row>
    <row r="422" spans="1:19" x14ac:dyDescent="0.2">
      <c r="A422">
        <v>69</v>
      </c>
      <c r="B422" t="s">
        <v>33</v>
      </c>
      <c r="C422">
        <v>2</v>
      </c>
      <c r="D422">
        <v>5</v>
      </c>
      <c r="E422">
        <v>1024</v>
      </c>
      <c r="F422" t="b">
        <v>1</v>
      </c>
      <c r="G422">
        <v>62.072000000000003</v>
      </c>
      <c r="H422">
        <v>27</v>
      </c>
      <c r="I422">
        <v>3</v>
      </c>
      <c r="J422">
        <v>1.26</v>
      </c>
      <c r="K422" t="s">
        <v>915</v>
      </c>
      <c r="L422">
        <v>0</v>
      </c>
      <c r="N422" t="s">
        <v>916</v>
      </c>
      <c r="O422" t="s">
        <v>917</v>
      </c>
      <c r="P422" t="s">
        <v>16</v>
      </c>
      <c r="Q422">
        <f t="shared" si="18"/>
        <v>0.43497873437298618</v>
      </c>
      <c r="R422">
        <f t="shared" si="19"/>
        <v>4.8330970485887352E-2</v>
      </c>
      <c r="S422">
        <f t="shared" si="20"/>
        <v>0.38326121320632989</v>
      </c>
    </row>
    <row r="423" spans="1:19" x14ac:dyDescent="0.2">
      <c r="A423">
        <v>138</v>
      </c>
      <c r="B423" t="s">
        <v>29</v>
      </c>
      <c r="C423">
        <v>2</v>
      </c>
      <c r="D423">
        <v>10</v>
      </c>
      <c r="E423">
        <v>1039</v>
      </c>
      <c r="F423" t="b">
        <v>1</v>
      </c>
      <c r="G423">
        <v>66.915999999999997</v>
      </c>
      <c r="H423">
        <v>29</v>
      </c>
      <c r="I423">
        <v>1</v>
      </c>
      <c r="J423">
        <v>0.18</v>
      </c>
      <c r="K423" t="s">
        <v>1450</v>
      </c>
      <c r="L423">
        <v>0</v>
      </c>
      <c r="N423" t="s">
        <v>1451</v>
      </c>
      <c r="O423" t="s">
        <v>1452</v>
      </c>
      <c r="P423" t="s">
        <v>16</v>
      </c>
      <c r="Q423">
        <f t="shared" si="18"/>
        <v>0.43337916193436549</v>
      </c>
      <c r="R423">
        <f t="shared" si="19"/>
        <v>1.49441090322195E-2</v>
      </c>
      <c r="S423">
        <f t="shared" si="20"/>
        <v>0.13881083109811443</v>
      </c>
    </row>
    <row r="424" spans="1:19" hidden="1" x14ac:dyDescent="0.2">
      <c r="A424">
        <v>102</v>
      </c>
      <c r="B424" t="s">
        <v>25</v>
      </c>
      <c r="C424">
        <v>-1</v>
      </c>
      <c r="D424">
        <v>8</v>
      </c>
      <c r="E424">
        <v>1007</v>
      </c>
      <c r="F424" t="b">
        <v>1</v>
      </c>
      <c r="G424">
        <v>53.256</v>
      </c>
      <c r="H424">
        <v>23</v>
      </c>
      <c r="I424">
        <v>9</v>
      </c>
      <c r="J424">
        <v>14.34</v>
      </c>
      <c r="K424" t="s">
        <v>281</v>
      </c>
      <c r="L424">
        <v>0</v>
      </c>
      <c r="N424" t="s">
        <v>282</v>
      </c>
      <c r="O424" t="s">
        <v>283</v>
      </c>
      <c r="P424" t="s">
        <v>16</v>
      </c>
      <c r="Q424">
        <f t="shared" si="18"/>
        <v>0.43187622051975366</v>
      </c>
      <c r="R424">
        <f t="shared" si="19"/>
        <v>0.1689950428120775</v>
      </c>
      <c r="S424">
        <f t="shared" si="20"/>
        <v>0.81547132880073248</v>
      </c>
    </row>
    <row r="425" spans="1:19" x14ac:dyDescent="0.2">
      <c r="A425">
        <v>53</v>
      </c>
      <c r="B425" t="s">
        <v>25</v>
      </c>
      <c r="C425">
        <v>2</v>
      </c>
      <c r="D425">
        <v>4</v>
      </c>
      <c r="E425">
        <v>1003</v>
      </c>
      <c r="F425" t="b">
        <v>1</v>
      </c>
      <c r="G425">
        <v>67.316000000000003</v>
      </c>
      <c r="H425">
        <v>29</v>
      </c>
      <c r="I425">
        <v>3</v>
      </c>
      <c r="J425">
        <v>2.1</v>
      </c>
      <c r="K425" t="s">
        <v>155</v>
      </c>
      <c r="L425">
        <v>0</v>
      </c>
      <c r="N425" t="s">
        <v>156</v>
      </c>
      <c r="O425" t="s">
        <v>157</v>
      </c>
      <c r="P425" t="s">
        <v>16</v>
      </c>
      <c r="Q425">
        <f t="shared" si="18"/>
        <v>0.43080396933864162</v>
      </c>
      <c r="R425">
        <f t="shared" si="19"/>
        <v>4.45659278626181E-2</v>
      </c>
      <c r="S425">
        <f t="shared" si="20"/>
        <v>0.35959806648001402</v>
      </c>
    </row>
    <row r="426" spans="1:19" x14ac:dyDescent="0.2">
      <c r="A426">
        <v>94</v>
      </c>
      <c r="B426" t="s">
        <v>21</v>
      </c>
      <c r="C426">
        <v>2</v>
      </c>
      <c r="D426">
        <v>7</v>
      </c>
      <c r="E426">
        <v>1016</v>
      </c>
      <c r="F426" t="b">
        <v>1</v>
      </c>
      <c r="G426">
        <v>65.176000000000002</v>
      </c>
      <c r="H426">
        <v>28</v>
      </c>
      <c r="I426">
        <v>2</v>
      </c>
      <c r="J426">
        <v>0.18</v>
      </c>
      <c r="K426" t="s">
        <v>619</v>
      </c>
      <c r="L426">
        <v>0</v>
      </c>
      <c r="N426" t="s">
        <v>620</v>
      </c>
      <c r="O426" t="s">
        <v>621</v>
      </c>
      <c r="P426" t="s">
        <v>16</v>
      </c>
      <c r="Q426">
        <f t="shared" si="18"/>
        <v>0.42960598993494536</v>
      </c>
      <c r="R426">
        <f t="shared" si="19"/>
        <v>3.0686142138210384E-2</v>
      </c>
      <c r="S426">
        <f t="shared" si="20"/>
        <v>0.26424744658516286</v>
      </c>
    </row>
    <row r="427" spans="1:19" x14ac:dyDescent="0.2">
      <c r="A427">
        <v>110</v>
      </c>
      <c r="B427" t="s">
        <v>29</v>
      </c>
      <c r="C427">
        <v>2</v>
      </c>
      <c r="D427">
        <v>8</v>
      </c>
      <c r="E427">
        <v>1007</v>
      </c>
      <c r="F427" t="b">
        <v>1</v>
      </c>
      <c r="G427">
        <v>53.6</v>
      </c>
      <c r="H427">
        <v>23</v>
      </c>
      <c r="I427">
        <v>2</v>
      </c>
      <c r="J427">
        <v>0.78</v>
      </c>
      <c r="K427" t="s">
        <v>302</v>
      </c>
      <c r="L427">
        <v>0</v>
      </c>
      <c r="N427" t="s">
        <v>303</v>
      </c>
      <c r="O427" t="s">
        <v>304</v>
      </c>
      <c r="P427" t="s">
        <v>16</v>
      </c>
      <c r="Q427">
        <f t="shared" si="18"/>
        <v>0.42910447761194026</v>
      </c>
      <c r="R427">
        <f t="shared" si="19"/>
        <v>3.7313432835820892E-2</v>
      </c>
      <c r="S427">
        <f t="shared" si="20"/>
        <v>0.31142726821323108</v>
      </c>
    </row>
    <row r="428" spans="1:19" x14ac:dyDescent="0.2">
      <c r="A428">
        <v>12</v>
      </c>
      <c r="B428" t="s">
        <v>29</v>
      </c>
      <c r="C428">
        <v>2</v>
      </c>
      <c r="D428">
        <v>1</v>
      </c>
      <c r="E428">
        <v>1020</v>
      </c>
      <c r="F428" t="b">
        <v>1</v>
      </c>
      <c r="G428">
        <v>67.683999999999997</v>
      </c>
      <c r="H428">
        <v>29</v>
      </c>
      <c r="I428">
        <v>5</v>
      </c>
      <c r="J428">
        <v>0.78</v>
      </c>
      <c r="K428" t="s">
        <v>768</v>
      </c>
      <c r="L428">
        <v>0</v>
      </c>
      <c r="N428" t="s">
        <v>769</v>
      </c>
      <c r="O428" t="s">
        <v>770</v>
      </c>
      <c r="P428" t="s">
        <v>16</v>
      </c>
      <c r="Q428">
        <f t="shared" si="18"/>
        <v>0.42846167484191244</v>
      </c>
      <c r="R428">
        <f t="shared" si="19"/>
        <v>7.3872702558950426E-2</v>
      </c>
      <c r="S428">
        <f t="shared" si="20"/>
        <v>0.52227834393660499</v>
      </c>
    </row>
    <row r="429" spans="1:19" x14ac:dyDescent="0.2">
      <c r="A429">
        <v>26</v>
      </c>
      <c r="B429" t="s">
        <v>29</v>
      </c>
      <c r="C429">
        <v>2</v>
      </c>
      <c r="D429">
        <v>2</v>
      </c>
      <c r="E429">
        <v>1021</v>
      </c>
      <c r="F429" t="b">
        <v>1</v>
      </c>
      <c r="G429">
        <v>56.155999999999999</v>
      </c>
      <c r="H429">
        <v>24</v>
      </c>
      <c r="I429">
        <v>1</v>
      </c>
      <c r="J429">
        <v>0.06</v>
      </c>
      <c r="K429" t="s">
        <v>804</v>
      </c>
      <c r="L429">
        <v>0</v>
      </c>
      <c r="N429" t="s">
        <v>805</v>
      </c>
      <c r="O429" t="s">
        <v>806</v>
      </c>
      <c r="P429" t="s">
        <v>16</v>
      </c>
      <c r="Q429">
        <f t="shared" si="18"/>
        <v>0.42738086758316118</v>
      </c>
      <c r="R429">
        <f t="shared" si="19"/>
        <v>1.7807536149298385E-2</v>
      </c>
      <c r="S429">
        <f t="shared" si="20"/>
        <v>0.16312064736522092</v>
      </c>
    </row>
    <row r="430" spans="1:19" hidden="1" x14ac:dyDescent="0.2">
      <c r="A430">
        <v>45</v>
      </c>
      <c r="B430" t="s">
        <v>21</v>
      </c>
      <c r="C430">
        <v>-1</v>
      </c>
      <c r="D430">
        <v>4</v>
      </c>
      <c r="E430">
        <v>1033</v>
      </c>
      <c r="F430" t="b">
        <v>1</v>
      </c>
      <c r="G430">
        <v>46.847999999999999</v>
      </c>
      <c r="H430">
        <v>20</v>
      </c>
      <c r="I430">
        <v>4</v>
      </c>
      <c r="J430">
        <v>9.9600000000000009</v>
      </c>
      <c r="K430" t="s">
        <v>1210</v>
      </c>
      <c r="L430">
        <v>0</v>
      </c>
      <c r="N430" t="s">
        <v>1211</v>
      </c>
      <c r="O430" t="s">
        <v>1212</v>
      </c>
      <c r="P430" t="s">
        <v>16</v>
      </c>
      <c r="Q430">
        <f t="shared" si="18"/>
        <v>0.42691256830601093</v>
      </c>
      <c r="R430">
        <f t="shared" si="19"/>
        <v>8.5382513661202183E-2</v>
      </c>
      <c r="S430">
        <f t="shared" si="20"/>
        <v>0.5742168656419816</v>
      </c>
    </row>
    <row r="431" spans="1:19" x14ac:dyDescent="0.2">
      <c r="A431">
        <v>69</v>
      </c>
      <c r="B431" t="s">
        <v>33</v>
      </c>
      <c r="C431">
        <v>2</v>
      </c>
      <c r="D431">
        <v>5</v>
      </c>
      <c r="E431">
        <v>1034</v>
      </c>
      <c r="F431" t="b">
        <v>1</v>
      </c>
      <c r="G431">
        <v>80.488</v>
      </c>
      <c r="H431">
        <v>34</v>
      </c>
      <c r="I431">
        <v>3</v>
      </c>
      <c r="J431">
        <v>2.04</v>
      </c>
      <c r="K431" t="s">
        <v>1273</v>
      </c>
      <c r="L431">
        <v>0</v>
      </c>
      <c r="N431" t="s">
        <v>1274</v>
      </c>
      <c r="O431" t="s">
        <v>1275</v>
      </c>
      <c r="P431" t="s">
        <v>16</v>
      </c>
      <c r="Q431">
        <f t="shared" si="18"/>
        <v>0.42242321836795549</v>
      </c>
      <c r="R431">
        <f t="shared" si="19"/>
        <v>3.72726369148196E-2</v>
      </c>
      <c r="S431">
        <f t="shared" si="20"/>
        <v>0.31114630131791532</v>
      </c>
    </row>
    <row r="432" spans="1:19" hidden="1" x14ac:dyDescent="0.2">
      <c r="A432">
        <v>115</v>
      </c>
      <c r="B432" t="s">
        <v>21</v>
      </c>
      <c r="C432">
        <v>-1</v>
      </c>
      <c r="D432">
        <v>9</v>
      </c>
      <c r="E432">
        <v>1028</v>
      </c>
      <c r="F432" t="b">
        <v>1</v>
      </c>
      <c r="G432">
        <v>68.908000000000001</v>
      </c>
      <c r="H432">
        <v>29</v>
      </c>
      <c r="I432">
        <v>12</v>
      </c>
      <c r="J432">
        <v>16.079999999999998</v>
      </c>
      <c r="K432" t="s">
        <v>1030</v>
      </c>
      <c r="L432">
        <v>0</v>
      </c>
      <c r="N432" t="s">
        <v>1031</v>
      </c>
      <c r="O432" t="s">
        <v>1032</v>
      </c>
      <c r="P432" t="s">
        <v>16</v>
      </c>
      <c r="Q432">
        <f t="shared" si="18"/>
        <v>0.420850989725431</v>
      </c>
      <c r="R432">
        <f t="shared" si="19"/>
        <v>0.17414523712776456</v>
      </c>
      <c r="S432">
        <f t="shared" si="20"/>
        <v>0.82473433514127281</v>
      </c>
    </row>
    <row r="433" spans="1:19" hidden="1" x14ac:dyDescent="0.2">
      <c r="A433">
        <v>33</v>
      </c>
      <c r="B433" t="s">
        <v>29</v>
      </c>
      <c r="C433">
        <v>-1</v>
      </c>
      <c r="D433">
        <v>3</v>
      </c>
      <c r="E433">
        <v>1002</v>
      </c>
      <c r="F433" t="b">
        <v>1</v>
      </c>
      <c r="G433">
        <v>66.88</v>
      </c>
      <c r="H433">
        <v>28</v>
      </c>
      <c r="I433">
        <v>7</v>
      </c>
      <c r="J433">
        <v>8.34</v>
      </c>
      <c r="K433" t="s">
        <v>104</v>
      </c>
      <c r="L433">
        <v>0</v>
      </c>
      <c r="N433" t="s">
        <v>105</v>
      </c>
      <c r="O433" t="s">
        <v>106</v>
      </c>
      <c r="P433" t="s">
        <v>16</v>
      </c>
      <c r="Q433">
        <f t="shared" si="18"/>
        <v>0.41866028708133973</v>
      </c>
      <c r="R433">
        <f t="shared" si="19"/>
        <v>0.10466507177033493</v>
      </c>
      <c r="S433">
        <f t="shared" si="20"/>
        <v>0.64888824564078895</v>
      </c>
    </row>
    <row r="434" spans="1:19" hidden="1" x14ac:dyDescent="0.2">
      <c r="A434">
        <v>131</v>
      </c>
      <c r="B434" t="s">
        <v>29</v>
      </c>
      <c r="C434">
        <v>-1</v>
      </c>
      <c r="D434">
        <v>10</v>
      </c>
      <c r="E434">
        <v>1009</v>
      </c>
      <c r="F434" t="b">
        <v>1</v>
      </c>
      <c r="G434">
        <v>66.947999999999993</v>
      </c>
      <c r="H434">
        <v>28</v>
      </c>
      <c r="I434">
        <v>11</v>
      </c>
      <c r="J434">
        <v>9.3000000000000007</v>
      </c>
      <c r="K434" t="s">
        <v>356</v>
      </c>
      <c r="L434">
        <v>0</v>
      </c>
      <c r="N434" t="s">
        <v>357</v>
      </c>
      <c r="O434" t="s">
        <v>358</v>
      </c>
      <c r="P434" t="s">
        <v>16</v>
      </c>
      <c r="Q434">
        <f t="shared" si="18"/>
        <v>0.41823504809703055</v>
      </c>
      <c r="R434">
        <f t="shared" si="19"/>
        <v>0.16430662603811916</v>
      </c>
      <c r="S434">
        <f t="shared" si="20"/>
        <v>0.80661384006325532</v>
      </c>
    </row>
    <row r="435" spans="1:19" x14ac:dyDescent="0.2">
      <c r="A435">
        <v>98</v>
      </c>
      <c r="B435" t="s">
        <v>37</v>
      </c>
      <c r="C435">
        <v>2</v>
      </c>
      <c r="D435">
        <v>7</v>
      </c>
      <c r="E435">
        <v>1006</v>
      </c>
      <c r="F435" t="b">
        <v>1</v>
      </c>
      <c r="G435">
        <v>64.64</v>
      </c>
      <c r="H435">
        <v>27</v>
      </c>
      <c r="I435">
        <v>0</v>
      </c>
      <c r="J435">
        <v>0</v>
      </c>
      <c r="K435" t="s">
        <v>272</v>
      </c>
      <c r="L435">
        <v>0</v>
      </c>
      <c r="N435" t="s">
        <v>273</v>
      </c>
      <c r="O435" t="s">
        <v>274</v>
      </c>
      <c r="P435" t="s">
        <v>16</v>
      </c>
      <c r="Q435">
        <f t="shared" si="18"/>
        <v>0.41769801980198018</v>
      </c>
      <c r="R435">
        <f t="shared" si="19"/>
        <v>0</v>
      </c>
      <c r="S435">
        <f t="shared" si="20"/>
        <v>0</v>
      </c>
    </row>
    <row r="436" spans="1:19" hidden="1" x14ac:dyDescent="0.2">
      <c r="A436">
        <v>88</v>
      </c>
      <c r="B436" t="s">
        <v>25</v>
      </c>
      <c r="C436">
        <v>-1</v>
      </c>
      <c r="D436">
        <v>7</v>
      </c>
      <c r="E436">
        <v>1016</v>
      </c>
      <c r="F436" t="b">
        <v>1</v>
      </c>
      <c r="G436">
        <v>57.46</v>
      </c>
      <c r="H436">
        <v>24</v>
      </c>
      <c r="I436">
        <v>2</v>
      </c>
      <c r="J436">
        <v>1.08</v>
      </c>
      <c r="K436" t="s">
        <v>604</v>
      </c>
      <c r="L436">
        <v>0</v>
      </c>
      <c r="N436" t="s">
        <v>605</v>
      </c>
      <c r="O436" t="s">
        <v>606</v>
      </c>
      <c r="P436" t="s">
        <v>16</v>
      </c>
      <c r="Q436">
        <f t="shared" si="18"/>
        <v>0.41768186564566656</v>
      </c>
      <c r="R436">
        <f t="shared" si="19"/>
        <v>3.4806822137138878E-2</v>
      </c>
      <c r="S436">
        <f t="shared" si="20"/>
        <v>0.29394929317617735</v>
      </c>
    </row>
    <row r="437" spans="1:19" x14ac:dyDescent="0.2">
      <c r="A437">
        <v>139</v>
      </c>
      <c r="B437" t="s">
        <v>33</v>
      </c>
      <c r="C437">
        <v>2</v>
      </c>
      <c r="D437">
        <v>10</v>
      </c>
      <c r="E437">
        <v>1009</v>
      </c>
      <c r="F437" t="b">
        <v>1</v>
      </c>
      <c r="G437">
        <v>69.44</v>
      </c>
      <c r="H437">
        <v>29</v>
      </c>
      <c r="I437">
        <v>5</v>
      </c>
      <c r="J437">
        <v>1.98</v>
      </c>
      <c r="K437" t="s">
        <v>377</v>
      </c>
      <c r="L437">
        <v>-9</v>
      </c>
      <c r="N437" t="s">
        <v>378</v>
      </c>
      <c r="O437" t="s">
        <v>379</v>
      </c>
      <c r="P437" t="s">
        <v>16</v>
      </c>
      <c r="Q437">
        <f t="shared" si="18"/>
        <v>0.41762672811059909</v>
      </c>
      <c r="R437">
        <f t="shared" si="19"/>
        <v>7.2004608294930883E-2</v>
      </c>
      <c r="S437">
        <f t="shared" si="20"/>
        <v>0.51327017450273082</v>
      </c>
    </row>
    <row r="438" spans="1:19" x14ac:dyDescent="0.2">
      <c r="A438">
        <v>136</v>
      </c>
      <c r="B438" t="s">
        <v>21</v>
      </c>
      <c r="C438">
        <v>2</v>
      </c>
      <c r="D438">
        <v>10</v>
      </c>
      <c r="E438">
        <v>1009</v>
      </c>
      <c r="F438" t="b">
        <v>1</v>
      </c>
      <c r="G438">
        <v>59.875999999999998</v>
      </c>
      <c r="H438">
        <v>25</v>
      </c>
      <c r="I438">
        <v>2</v>
      </c>
      <c r="J438">
        <v>0.6</v>
      </c>
      <c r="K438" t="s">
        <v>368</v>
      </c>
      <c r="L438">
        <v>0</v>
      </c>
      <c r="N438" t="s">
        <v>369</v>
      </c>
      <c r="O438" t="s">
        <v>370</v>
      </c>
      <c r="P438" t="s">
        <v>16</v>
      </c>
      <c r="Q438">
        <f t="shared" si="18"/>
        <v>0.41752956109292538</v>
      </c>
      <c r="R438">
        <f t="shared" si="19"/>
        <v>3.3402364887434033E-2</v>
      </c>
      <c r="S438">
        <f t="shared" si="20"/>
        <v>0.2839631514384765</v>
      </c>
    </row>
    <row r="439" spans="1:19" x14ac:dyDescent="0.2">
      <c r="A439">
        <v>39</v>
      </c>
      <c r="B439" t="s">
        <v>25</v>
      </c>
      <c r="C439">
        <v>2</v>
      </c>
      <c r="D439">
        <v>3</v>
      </c>
      <c r="E439">
        <v>1032</v>
      </c>
      <c r="F439" t="b">
        <v>1</v>
      </c>
      <c r="G439">
        <v>59.94</v>
      </c>
      <c r="H439">
        <v>25</v>
      </c>
      <c r="I439">
        <v>1</v>
      </c>
      <c r="J439">
        <v>0.24</v>
      </c>
      <c r="K439" t="s">
        <v>1195</v>
      </c>
      <c r="L439">
        <v>0</v>
      </c>
      <c r="N439" t="s">
        <v>1196</v>
      </c>
      <c r="O439" t="s">
        <v>1197</v>
      </c>
      <c r="P439" t="s">
        <v>16</v>
      </c>
      <c r="Q439">
        <f t="shared" si="18"/>
        <v>0.41708375041708379</v>
      </c>
      <c r="R439">
        <f t="shared" si="19"/>
        <v>1.6683350016683352E-2</v>
      </c>
      <c r="S439">
        <f t="shared" si="20"/>
        <v>0.15365948483879244</v>
      </c>
    </row>
    <row r="440" spans="1:19" hidden="1" x14ac:dyDescent="0.2">
      <c r="A440">
        <v>45</v>
      </c>
      <c r="B440" t="s">
        <v>21</v>
      </c>
      <c r="C440">
        <v>-1</v>
      </c>
      <c r="D440">
        <v>4</v>
      </c>
      <c r="E440">
        <v>1013</v>
      </c>
      <c r="F440" t="b">
        <v>1</v>
      </c>
      <c r="G440">
        <v>59.963999999999999</v>
      </c>
      <c r="H440">
        <v>25</v>
      </c>
      <c r="I440">
        <v>8</v>
      </c>
      <c r="J440">
        <v>8.64</v>
      </c>
      <c r="K440" t="s">
        <v>493</v>
      </c>
      <c r="L440">
        <v>0</v>
      </c>
      <c r="N440" t="s">
        <v>494</v>
      </c>
      <c r="O440" t="s">
        <v>495</v>
      </c>
      <c r="P440" t="s">
        <v>16</v>
      </c>
      <c r="Q440">
        <f t="shared" si="18"/>
        <v>0.41691681675672071</v>
      </c>
      <c r="R440">
        <f t="shared" si="19"/>
        <v>0.13341338136215064</v>
      </c>
      <c r="S440">
        <f t="shared" si="20"/>
        <v>0.73661378176748671</v>
      </c>
    </row>
    <row r="441" spans="1:19" x14ac:dyDescent="0.2">
      <c r="A441">
        <v>95</v>
      </c>
      <c r="B441" t="s">
        <v>25</v>
      </c>
      <c r="C441">
        <v>2</v>
      </c>
      <c r="D441">
        <v>7</v>
      </c>
      <c r="E441">
        <v>1036</v>
      </c>
      <c r="F441" t="b">
        <v>1</v>
      </c>
      <c r="G441">
        <v>60.56</v>
      </c>
      <c r="H441">
        <v>25</v>
      </c>
      <c r="I441">
        <v>1</v>
      </c>
      <c r="J441">
        <v>0.96</v>
      </c>
      <c r="K441" t="s">
        <v>1339</v>
      </c>
      <c r="L441">
        <v>0</v>
      </c>
      <c r="N441" t="s">
        <v>1340</v>
      </c>
      <c r="O441" t="s">
        <v>1341</v>
      </c>
      <c r="P441" t="s">
        <v>16</v>
      </c>
      <c r="Q441">
        <f t="shared" si="18"/>
        <v>0.41281373844121533</v>
      </c>
      <c r="R441">
        <f t="shared" si="19"/>
        <v>1.6512549537648611E-2</v>
      </c>
      <c r="S441">
        <f t="shared" si="20"/>
        <v>0.15221269597520126</v>
      </c>
    </row>
    <row r="442" spans="1:19" hidden="1" x14ac:dyDescent="0.2">
      <c r="A442">
        <v>117</v>
      </c>
      <c r="B442" t="s">
        <v>29</v>
      </c>
      <c r="C442">
        <v>-1</v>
      </c>
      <c r="D442">
        <v>9</v>
      </c>
      <c r="E442">
        <v>1028</v>
      </c>
      <c r="F442" t="b">
        <v>1</v>
      </c>
      <c r="G442">
        <v>77.528000000000006</v>
      </c>
      <c r="H442">
        <v>32</v>
      </c>
      <c r="I442">
        <v>12</v>
      </c>
      <c r="J442">
        <v>12.72</v>
      </c>
      <c r="K442" t="s">
        <v>1036</v>
      </c>
      <c r="L442">
        <v>0</v>
      </c>
      <c r="N442" t="s">
        <v>1037</v>
      </c>
      <c r="O442" t="s">
        <v>1038</v>
      </c>
      <c r="P442" t="s">
        <v>16</v>
      </c>
      <c r="Q442">
        <f t="shared" si="18"/>
        <v>0.41275410174388605</v>
      </c>
      <c r="R442">
        <f t="shared" si="19"/>
        <v>0.15478278815395727</v>
      </c>
      <c r="S442">
        <f t="shared" si="20"/>
        <v>0.78729049736495882</v>
      </c>
    </row>
    <row r="443" spans="1:19" x14ac:dyDescent="0.2">
      <c r="A443">
        <v>137</v>
      </c>
      <c r="B443" t="s">
        <v>25</v>
      </c>
      <c r="C443">
        <v>2</v>
      </c>
      <c r="D443">
        <v>10</v>
      </c>
      <c r="E443">
        <v>1019</v>
      </c>
      <c r="F443" t="b">
        <v>1</v>
      </c>
      <c r="G443">
        <v>60.944000000000003</v>
      </c>
      <c r="H443">
        <v>25</v>
      </c>
      <c r="I443">
        <v>1</v>
      </c>
      <c r="J443">
        <v>1.38</v>
      </c>
      <c r="K443" t="s">
        <v>729</v>
      </c>
      <c r="L443">
        <v>0</v>
      </c>
      <c r="N443" t="s">
        <v>730</v>
      </c>
      <c r="O443" t="s">
        <v>731</v>
      </c>
      <c r="P443" t="s">
        <v>16</v>
      </c>
      <c r="Q443">
        <f t="shared" si="18"/>
        <v>0.41021265423995795</v>
      </c>
      <c r="R443">
        <f t="shared" si="19"/>
        <v>1.6408506169598318E-2</v>
      </c>
      <c r="S443">
        <f t="shared" si="20"/>
        <v>0.15133017048518049</v>
      </c>
    </row>
    <row r="444" spans="1:19" x14ac:dyDescent="0.2">
      <c r="A444">
        <v>55</v>
      </c>
      <c r="B444" t="s">
        <v>33</v>
      </c>
      <c r="C444">
        <v>2</v>
      </c>
      <c r="D444">
        <v>4</v>
      </c>
      <c r="E444">
        <v>1013</v>
      </c>
      <c r="F444" t="b">
        <v>1</v>
      </c>
      <c r="G444">
        <v>65.864000000000004</v>
      </c>
      <c r="H444">
        <v>27</v>
      </c>
      <c r="I444">
        <v>3</v>
      </c>
      <c r="J444">
        <v>0.42</v>
      </c>
      <c r="K444" t="s">
        <v>520</v>
      </c>
      <c r="L444">
        <v>0</v>
      </c>
      <c r="N444" t="s">
        <v>521</v>
      </c>
      <c r="O444" t="s">
        <v>522</v>
      </c>
      <c r="P444" t="s">
        <v>16</v>
      </c>
      <c r="Q444">
        <f t="shared" si="18"/>
        <v>0.40993562492408597</v>
      </c>
      <c r="R444">
        <f t="shared" si="19"/>
        <v>4.5548402769342883E-2</v>
      </c>
      <c r="S444">
        <f t="shared" si="20"/>
        <v>0.36585904813016223</v>
      </c>
    </row>
    <row r="445" spans="1:19" x14ac:dyDescent="0.2">
      <c r="A445">
        <v>123</v>
      </c>
      <c r="B445" t="s">
        <v>25</v>
      </c>
      <c r="C445">
        <v>2</v>
      </c>
      <c r="D445">
        <v>9</v>
      </c>
      <c r="E445">
        <v>1018</v>
      </c>
      <c r="F445" t="b">
        <v>1</v>
      </c>
      <c r="G445">
        <v>56.22</v>
      </c>
      <c r="H445">
        <v>23</v>
      </c>
      <c r="I445">
        <v>2</v>
      </c>
      <c r="J445">
        <v>1.08</v>
      </c>
      <c r="K445" t="s">
        <v>693</v>
      </c>
      <c r="L445">
        <v>0</v>
      </c>
      <c r="N445" t="s">
        <v>694</v>
      </c>
      <c r="O445" t="s">
        <v>695</v>
      </c>
      <c r="P445" t="s">
        <v>16</v>
      </c>
      <c r="Q445">
        <f t="shared" si="18"/>
        <v>0.40910707933119889</v>
      </c>
      <c r="R445">
        <f t="shared" si="19"/>
        <v>3.557452863749555E-2</v>
      </c>
      <c r="S445">
        <f t="shared" si="20"/>
        <v>0.2993489371194813</v>
      </c>
    </row>
    <row r="446" spans="1:19" hidden="1" x14ac:dyDescent="0.2">
      <c r="A446">
        <v>31</v>
      </c>
      <c r="B446" t="s">
        <v>21</v>
      </c>
      <c r="C446">
        <v>-1</v>
      </c>
      <c r="D446">
        <v>3</v>
      </c>
      <c r="E446">
        <v>1002</v>
      </c>
      <c r="F446" t="b">
        <v>1</v>
      </c>
      <c r="G446">
        <v>68.507999999999996</v>
      </c>
      <c r="H446">
        <v>28</v>
      </c>
      <c r="I446">
        <v>7</v>
      </c>
      <c r="J446">
        <v>8.2799999999999994</v>
      </c>
      <c r="K446" t="s">
        <v>98</v>
      </c>
      <c r="L446">
        <v>0</v>
      </c>
      <c r="N446" t="s">
        <v>99</v>
      </c>
      <c r="O446" t="s">
        <v>100</v>
      </c>
      <c r="P446" t="s">
        <v>16</v>
      </c>
      <c r="Q446">
        <f t="shared" si="18"/>
        <v>0.40871139137035095</v>
      </c>
      <c r="R446">
        <f t="shared" si="19"/>
        <v>0.10217784784258774</v>
      </c>
      <c r="S446">
        <f t="shared" si="20"/>
        <v>0.64004580020814017</v>
      </c>
    </row>
    <row r="447" spans="1:19" x14ac:dyDescent="0.2">
      <c r="A447">
        <v>68</v>
      </c>
      <c r="B447" t="s">
        <v>29</v>
      </c>
      <c r="C447">
        <v>2</v>
      </c>
      <c r="D447">
        <v>5</v>
      </c>
      <c r="E447">
        <v>1014</v>
      </c>
      <c r="F447" t="b">
        <v>1</v>
      </c>
      <c r="G447">
        <v>75.94</v>
      </c>
      <c r="H447">
        <v>31</v>
      </c>
      <c r="I447">
        <v>6</v>
      </c>
      <c r="J447">
        <v>1.74</v>
      </c>
      <c r="K447" t="s">
        <v>553</v>
      </c>
      <c r="L447">
        <v>0</v>
      </c>
      <c r="N447" t="s">
        <v>554</v>
      </c>
      <c r="O447" t="s">
        <v>555</v>
      </c>
      <c r="P447" t="s">
        <v>16</v>
      </c>
      <c r="Q447">
        <f t="shared" si="18"/>
        <v>0.40821701343165656</v>
      </c>
      <c r="R447">
        <f t="shared" si="19"/>
        <v>7.900974453515934E-2</v>
      </c>
      <c r="S447">
        <f t="shared" si="20"/>
        <v>0.54619942762859575</v>
      </c>
    </row>
    <row r="448" spans="1:19" hidden="1" x14ac:dyDescent="0.2">
      <c r="A448">
        <v>130</v>
      </c>
      <c r="B448" t="s">
        <v>25</v>
      </c>
      <c r="C448">
        <v>-1</v>
      </c>
      <c r="D448">
        <v>10</v>
      </c>
      <c r="E448">
        <v>1009</v>
      </c>
      <c r="F448" t="b">
        <v>1</v>
      </c>
      <c r="G448">
        <v>61.271999999999998</v>
      </c>
      <c r="H448">
        <v>25</v>
      </c>
      <c r="I448">
        <v>8</v>
      </c>
      <c r="J448">
        <v>7.56</v>
      </c>
      <c r="K448" t="s">
        <v>353</v>
      </c>
      <c r="L448">
        <v>0</v>
      </c>
      <c r="N448" t="s">
        <v>354</v>
      </c>
      <c r="O448" t="s">
        <v>355</v>
      </c>
      <c r="P448" t="s">
        <v>16</v>
      </c>
      <c r="Q448">
        <f t="shared" si="18"/>
        <v>0.40801671236453846</v>
      </c>
      <c r="R448">
        <f t="shared" si="19"/>
        <v>0.13056534795665231</v>
      </c>
      <c r="S448">
        <f t="shared" si="20"/>
        <v>0.72900461277750939</v>
      </c>
    </row>
    <row r="449" spans="1:19" x14ac:dyDescent="0.2">
      <c r="A449">
        <v>26</v>
      </c>
      <c r="B449" t="s">
        <v>29</v>
      </c>
      <c r="C449">
        <v>2</v>
      </c>
      <c r="D449">
        <v>2</v>
      </c>
      <c r="E449">
        <v>1001</v>
      </c>
      <c r="F449" t="b">
        <v>1</v>
      </c>
      <c r="G449">
        <v>66.239999999999995</v>
      </c>
      <c r="H449">
        <v>27</v>
      </c>
      <c r="I449">
        <v>1</v>
      </c>
      <c r="J449">
        <v>0.06</v>
      </c>
      <c r="K449" t="s">
        <v>86</v>
      </c>
      <c r="L449">
        <v>0</v>
      </c>
      <c r="N449" t="s">
        <v>87</v>
      </c>
      <c r="O449" t="s">
        <v>88</v>
      </c>
      <c r="P449" t="s">
        <v>16</v>
      </c>
      <c r="Q449">
        <f t="shared" si="18"/>
        <v>0.40760869565217395</v>
      </c>
      <c r="R449">
        <f t="shared" si="19"/>
        <v>1.5096618357487924E-2</v>
      </c>
      <c r="S449">
        <f t="shared" si="20"/>
        <v>0.14012322387383236</v>
      </c>
    </row>
    <row r="450" spans="1:19" x14ac:dyDescent="0.2">
      <c r="A450">
        <v>125</v>
      </c>
      <c r="B450" t="s">
        <v>33</v>
      </c>
      <c r="C450">
        <v>2</v>
      </c>
      <c r="D450">
        <v>9</v>
      </c>
      <c r="E450">
        <v>1038</v>
      </c>
      <c r="F450" t="b">
        <v>1</v>
      </c>
      <c r="G450">
        <v>61.524000000000001</v>
      </c>
      <c r="H450">
        <v>25</v>
      </c>
      <c r="I450">
        <v>1</v>
      </c>
      <c r="J450">
        <v>0.12</v>
      </c>
      <c r="K450" t="s">
        <v>1417</v>
      </c>
      <c r="L450">
        <v>0</v>
      </c>
      <c r="N450" t="s">
        <v>1418</v>
      </c>
      <c r="O450" t="s">
        <v>1419</v>
      </c>
      <c r="P450" t="s">
        <v>16</v>
      </c>
      <c r="Q450">
        <f t="shared" ref="Q450:Q513" si="21">H450/G450</f>
        <v>0.40634549119042973</v>
      </c>
      <c r="R450">
        <f t="shared" ref="R450:R513" si="22">I450/G450</f>
        <v>1.6253819647617188E-2</v>
      </c>
      <c r="S450">
        <f t="shared" ref="S450:S513" si="23">1-EXP((-10*R450))</f>
        <v>0.15001637677387147</v>
      </c>
    </row>
    <row r="451" spans="1:19" x14ac:dyDescent="0.2">
      <c r="A451">
        <v>98</v>
      </c>
      <c r="B451" t="s">
        <v>37</v>
      </c>
      <c r="C451">
        <v>2</v>
      </c>
      <c r="D451">
        <v>7</v>
      </c>
      <c r="E451">
        <v>1026</v>
      </c>
      <c r="F451" t="b">
        <v>1</v>
      </c>
      <c r="G451">
        <v>66.52</v>
      </c>
      <c r="H451">
        <v>27</v>
      </c>
      <c r="I451">
        <v>3</v>
      </c>
      <c r="J451">
        <v>1.26</v>
      </c>
      <c r="K451" t="s">
        <v>989</v>
      </c>
      <c r="L451">
        <v>0</v>
      </c>
      <c r="N451" t="s">
        <v>990</v>
      </c>
      <c r="O451" t="s">
        <v>991</v>
      </c>
      <c r="P451" t="s">
        <v>16</v>
      </c>
      <c r="Q451">
        <f t="shared" si="21"/>
        <v>0.40589296452194829</v>
      </c>
      <c r="R451">
        <f t="shared" si="22"/>
        <v>4.5099218280216478E-2</v>
      </c>
      <c r="S451">
        <f t="shared" si="23"/>
        <v>0.36300417831912213</v>
      </c>
    </row>
    <row r="452" spans="1:19" hidden="1" x14ac:dyDescent="0.2">
      <c r="A452">
        <v>31</v>
      </c>
      <c r="B452" t="s">
        <v>21</v>
      </c>
      <c r="C452">
        <v>-1</v>
      </c>
      <c r="D452">
        <v>3</v>
      </c>
      <c r="E452">
        <v>1022</v>
      </c>
      <c r="F452" t="b">
        <v>1</v>
      </c>
      <c r="G452">
        <v>46.951999999999998</v>
      </c>
      <c r="H452">
        <v>19</v>
      </c>
      <c r="I452">
        <v>4</v>
      </c>
      <c r="J452">
        <v>5.28</v>
      </c>
      <c r="K452" t="s">
        <v>816</v>
      </c>
      <c r="L452">
        <v>0</v>
      </c>
      <c r="N452" t="s">
        <v>817</v>
      </c>
      <c r="O452" t="s">
        <v>818</v>
      </c>
      <c r="P452" t="s">
        <v>16</v>
      </c>
      <c r="Q452">
        <f t="shared" si="21"/>
        <v>0.40466859771681718</v>
      </c>
      <c r="R452">
        <f t="shared" si="22"/>
        <v>8.5193388993014152E-2</v>
      </c>
      <c r="S452">
        <f t="shared" si="23"/>
        <v>0.57341084274811405</v>
      </c>
    </row>
    <row r="453" spans="1:19" x14ac:dyDescent="0.2">
      <c r="A453">
        <v>80</v>
      </c>
      <c r="B453" t="s">
        <v>21</v>
      </c>
      <c r="C453">
        <v>2</v>
      </c>
      <c r="D453">
        <v>6</v>
      </c>
      <c r="E453">
        <v>1005</v>
      </c>
      <c r="F453" t="b">
        <v>1</v>
      </c>
      <c r="G453">
        <v>62.264000000000003</v>
      </c>
      <c r="H453">
        <v>25</v>
      </c>
      <c r="I453">
        <v>3</v>
      </c>
      <c r="J453">
        <v>1.1399999999999999</v>
      </c>
      <c r="K453" t="s">
        <v>224</v>
      </c>
      <c r="L453">
        <v>0</v>
      </c>
      <c r="N453" t="s">
        <v>225</v>
      </c>
      <c r="O453" t="s">
        <v>226</v>
      </c>
      <c r="P453" t="s">
        <v>16</v>
      </c>
      <c r="Q453">
        <f t="shared" si="21"/>
        <v>0.40151612488757549</v>
      </c>
      <c r="R453">
        <f t="shared" si="22"/>
        <v>4.8181934986509058E-2</v>
      </c>
      <c r="S453">
        <f t="shared" si="23"/>
        <v>0.38234136819803155</v>
      </c>
    </row>
    <row r="454" spans="1:19" hidden="1" x14ac:dyDescent="0.2">
      <c r="A454">
        <v>46</v>
      </c>
      <c r="B454" t="s">
        <v>25</v>
      </c>
      <c r="C454">
        <v>-1</v>
      </c>
      <c r="D454">
        <v>4</v>
      </c>
      <c r="E454">
        <v>1023</v>
      </c>
      <c r="F454" t="b">
        <v>1</v>
      </c>
      <c r="G454">
        <v>64.94</v>
      </c>
      <c r="H454">
        <v>26</v>
      </c>
      <c r="I454">
        <v>5</v>
      </c>
      <c r="J454">
        <v>8.1</v>
      </c>
      <c r="K454" t="s">
        <v>855</v>
      </c>
      <c r="L454">
        <v>0</v>
      </c>
      <c r="N454" t="s">
        <v>856</v>
      </c>
      <c r="O454" t="s">
        <v>857</v>
      </c>
      <c r="P454" t="s">
        <v>16</v>
      </c>
      <c r="Q454">
        <f t="shared" si="21"/>
        <v>0.40036957191253464</v>
      </c>
      <c r="R454">
        <f t="shared" si="22"/>
        <v>7.6994148444718205E-2</v>
      </c>
      <c r="S454">
        <f t="shared" si="23"/>
        <v>0.53695983743040765</v>
      </c>
    </row>
    <row r="455" spans="1:19" x14ac:dyDescent="0.2">
      <c r="A455">
        <v>110</v>
      </c>
      <c r="B455" t="s">
        <v>29</v>
      </c>
      <c r="C455">
        <v>2</v>
      </c>
      <c r="D455">
        <v>8</v>
      </c>
      <c r="E455">
        <v>1027</v>
      </c>
      <c r="F455" t="b">
        <v>1</v>
      </c>
      <c r="G455">
        <v>72.475999999999999</v>
      </c>
      <c r="H455">
        <v>29</v>
      </c>
      <c r="I455">
        <v>3</v>
      </c>
      <c r="J455">
        <v>3.24</v>
      </c>
      <c r="K455" t="s">
        <v>1018</v>
      </c>
      <c r="L455">
        <v>0</v>
      </c>
      <c r="N455" t="s">
        <v>1019</v>
      </c>
      <c r="O455" t="s">
        <v>1020</v>
      </c>
      <c r="P455" t="s">
        <v>16</v>
      </c>
      <c r="Q455">
        <f t="shared" si="21"/>
        <v>0.40013245764115019</v>
      </c>
      <c r="R455">
        <f t="shared" si="22"/>
        <v>4.1393012859429326E-2</v>
      </c>
      <c r="S455">
        <f t="shared" si="23"/>
        <v>0.33895286205490383</v>
      </c>
    </row>
    <row r="456" spans="1:19" x14ac:dyDescent="0.2">
      <c r="A456">
        <v>13</v>
      </c>
      <c r="B456" t="s">
        <v>33</v>
      </c>
      <c r="C456">
        <v>2</v>
      </c>
      <c r="D456">
        <v>1</v>
      </c>
      <c r="E456">
        <v>1000</v>
      </c>
      <c r="F456" t="b">
        <v>1</v>
      </c>
      <c r="G456">
        <v>77.543999999999997</v>
      </c>
      <c r="H456">
        <v>31</v>
      </c>
      <c r="I456">
        <v>6</v>
      </c>
      <c r="J456">
        <v>0.72</v>
      </c>
      <c r="K456" t="s">
        <v>53</v>
      </c>
      <c r="L456">
        <v>0</v>
      </c>
      <c r="N456" t="s">
        <v>54</v>
      </c>
      <c r="O456" t="s">
        <v>55</v>
      </c>
      <c r="P456" t="s">
        <v>16</v>
      </c>
      <c r="Q456">
        <f t="shared" si="21"/>
        <v>0.39977303208500981</v>
      </c>
      <c r="R456">
        <f t="shared" si="22"/>
        <v>7.7375425564840616E-2</v>
      </c>
      <c r="S456">
        <f t="shared" si="23"/>
        <v>0.53872194224134939</v>
      </c>
    </row>
    <row r="457" spans="1:19" x14ac:dyDescent="0.2">
      <c r="A457">
        <v>40</v>
      </c>
      <c r="B457" t="s">
        <v>29</v>
      </c>
      <c r="C457">
        <v>2</v>
      </c>
      <c r="D457">
        <v>3</v>
      </c>
      <c r="E457">
        <v>1002</v>
      </c>
      <c r="F457" t="b">
        <v>1</v>
      </c>
      <c r="G457">
        <v>72.628</v>
      </c>
      <c r="H457">
        <v>29</v>
      </c>
      <c r="I457">
        <v>4</v>
      </c>
      <c r="J457">
        <v>2.88</v>
      </c>
      <c r="K457" t="s">
        <v>122</v>
      </c>
      <c r="L457">
        <v>0</v>
      </c>
      <c r="N457" t="s">
        <v>123</v>
      </c>
      <c r="O457" t="s">
        <v>124</v>
      </c>
      <c r="P457" t="s">
        <v>16</v>
      </c>
      <c r="Q457">
        <f t="shared" si="21"/>
        <v>0.39929503772649666</v>
      </c>
      <c r="R457">
        <f t="shared" si="22"/>
        <v>5.5075177617447818E-2</v>
      </c>
      <c r="S457">
        <f t="shared" si="23"/>
        <v>0.42348376374505825</v>
      </c>
    </row>
    <row r="458" spans="1:19" hidden="1" x14ac:dyDescent="0.2">
      <c r="A458">
        <v>116</v>
      </c>
      <c r="B458" t="s">
        <v>25</v>
      </c>
      <c r="C458">
        <v>-1</v>
      </c>
      <c r="D458">
        <v>9</v>
      </c>
      <c r="E458">
        <v>1008</v>
      </c>
      <c r="F458" t="b">
        <v>1</v>
      </c>
      <c r="G458">
        <v>62.804000000000002</v>
      </c>
      <c r="H458">
        <v>25</v>
      </c>
      <c r="I458">
        <v>7</v>
      </c>
      <c r="J458">
        <v>4.32</v>
      </c>
      <c r="K458" t="s">
        <v>317</v>
      </c>
      <c r="L458">
        <v>0</v>
      </c>
      <c r="N458" t="s">
        <v>318</v>
      </c>
      <c r="O458" t="s">
        <v>319</v>
      </c>
      <c r="P458" t="s">
        <v>16</v>
      </c>
      <c r="Q458">
        <f t="shared" si="21"/>
        <v>0.39806381759123621</v>
      </c>
      <c r="R458">
        <f t="shared" si="22"/>
        <v>0.11145786892554614</v>
      </c>
      <c r="S458">
        <f t="shared" si="23"/>
        <v>0.67194653776309432</v>
      </c>
    </row>
    <row r="459" spans="1:19" hidden="1" x14ac:dyDescent="0.2">
      <c r="A459">
        <v>32</v>
      </c>
      <c r="B459" t="s">
        <v>25</v>
      </c>
      <c r="C459">
        <v>-1</v>
      </c>
      <c r="D459">
        <v>3</v>
      </c>
      <c r="E459">
        <v>1032</v>
      </c>
      <c r="F459" t="b">
        <v>1</v>
      </c>
      <c r="G459">
        <v>60.32</v>
      </c>
      <c r="H459">
        <v>24</v>
      </c>
      <c r="I459">
        <v>8</v>
      </c>
      <c r="J459">
        <v>7.86</v>
      </c>
      <c r="K459" t="s">
        <v>1177</v>
      </c>
      <c r="L459">
        <v>0</v>
      </c>
      <c r="N459" t="s">
        <v>1178</v>
      </c>
      <c r="O459" t="s">
        <v>1179</v>
      </c>
      <c r="P459" t="s">
        <v>16</v>
      </c>
      <c r="Q459">
        <f t="shared" si="21"/>
        <v>0.39787798408488062</v>
      </c>
      <c r="R459">
        <f t="shared" si="22"/>
        <v>0.13262599469496023</v>
      </c>
      <c r="S459">
        <f t="shared" si="23"/>
        <v>0.73453172765052921</v>
      </c>
    </row>
    <row r="460" spans="1:19" x14ac:dyDescent="0.2">
      <c r="A460">
        <v>137</v>
      </c>
      <c r="B460" t="s">
        <v>25</v>
      </c>
      <c r="C460">
        <v>2</v>
      </c>
      <c r="D460">
        <v>10</v>
      </c>
      <c r="E460">
        <v>1039</v>
      </c>
      <c r="F460" t="b">
        <v>1</v>
      </c>
      <c r="G460">
        <v>70.38</v>
      </c>
      <c r="H460">
        <v>28</v>
      </c>
      <c r="I460">
        <v>1</v>
      </c>
      <c r="J460">
        <v>0.18</v>
      </c>
      <c r="K460" t="s">
        <v>1447</v>
      </c>
      <c r="L460">
        <v>0</v>
      </c>
      <c r="N460" t="s">
        <v>1448</v>
      </c>
      <c r="O460" t="s">
        <v>1449</v>
      </c>
      <c r="P460" t="s">
        <v>16</v>
      </c>
      <c r="Q460">
        <f t="shared" si="21"/>
        <v>0.39784029553850531</v>
      </c>
      <c r="R460">
        <f t="shared" si="22"/>
        <v>1.4208581983518046E-2</v>
      </c>
      <c r="S460">
        <f t="shared" si="23"/>
        <v>0.13245319943237366</v>
      </c>
    </row>
    <row r="461" spans="1:19" x14ac:dyDescent="0.2">
      <c r="A461">
        <v>67</v>
      </c>
      <c r="B461" t="s">
        <v>25</v>
      </c>
      <c r="C461">
        <v>2</v>
      </c>
      <c r="D461">
        <v>5</v>
      </c>
      <c r="E461">
        <v>1024</v>
      </c>
      <c r="F461" t="b">
        <v>1</v>
      </c>
      <c r="G461">
        <v>65.86</v>
      </c>
      <c r="H461">
        <v>26</v>
      </c>
      <c r="I461">
        <v>2</v>
      </c>
      <c r="J461">
        <v>2.2799999999999998</v>
      </c>
      <c r="K461" t="s">
        <v>909</v>
      </c>
      <c r="L461">
        <v>0</v>
      </c>
      <c r="N461" t="s">
        <v>910</v>
      </c>
      <c r="O461" t="s">
        <v>911</v>
      </c>
      <c r="P461" t="s">
        <v>16</v>
      </c>
      <c r="Q461">
        <f t="shared" si="21"/>
        <v>0.39477679927118131</v>
      </c>
      <c r="R461">
        <f t="shared" si="22"/>
        <v>3.0367446097783177E-2</v>
      </c>
      <c r="S461">
        <f t="shared" si="23"/>
        <v>0.26189889194256111</v>
      </c>
    </row>
    <row r="462" spans="1:19" x14ac:dyDescent="0.2">
      <c r="A462">
        <v>96</v>
      </c>
      <c r="B462" t="s">
        <v>29</v>
      </c>
      <c r="C462">
        <v>2</v>
      </c>
      <c r="D462">
        <v>7</v>
      </c>
      <c r="E462">
        <v>1006</v>
      </c>
      <c r="F462" t="b">
        <v>1</v>
      </c>
      <c r="G462">
        <v>60.948</v>
      </c>
      <c r="H462">
        <v>24</v>
      </c>
      <c r="I462">
        <v>1</v>
      </c>
      <c r="J462">
        <v>0.12</v>
      </c>
      <c r="K462" t="s">
        <v>266</v>
      </c>
      <c r="L462">
        <v>0</v>
      </c>
      <c r="N462" t="s">
        <v>267</v>
      </c>
      <c r="O462" t="s">
        <v>268</v>
      </c>
      <c r="P462" t="s">
        <v>16</v>
      </c>
      <c r="Q462">
        <f t="shared" si="21"/>
        <v>0.39377830281551485</v>
      </c>
      <c r="R462">
        <f t="shared" si="22"/>
        <v>1.6407429283979785E-2</v>
      </c>
      <c r="S462">
        <f t="shared" si="23"/>
        <v>0.15132103123262808</v>
      </c>
    </row>
    <row r="463" spans="1:19" x14ac:dyDescent="0.2">
      <c r="A463">
        <v>122</v>
      </c>
      <c r="B463" t="s">
        <v>21</v>
      </c>
      <c r="C463">
        <v>2</v>
      </c>
      <c r="D463">
        <v>9</v>
      </c>
      <c r="E463">
        <v>1018</v>
      </c>
      <c r="F463" t="b">
        <v>1</v>
      </c>
      <c r="G463">
        <v>66.040000000000006</v>
      </c>
      <c r="H463">
        <v>26</v>
      </c>
      <c r="I463">
        <v>1</v>
      </c>
      <c r="J463">
        <v>0.48</v>
      </c>
      <c r="K463" t="s">
        <v>690</v>
      </c>
      <c r="L463">
        <v>0</v>
      </c>
      <c r="N463" t="s">
        <v>691</v>
      </c>
      <c r="O463" t="s">
        <v>692</v>
      </c>
      <c r="P463" t="s">
        <v>16</v>
      </c>
      <c r="Q463">
        <f t="shared" si="21"/>
        <v>0.39370078740157477</v>
      </c>
      <c r="R463">
        <f t="shared" si="22"/>
        <v>1.5142337976983646E-2</v>
      </c>
      <c r="S463">
        <f t="shared" si="23"/>
        <v>0.14051626640838721</v>
      </c>
    </row>
    <row r="464" spans="1:19" hidden="1" x14ac:dyDescent="0.2">
      <c r="A464">
        <v>60</v>
      </c>
      <c r="B464" t="s">
        <v>25</v>
      </c>
      <c r="C464">
        <v>-1</v>
      </c>
      <c r="D464">
        <v>5</v>
      </c>
      <c r="E464">
        <v>1034</v>
      </c>
      <c r="F464" t="b">
        <v>1</v>
      </c>
      <c r="G464">
        <v>81.3</v>
      </c>
      <c r="H464">
        <v>32</v>
      </c>
      <c r="I464">
        <v>7</v>
      </c>
      <c r="J464">
        <v>7.74</v>
      </c>
      <c r="K464" t="s">
        <v>1249</v>
      </c>
      <c r="L464">
        <v>0</v>
      </c>
      <c r="N464" t="s">
        <v>1250</v>
      </c>
      <c r="O464" t="s">
        <v>1251</v>
      </c>
      <c r="P464" t="s">
        <v>16</v>
      </c>
      <c r="Q464">
        <f t="shared" si="21"/>
        <v>0.39360393603936039</v>
      </c>
      <c r="R464">
        <f t="shared" si="22"/>
        <v>8.6100861008610086E-2</v>
      </c>
      <c r="S464">
        <f t="shared" si="23"/>
        <v>0.57726450805869023</v>
      </c>
    </row>
    <row r="465" spans="1:19" hidden="1" x14ac:dyDescent="0.2">
      <c r="A465">
        <v>17</v>
      </c>
      <c r="B465" t="s">
        <v>21</v>
      </c>
      <c r="C465">
        <v>-1</v>
      </c>
      <c r="D465">
        <v>2</v>
      </c>
      <c r="E465">
        <v>1031</v>
      </c>
      <c r="F465" t="b">
        <v>1</v>
      </c>
      <c r="G465">
        <v>74.052000000000007</v>
      </c>
      <c r="H465">
        <v>29</v>
      </c>
      <c r="I465">
        <v>12</v>
      </c>
      <c r="J465">
        <v>9.9</v>
      </c>
      <c r="K465" t="s">
        <v>1138</v>
      </c>
      <c r="L465">
        <v>0</v>
      </c>
      <c r="N465" t="s">
        <v>1139</v>
      </c>
      <c r="O465" t="s">
        <v>1140</v>
      </c>
      <c r="P465" t="s">
        <v>16</v>
      </c>
      <c r="Q465">
        <f t="shared" si="21"/>
        <v>0.39161670177712954</v>
      </c>
      <c r="R465">
        <f t="shared" si="22"/>
        <v>0.16204829039053636</v>
      </c>
      <c r="S465">
        <f t="shared" si="23"/>
        <v>0.80219684390014256</v>
      </c>
    </row>
    <row r="466" spans="1:19" x14ac:dyDescent="0.2">
      <c r="A466">
        <v>25</v>
      </c>
      <c r="B466" t="s">
        <v>25</v>
      </c>
      <c r="C466">
        <v>2</v>
      </c>
      <c r="D466">
        <v>2</v>
      </c>
      <c r="E466">
        <v>1001</v>
      </c>
      <c r="F466" t="b">
        <v>1</v>
      </c>
      <c r="G466">
        <v>69.111999999999995</v>
      </c>
      <c r="H466">
        <v>27</v>
      </c>
      <c r="I466">
        <v>2</v>
      </c>
      <c r="J466">
        <v>1.74</v>
      </c>
      <c r="K466" t="s">
        <v>83</v>
      </c>
      <c r="L466">
        <v>0</v>
      </c>
      <c r="N466" t="s">
        <v>84</v>
      </c>
      <c r="O466" t="s">
        <v>85</v>
      </c>
      <c r="P466" t="s">
        <v>16</v>
      </c>
      <c r="Q466">
        <f t="shared" si="21"/>
        <v>0.39067021646023847</v>
      </c>
      <c r="R466">
        <f t="shared" si="22"/>
        <v>2.8938534552610258E-2</v>
      </c>
      <c r="S466">
        <f t="shared" si="23"/>
        <v>0.25127636749597015</v>
      </c>
    </row>
    <row r="467" spans="1:19" hidden="1" x14ac:dyDescent="0.2">
      <c r="A467">
        <v>17</v>
      </c>
      <c r="B467" t="s">
        <v>21</v>
      </c>
      <c r="C467">
        <v>-1</v>
      </c>
      <c r="D467">
        <v>2</v>
      </c>
      <c r="E467">
        <v>1021</v>
      </c>
      <c r="F467" t="b">
        <v>1</v>
      </c>
      <c r="G467">
        <v>76.912000000000006</v>
      </c>
      <c r="H467">
        <v>30</v>
      </c>
      <c r="I467">
        <v>9</v>
      </c>
      <c r="J467">
        <v>5.82</v>
      </c>
      <c r="K467" t="s">
        <v>780</v>
      </c>
      <c r="L467">
        <v>0</v>
      </c>
      <c r="N467" t="s">
        <v>781</v>
      </c>
      <c r="O467" t="s">
        <v>782</v>
      </c>
      <c r="P467" t="s">
        <v>16</v>
      </c>
      <c r="Q467">
        <f t="shared" si="21"/>
        <v>0.39005616808820465</v>
      </c>
      <c r="R467">
        <f t="shared" si="22"/>
        <v>0.1170168504264614</v>
      </c>
      <c r="S467">
        <f t="shared" si="23"/>
        <v>0.68968535248172991</v>
      </c>
    </row>
    <row r="468" spans="1:19" x14ac:dyDescent="0.2">
      <c r="A468">
        <v>53</v>
      </c>
      <c r="B468" t="s">
        <v>25</v>
      </c>
      <c r="C468">
        <v>2</v>
      </c>
      <c r="D468">
        <v>4</v>
      </c>
      <c r="E468">
        <v>1013</v>
      </c>
      <c r="F468" t="b">
        <v>1</v>
      </c>
      <c r="G468">
        <v>46.164000000000001</v>
      </c>
      <c r="H468">
        <v>18</v>
      </c>
      <c r="I468">
        <v>2</v>
      </c>
      <c r="J468">
        <v>1.26</v>
      </c>
      <c r="K468" t="s">
        <v>514</v>
      </c>
      <c r="L468">
        <v>0</v>
      </c>
      <c r="N468" t="s">
        <v>515</v>
      </c>
      <c r="O468" t="s">
        <v>516</v>
      </c>
      <c r="P468" t="s">
        <v>16</v>
      </c>
      <c r="Q468">
        <f t="shared" si="21"/>
        <v>0.38991421887184818</v>
      </c>
      <c r="R468">
        <f t="shared" si="22"/>
        <v>4.3323802096872019E-2</v>
      </c>
      <c r="S468">
        <f t="shared" si="23"/>
        <v>0.35159386082124744</v>
      </c>
    </row>
    <row r="469" spans="1:19" hidden="1" x14ac:dyDescent="0.2">
      <c r="A469">
        <v>73</v>
      </c>
      <c r="B469" t="s">
        <v>21</v>
      </c>
      <c r="C469">
        <v>-1</v>
      </c>
      <c r="D469">
        <v>6</v>
      </c>
      <c r="E469">
        <v>1015</v>
      </c>
      <c r="F469" t="b">
        <v>1</v>
      </c>
      <c r="G469">
        <v>75.251999999999995</v>
      </c>
      <c r="H469">
        <v>29</v>
      </c>
      <c r="I469">
        <v>9</v>
      </c>
      <c r="J469">
        <v>10.199999999999999</v>
      </c>
      <c r="K469" t="s">
        <v>565</v>
      </c>
      <c r="L469">
        <v>0</v>
      </c>
      <c r="N469" t="s">
        <v>566</v>
      </c>
      <c r="O469" t="s">
        <v>567</v>
      </c>
      <c r="P469" t="s">
        <v>16</v>
      </c>
      <c r="Q469">
        <f t="shared" si="21"/>
        <v>0.38537181736033599</v>
      </c>
      <c r="R469">
        <f t="shared" si="22"/>
        <v>0.11959815021527667</v>
      </c>
      <c r="S469">
        <f t="shared" si="23"/>
        <v>0.69759300464383489</v>
      </c>
    </row>
    <row r="470" spans="1:19" hidden="1" x14ac:dyDescent="0.2">
      <c r="A470">
        <v>47</v>
      </c>
      <c r="B470" t="s">
        <v>29</v>
      </c>
      <c r="C470">
        <v>-1</v>
      </c>
      <c r="D470">
        <v>4</v>
      </c>
      <c r="E470">
        <v>1013</v>
      </c>
      <c r="F470" t="b">
        <v>1</v>
      </c>
      <c r="G470">
        <v>67.707999999999998</v>
      </c>
      <c r="H470">
        <v>26</v>
      </c>
      <c r="I470">
        <v>11</v>
      </c>
      <c r="J470">
        <v>16.86</v>
      </c>
      <c r="K470" t="s">
        <v>499</v>
      </c>
      <c r="L470">
        <v>0</v>
      </c>
      <c r="N470" t="s">
        <v>500</v>
      </c>
      <c r="O470" t="s">
        <v>501</v>
      </c>
      <c r="P470" t="s">
        <v>16</v>
      </c>
      <c r="Q470">
        <f t="shared" si="21"/>
        <v>0.38400189047084543</v>
      </c>
      <c r="R470">
        <f t="shared" si="22"/>
        <v>0.16246233827612691</v>
      </c>
      <c r="S470">
        <f t="shared" si="23"/>
        <v>0.80301415049763369</v>
      </c>
    </row>
    <row r="471" spans="1:19" hidden="1" x14ac:dyDescent="0.2">
      <c r="A471">
        <v>103</v>
      </c>
      <c r="B471" t="s">
        <v>29</v>
      </c>
      <c r="C471">
        <v>-1</v>
      </c>
      <c r="D471">
        <v>8</v>
      </c>
      <c r="E471">
        <v>1007</v>
      </c>
      <c r="F471" t="b">
        <v>1</v>
      </c>
      <c r="G471">
        <v>65.256</v>
      </c>
      <c r="H471">
        <v>25</v>
      </c>
      <c r="I471">
        <v>10</v>
      </c>
      <c r="J471">
        <v>8.6999999999999993</v>
      </c>
      <c r="K471" t="s">
        <v>284</v>
      </c>
      <c r="L471">
        <v>0</v>
      </c>
      <c r="N471" t="s">
        <v>285</v>
      </c>
      <c r="O471" t="s">
        <v>286</v>
      </c>
      <c r="P471" t="s">
        <v>16</v>
      </c>
      <c r="Q471">
        <f t="shared" si="21"/>
        <v>0.38310653426504843</v>
      </c>
      <c r="R471">
        <f t="shared" si="22"/>
        <v>0.15324261370601938</v>
      </c>
      <c r="S471">
        <f t="shared" si="23"/>
        <v>0.78398904112664725</v>
      </c>
    </row>
    <row r="472" spans="1:19" hidden="1" x14ac:dyDescent="0.2">
      <c r="A472">
        <v>35</v>
      </c>
      <c r="B472" t="s">
        <v>37</v>
      </c>
      <c r="C472">
        <v>-1</v>
      </c>
      <c r="D472">
        <v>3</v>
      </c>
      <c r="E472">
        <v>1002</v>
      </c>
      <c r="F472" t="b">
        <v>1</v>
      </c>
      <c r="G472">
        <v>70.507999999999996</v>
      </c>
      <c r="H472">
        <v>27</v>
      </c>
      <c r="I472">
        <v>14</v>
      </c>
      <c r="J472">
        <v>15.84</v>
      </c>
      <c r="K472" t="s">
        <v>110</v>
      </c>
      <c r="L472">
        <v>0</v>
      </c>
      <c r="N472" t="s">
        <v>111</v>
      </c>
      <c r="O472" t="s">
        <v>112</v>
      </c>
      <c r="P472" t="s">
        <v>16</v>
      </c>
      <c r="Q472">
        <f t="shared" si="21"/>
        <v>0.3829352697566234</v>
      </c>
      <c r="R472">
        <f t="shared" si="22"/>
        <v>0.1985590287626936</v>
      </c>
      <c r="S472">
        <f t="shared" si="23"/>
        <v>0.86270045603003354</v>
      </c>
    </row>
    <row r="473" spans="1:19" x14ac:dyDescent="0.2">
      <c r="A473">
        <v>39</v>
      </c>
      <c r="B473" t="s">
        <v>25</v>
      </c>
      <c r="C473">
        <v>2</v>
      </c>
      <c r="D473">
        <v>3</v>
      </c>
      <c r="E473">
        <v>1012</v>
      </c>
      <c r="F473" t="b">
        <v>1</v>
      </c>
      <c r="G473">
        <v>60.152000000000001</v>
      </c>
      <c r="H473">
        <v>23</v>
      </c>
      <c r="I473">
        <v>0</v>
      </c>
      <c r="J473">
        <v>0</v>
      </c>
      <c r="K473" t="s">
        <v>479</v>
      </c>
      <c r="L473">
        <v>0</v>
      </c>
      <c r="N473" t="s">
        <v>480</v>
      </c>
      <c r="O473" t="s">
        <v>481</v>
      </c>
      <c r="P473" t="s">
        <v>16</v>
      </c>
      <c r="Q473">
        <f t="shared" si="21"/>
        <v>0.38236467615374387</v>
      </c>
      <c r="R473">
        <f t="shared" si="22"/>
        <v>0</v>
      </c>
      <c r="S473">
        <f t="shared" si="23"/>
        <v>0</v>
      </c>
    </row>
    <row r="474" spans="1:19" hidden="1" x14ac:dyDescent="0.2">
      <c r="A474">
        <v>61</v>
      </c>
      <c r="B474" t="s">
        <v>29</v>
      </c>
      <c r="C474">
        <v>-1</v>
      </c>
      <c r="D474">
        <v>5</v>
      </c>
      <c r="E474">
        <v>1014</v>
      </c>
      <c r="F474" t="b">
        <v>1</v>
      </c>
      <c r="G474">
        <v>78.575999999999993</v>
      </c>
      <c r="H474">
        <v>30</v>
      </c>
      <c r="I474">
        <v>16</v>
      </c>
      <c r="J474">
        <v>20.100000000000001</v>
      </c>
      <c r="K474" t="s">
        <v>535</v>
      </c>
      <c r="L474">
        <v>0</v>
      </c>
      <c r="N474" t="s">
        <v>536</v>
      </c>
      <c r="O474" t="s">
        <v>537</v>
      </c>
      <c r="P474" t="s">
        <v>16</v>
      </c>
      <c r="Q474">
        <f t="shared" si="21"/>
        <v>0.38179596823457546</v>
      </c>
      <c r="R474">
        <f t="shared" si="22"/>
        <v>0.20362451639177359</v>
      </c>
      <c r="S474">
        <f t="shared" si="23"/>
        <v>0.86948213485389747</v>
      </c>
    </row>
    <row r="475" spans="1:19" x14ac:dyDescent="0.2">
      <c r="A475">
        <v>111</v>
      </c>
      <c r="B475" t="s">
        <v>33</v>
      </c>
      <c r="C475">
        <v>2</v>
      </c>
      <c r="D475">
        <v>8</v>
      </c>
      <c r="E475">
        <v>1037</v>
      </c>
      <c r="F475" t="b">
        <v>1</v>
      </c>
      <c r="G475">
        <v>57.975999999999999</v>
      </c>
      <c r="H475">
        <v>22</v>
      </c>
      <c r="I475">
        <v>1</v>
      </c>
      <c r="J475">
        <v>0.06</v>
      </c>
      <c r="K475" t="s">
        <v>1381</v>
      </c>
      <c r="L475">
        <v>0</v>
      </c>
      <c r="N475" t="s">
        <v>1382</v>
      </c>
      <c r="O475" t="s">
        <v>1383</v>
      </c>
      <c r="P475" t="s">
        <v>16</v>
      </c>
      <c r="Q475">
        <f t="shared" si="21"/>
        <v>0.37946736580654067</v>
      </c>
      <c r="R475">
        <f t="shared" si="22"/>
        <v>1.7248516627570029E-2</v>
      </c>
      <c r="S475">
        <f t="shared" si="23"/>
        <v>0.15842922765199996</v>
      </c>
    </row>
    <row r="476" spans="1:19" hidden="1" x14ac:dyDescent="0.2">
      <c r="A476">
        <v>102</v>
      </c>
      <c r="B476" t="s">
        <v>25</v>
      </c>
      <c r="C476">
        <v>-1</v>
      </c>
      <c r="D476">
        <v>8</v>
      </c>
      <c r="E476">
        <v>1017</v>
      </c>
      <c r="F476" t="b">
        <v>1</v>
      </c>
      <c r="G476">
        <v>73.891999999999996</v>
      </c>
      <c r="H476">
        <v>28</v>
      </c>
      <c r="I476">
        <v>5</v>
      </c>
      <c r="J476">
        <v>6.72</v>
      </c>
      <c r="K476" t="s">
        <v>640</v>
      </c>
      <c r="L476">
        <v>0</v>
      </c>
      <c r="N476" t="s">
        <v>641</v>
      </c>
      <c r="O476" t="s">
        <v>642</v>
      </c>
      <c r="P476" t="s">
        <v>16</v>
      </c>
      <c r="Q476">
        <f t="shared" si="21"/>
        <v>0.37893141341417208</v>
      </c>
      <c r="R476">
        <f t="shared" si="22"/>
        <v>6.766632382395929E-2</v>
      </c>
      <c r="S476">
        <f t="shared" si="23"/>
        <v>0.49168972395608057</v>
      </c>
    </row>
    <row r="477" spans="1:19" hidden="1" x14ac:dyDescent="0.2">
      <c r="A477">
        <v>7</v>
      </c>
      <c r="B477" t="s">
        <v>37</v>
      </c>
      <c r="C477">
        <v>-1</v>
      </c>
      <c r="D477">
        <v>1</v>
      </c>
      <c r="E477">
        <v>1000</v>
      </c>
      <c r="F477" t="b">
        <v>1</v>
      </c>
      <c r="G477">
        <v>76.628</v>
      </c>
      <c r="H477">
        <v>29</v>
      </c>
      <c r="I477">
        <v>20</v>
      </c>
      <c r="J477">
        <v>21.24</v>
      </c>
      <c r="K477" t="s">
        <v>38</v>
      </c>
      <c r="L477">
        <v>0</v>
      </c>
      <c r="N477" t="s">
        <v>39</v>
      </c>
      <c r="O477" t="s">
        <v>40</v>
      </c>
      <c r="P477" t="s">
        <v>16</v>
      </c>
      <c r="Q477">
        <f t="shared" si="21"/>
        <v>0.37845174087800804</v>
      </c>
      <c r="R477">
        <f t="shared" si="22"/>
        <v>0.26100120060552279</v>
      </c>
      <c r="S477">
        <f t="shared" si="23"/>
        <v>0.92646633909143672</v>
      </c>
    </row>
    <row r="478" spans="1:19" x14ac:dyDescent="0.2">
      <c r="A478">
        <v>25</v>
      </c>
      <c r="B478" t="s">
        <v>25</v>
      </c>
      <c r="C478">
        <v>2</v>
      </c>
      <c r="D478">
        <v>2</v>
      </c>
      <c r="E478">
        <v>1021</v>
      </c>
      <c r="F478" t="b">
        <v>1</v>
      </c>
      <c r="G478">
        <v>69.028000000000006</v>
      </c>
      <c r="H478">
        <v>26</v>
      </c>
      <c r="I478">
        <v>4</v>
      </c>
      <c r="J478">
        <v>2.7</v>
      </c>
      <c r="K478" t="s">
        <v>801</v>
      </c>
      <c r="L478">
        <v>0</v>
      </c>
      <c r="N478" t="s">
        <v>802</v>
      </c>
      <c r="O478" t="s">
        <v>803</v>
      </c>
      <c r="P478" t="s">
        <v>16</v>
      </c>
      <c r="Q478">
        <f t="shared" si="21"/>
        <v>0.37665874717505937</v>
      </c>
      <c r="R478">
        <f t="shared" si="22"/>
        <v>5.7947499565393745E-2</v>
      </c>
      <c r="S478">
        <f t="shared" si="23"/>
        <v>0.43980760718302137</v>
      </c>
    </row>
    <row r="479" spans="1:19" hidden="1" x14ac:dyDescent="0.2">
      <c r="A479">
        <v>32</v>
      </c>
      <c r="B479" t="s">
        <v>25</v>
      </c>
      <c r="C479">
        <v>-1</v>
      </c>
      <c r="D479">
        <v>3</v>
      </c>
      <c r="E479">
        <v>1002</v>
      </c>
      <c r="F479" t="b">
        <v>1</v>
      </c>
      <c r="G479">
        <v>69.347999999999999</v>
      </c>
      <c r="H479">
        <v>26</v>
      </c>
      <c r="I479">
        <v>8</v>
      </c>
      <c r="J479">
        <v>6.48</v>
      </c>
      <c r="K479" t="s">
        <v>101</v>
      </c>
      <c r="L479">
        <v>0</v>
      </c>
      <c r="N479" t="s">
        <v>102</v>
      </c>
      <c r="O479" t="s">
        <v>103</v>
      </c>
      <c r="P479" t="s">
        <v>16</v>
      </c>
      <c r="Q479">
        <f t="shared" si="21"/>
        <v>0.37492068985406934</v>
      </c>
      <c r="R479">
        <f t="shared" si="22"/>
        <v>0.11536021226279057</v>
      </c>
      <c r="S479">
        <f t="shared" si="23"/>
        <v>0.6845017433305135</v>
      </c>
    </row>
    <row r="480" spans="1:19" hidden="1" x14ac:dyDescent="0.2">
      <c r="A480">
        <v>32</v>
      </c>
      <c r="B480" t="s">
        <v>25</v>
      </c>
      <c r="C480">
        <v>-1</v>
      </c>
      <c r="D480">
        <v>3</v>
      </c>
      <c r="E480">
        <v>1022</v>
      </c>
      <c r="F480" t="b">
        <v>1</v>
      </c>
      <c r="G480">
        <v>45.595999999999997</v>
      </c>
      <c r="H480">
        <v>17</v>
      </c>
      <c r="I480">
        <v>4</v>
      </c>
      <c r="J480">
        <v>3.72</v>
      </c>
      <c r="K480" t="s">
        <v>819</v>
      </c>
      <c r="L480">
        <v>0</v>
      </c>
      <c r="N480" t="s">
        <v>820</v>
      </c>
      <c r="O480" t="s">
        <v>821</v>
      </c>
      <c r="P480" t="s">
        <v>16</v>
      </c>
      <c r="Q480">
        <f t="shared" si="21"/>
        <v>0.37283972278270028</v>
      </c>
      <c r="R480">
        <f t="shared" si="22"/>
        <v>8.7726993595929476E-2</v>
      </c>
      <c r="S480">
        <f t="shared" si="23"/>
        <v>0.58408315725862137</v>
      </c>
    </row>
    <row r="481" spans="1:19" x14ac:dyDescent="0.2">
      <c r="A481">
        <v>12</v>
      </c>
      <c r="B481" t="s">
        <v>29</v>
      </c>
      <c r="C481">
        <v>2</v>
      </c>
      <c r="D481">
        <v>1</v>
      </c>
      <c r="E481">
        <v>1030</v>
      </c>
      <c r="F481" t="b">
        <v>1</v>
      </c>
      <c r="G481">
        <v>72.876000000000005</v>
      </c>
      <c r="H481">
        <v>27</v>
      </c>
      <c r="I481">
        <v>6</v>
      </c>
      <c r="J481">
        <v>3.54</v>
      </c>
      <c r="K481" t="s">
        <v>1126</v>
      </c>
      <c r="L481">
        <v>0</v>
      </c>
      <c r="N481" t="s">
        <v>1127</v>
      </c>
      <c r="O481" t="s">
        <v>1128</v>
      </c>
      <c r="P481" t="s">
        <v>16</v>
      </c>
      <c r="Q481">
        <f t="shared" si="21"/>
        <v>0.37049234315824137</v>
      </c>
      <c r="R481">
        <f t="shared" si="22"/>
        <v>8.2331631812942521E-2</v>
      </c>
      <c r="S481">
        <f t="shared" si="23"/>
        <v>0.56102653772351951</v>
      </c>
    </row>
    <row r="482" spans="1:19" x14ac:dyDescent="0.2">
      <c r="A482">
        <v>68</v>
      </c>
      <c r="B482" t="s">
        <v>29</v>
      </c>
      <c r="C482">
        <v>2</v>
      </c>
      <c r="D482">
        <v>5</v>
      </c>
      <c r="E482">
        <v>1034</v>
      </c>
      <c r="F482" t="b">
        <v>1</v>
      </c>
      <c r="G482">
        <v>91.891999999999996</v>
      </c>
      <c r="H482">
        <v>34</v>
      </c>
      <c r="I482">
        <v>4</v>
      </c>
      <c r="J482">
        <v>2.16</v>
      </c>
      <c r="K482" t="s">
        <v>1270</v>
      </c>
      <c r="L482">
        <v>0</v>
      </c>
      <c r="N482" t="s">
        <v>1271</v>
      </c>
      <c r="O482" t="s">
        <v>1272</v>
      </c>
      <c r="P482" t="s">
        <v>16</v>
      </c>
      <c r="Q482">
        <f t="shared" si="21"/>
        <v>0.3699995647063945</v>
      </c>
      <c r="R482">
        <f t="shared" si="22"/>
        <v>4.3529360553693469E-2</v>
      </c>
      <c r="S482">
        <f t="shared" si="23"/>
        <v>0.3529253455163418</v>
      </c>
    </row>
    <row r="483" spans="1:19" x14ac:dyDescent="0.2">
      <c r="A483">
        <v>140</v>
      </c>
      <c r="B483" t="s">
        <v>37</v>
      </c>
      <c r="C483">
        <v>2</v>
      </c>
      <c r="D483">
        <v>10</v>
      </c>
      <c r="E483">
        <v>1039</v>
      </c>
      <c r="F483" t="b">
        <v>1</v>
      </c>
      <c r="G483">
        <v>73.231999999999999</v>
      </c>
      <c r="H483">
        <v>27</v>
      </c>
      <c r="I483">
        <v>2</v>
      </c>
      <c r="J483">
        <v>0.36</v>
      </c>
      <c r="K483" t="s">
        <v>1456</v>
      </c>
      <c r="L483">
        <v>0</v>
      </c>
      <c r="N483" t="s">
        <v>1457</v>
      </c>
      <c r="O483" t="s">
        <v>1458</v>
      </c>
      <c r="P483" t="s">
        <v>16</v>
      </c>
      <c r="Q483">
        <f t="shared" si="21"/>
        <v>0.36869128249945382</v>
      </c>
      <c r="R483">
        <f t="shared" si="22"/>
        <v>2.7310465370329912E-2</v>
      </c>
      <c r="S483">
        <f t="shared" si="23"/>
        <v>0.2389868593820953</v>
      </c>
    </row>
    <row r="484" spans="1:19" x14ac:dyDescent="0.2">
      <c r="A484">
        <v>66</v>
      </c>
      <c r="B484" t="s">
        <v>21</v>
      </c>
      <c r="C484">
        <v>2</v>
      </c>
      <c r="D484">
        <v>5</v>
      </c>
      <c r="E484">
        <v>1024</v>
      </c>
      <c r="F484" t="b">
        <v>1</v>
      </c>
      <c r="G484">
        <v>78.668000000000006</v>
      </c>
      <c r="H484">
        <v>29</v>
      </c>
      <c r="I484">
        <v>0</v>
      </c>
      <c r="J484">
        <v>0</v>
      </c>
      <c r="K484" t="s">
        <v>906</v>
      </c>
      <c r="L484">
        <v>0</v>
      </c>
      <c r="N484" t="s">
        <v>907</v>
      </c>
      <c r="O484" t="s">
        <v>908</v>
      </c>
      <c r="P484" t="s">
        <v>16</v>
      </c>
      <c r="Q484">
        <f t="shared" si="21"/>
        <v>0.36863781969797121</v>
      </c>
      <c r="R484">
        <f t="shared" si="22"/>
        <v>0</v>
      </c>
      <c r="S484">
        <f t="shared" si="23"/>
        <v>0</v>
      </c>
    </row>
    <row r="485" spans="1:19" hidden="1" x14ac:dyDescent="0.2">
      <c r="A485">
        <v>130</v>
      </c>
      <c r="B485" t="s">
        <v>25</v>
      </c>
      <c r="C485">
        <v>-1</v>
      </c>
      <c r="D485">
        <v>10</v>
      </c>
      <c r="E485">
        <v>1039</v>
      </c>
      <c r="F485" t="b">
        <v>1</v>
      </c>
      <c r="G485">
        <v>73.28</v>
      </c>
      <c r="H485">
        <v>27</v>
      </c>
      <c r="I485">
        <v>9</v>
      </c>
      <c r="J485">
        <v>12.54</v>
      </c>
      <c r="K485" t="s">
        <v>1429</v>
      </c>
      <c r="L485">
        <v>0</v>
      </c>
      <c r="N485" t="s">
        <v>1430</v>
      </c>
      <c r="O485" t="s">
        <v>1431</v>
      </c>
      <c r="P485" t="s">
        <v>16</v>
      </c>
      <c r="Q485">
        <f t="shared" si="21"/>
        <v>0.36844978165938863</v>
      </c>
      <c r="R485">
        <f t="shared" si="22"/>
        <v>0.12281659388646288</v>
      </c>
      <c r="S485">
        <f t="shared" si="23"/>
        <v>0.70717084795757712</v>
      </c>
    </row>
    <row r="486" spans="1:19" x14ac:dyDescent="0.2">
      <c r="A486">
        <v>28</v>
      </c>
      <c r="B486" t="s">
        <v>37</v>
      </c>
      <c r="C486">
        <v>2</v>
      </c>
      <c r="D486">
        <v>2</v>
      </c>
      <c r="E486">
        <v>1011</v>
      </c>
      <c r="F486" t="b">
        <v>1</v>
      </c>
      <c r="G486">
        <v>81.739999999999995</v>
      </c>
      <c r="H486">
        <v>30</v>
      </c>
      <c r="I486">
        <v>3</v>
      </c>
      <c r="J486">
        <v>3.6</v>
      </c>
      <c r="K486" t="s">
        <v>452</v>
      </c>
      <c r="L486">
        <v>0</v>
      </c>
      <c r="N486" t="s">
        <v>453</v>
      </c>
      <c r="O486" t="s">
        <v>454</v>
      </c>
      <c r="P486" t="s">
        <v>16</v>
      </c>
      <c r="Q486">
        <f t="shared" si="21"/>
        <v>0.36701737215561536</v>
      </c>
      <c r="R486">
        <f t="shared" si="22"/>
        <v>3.6701737215561539E-2</v>
      </c>
      <c r="S486">
        <f t="shared" si="23"/>
        <v>0.30720239044803233</v>
      </c>
    </row>
    <row r="487" spans="1:19" x14ac:dyDescent="0.2">
      <c r="A487">
        <v>84</v>
      </c>
      <c r="B487" t="s">
        <v>37</v>
      </c>
      <c r="C487">
        <v>2</v>
      </c>
      <c r="D487">
        <v>6</v>
      </c>
      <c r="E487">
        <v>1025</v>
      </c>
      <c r="F487" t="b">
        <v>1</v>
      </c>
      <c r="G487">
        <v>60.38</v>
      </c>
      <c r="H487">
        <v>22</v>
      </c>
      <c r="I487">
        <v>0</v>
      </c>
      <c r="J487">
        <v>0</v>
      </c>
      <c r="K487" t="s">
        <v>954</v>
      </c>
      <c r="L487">
        <v>0</v>
      </c>
      <c r="N487" t="s">
        <v>955</v>
      </c>
      <c r="O487" t="s">
        <v>956</v>
      </c>
      <c r="P487" t="s">
        <v>16</v>
      </c>
      <c r="Q487">
        <f t="shared" si="21"/>
        <v>0.36435905929115597</v>
      </c>
      <c r="R487">
        <f t="shared" si="22"/>
        <v>0</v>
      </c>
      <c r="S487">
        <f t="shared" si="23"/>
        <v>0</v>
      </c>
    </row>
    <row r="488" spans="1:19" x14ac:dyDescent="0.2">
      <c r="A488">
        <v>55</v>
      </c>
      <c r="B488" t="s">
        <v>33</v>
      </c>
      <c r="C488">
        <v>2</v>
      </c>
      <c r="D488">
        <v>4</v>
      </c>
      <c r="E488">
        <v>1023</v>
      </c>
      <c r="F488" t="b">
        <v>1</v>
      </c>
      <c r="G488">
        <v>68.644000000000005</v>
      </c>
      <c r="H488">
        <v>25</v>
      </c>
      <c r="I488">
        <v>4</v>
      </c>
      <c r="J488">
        <v>1.26</v>
      </c>
      <c r="K488" t="s">
        <v>879</v>
      </c>
      <c r="L488">
        <v>0</v>
      </c>
      <c r="N488" t="s">
        <v>880</v>
      </c>
      <c r="O488" t="s">
        <v>881</v>
      </c>
      <c r="P488" t="s">
        <v>16</v>
      </c>
      <c r="Q488">
        <f t="shared" si="21"/>
        <v>0.36419789056581781</v>
      </c>
      <c r="R488">
        <f t="shared" si="22"/>
        <v>5.8271662490530847E-2</v>
      </c>
      <c r="S488">
        <f t="shared" si="23"/>
        <v>0.44162060311205031</v>
      </c>
    </row>
    <row r="489" spans="1:19" x14ac:dyDescent="0.2">
      <c r="A489">
        <v>109</v>
      </c>
      <c r="B489" t="s">
        <v>25</v>
      </c>
      <c r="C489">
        <v>2</v>
      </c>
      <c r="D489">
        <v>8</v>
      </c>
      <c r="E489">
        <v>1017</v>
      </c>
      <c r="F489" t="b">
        <v>1</v>
      </c>
      <c r="G489">
        <v>79.703999999999994</v>
      </c>
      <c r="H489">
        <v>29</v>
      </c>
      <c r="I489">
        <v>5</v>
      </c>
      <c r="J489">
        <v>1.98</v>
      </c>
      <c r="K489" t="s">
        <v>658</v>
      </c>
      <c r="L489">
        <v>0</v>
      </c>
      <c r="N489" t="s">
        <v>659</v>
      </c>
      <c r="O489" t="s">
        <v>660</v>
      </c>
      <c r="P489" t="s">
        <v>16</v>
      </c>
      <c r="Q489">
        <f t="shared" si="21"/>
        <v>0.36384623105490316</v>
      </c>
      <c r="R489">
        <f t="shared" si="22"/>
        <v>6.2732108802569506E-2</v>
      </c>
      <c r="S489">
        <f t="shared" si="23"/>
        <v>0.46597951964127526</v>
      </c>
    </row>
    <row r="490" spans="1:19" x14ac:dyDescent="0.2">
      <c r="A490">
        <v>82</v>
      </c>
      <c r="B490" t="s">
        <v>29</v>
      </c>
      <c r="C490">
        <v>2</v>
      </c>
      <c r="D490">
        <v>6</v>
      </c>
      <c r="E490">
        <v>1035</v>
      </c>
      <c r="F490" t="b">
        <v>1</v>
      </c>
      <c r="G490">
        <v>72.727999999999994</v>
      </c>
      <c r="H490">
        <v>26</v>
      </c>
      <c r="I490">
        <v>1</v>
      </c>
      <c r="J490">
        <v>0.12</v>
      </c>
      <c r="K490" t="s">
        <v>1306</v>
      </c>
      <c r="L490">
        <v>0</v>
      </c>
      <c r="N490" t="s">
        <v>1307</v>
      </c>
      <c r="O490" t="s">
        <v>1308</v>
      </c>
      <c r="P490" t="s">
        <v>16</v>
      </c>
      <c r="Q490">
        <f t="shared" si="21"/>
        <v>0.35749642503574969</v>
      </c>
      <c r="R490">
        <f t="shared" si="22"/>
        <v>1.3749862501374987E-2</v>
      </c>
      <c r="S490">
        <f t="shared" si="23"/>
        <v>0.12846445165427056</v>
      </c>
    </row>
    <row r="491" spans="1:19" x14ac:dyDescent="0.2">
      <c r="A491">
        <v>68</v>
      </c>
      <c r="B491" t="s">
        <v>29</v>
      </c>
      <c r="C491">
        <v>2</v>
      </c>
      <c r="D491">
        <v>5</v>
      </c>
      <c r="E491">
        <v>1024</v>
      </c>
      <c r="F491" t="b">
        <v>1</v>
      </c>
      <c r="G491">
        <v>75.947999999999993</v>
      </c>
      <c r="H491">
        <v>27</v>
      </c>
      <c r="I491">
        <v>3</v>
      </c>
      <c r="J491">
        <v>1.26</v>
      </c>
      <c r="K491" t="s">
        <v>912</v>
      </c>
      <c r="L491">
        <v>0</v>
      </c>
      <c r="N491" t="s">
        <v>913</v>
      </c>
      <c r="O491" t="s">
        <v>914</v>
      </c>
      <c r="P491" t="s">
        <v>16</v>
      </c>
      <c r="Q491">
        <f t="shared" si="21"/>
        <v>0.35550639911518411</v>
      </c>
      <c r="R491">
        <f t="shared" si="22"/>
        <v>3.9500711012798236E-2</v>
      </c>
      <c r="S491">
        <f t="shared" si="23"/>
        <v>0.32632475068540201</v>
      </c>
    </row>
    <row r="492" spans="1:19" x14ac:dyDescent="0.2">
      <c r="A492">
        <v>126</v>
      </c>
      <c r="B492" t="s">
        <v>37</v>
      </c>
      <c r="C492">
        <v>2</v>
      </c>
      <c r="D492">
        <v>9</v>
      </c>
      <c r="E492">
        <v>1008</v>
      </c>
      <c r="F492" t="b">
        <v>1</v>
      </c>
      <c r="G492">
        <v>71.063999999999993</v>
      </c>
      <c r="H492">
        <v>25</v>
      </c>
      <c r="I492">
        <v>1</v>
      </c>
      <c r="J492">
        <v>0.18</v>
      </c>
      <c r="K492" t="s">
        <v>344</v>
      </c>
      <c r="L492">
        <v>0</v>
      </c>
      <c r="N492" t="s">
        <v>345</v>
      </c>
      <c r="O492" t="s">
        <v>346</v>
      </c>
      <c r="P492" t="s">
        <v>16</v>
      </c>
      <c r="Q492">
        <f t="shared" si="21"/>
        <v>0.35179556456152206</v>
      </c>
      <c r="R492">
        <f t="shared" si="22"/>
        <v>1.4071822582460881E-2</v>
      </c>
      <c r="S492">
        <f t="shared" si="23"/>
        <v>0.13126593596186731</v>
      </c>
    </row>
    <row r="493" spans="1:19" x14ac:dyDescent="0.2">
      <c r="A493">
        <v>38</v>
      </c>
      <c r="B493" t="s">
        <v>21</v>
      </c>
      <c r="C493">
        <v>2</v>
      </c>
      <c r="D493">
        <v>3</v>
      </c>
      <c r="E493">
        <v>1012</v>
      </c>
      <c r="F493" t="b">
        <v>1</v>
      </c>
      <c r="G493">
        <v>74.028000000000006</v>
      </c>
      <c r="H493">
        <v>26</v>
      </c>
      <c r="I493">
        <v>7</v>
      </c>
      <c r="J493">
        <v>2.88</v>
      </c>
      <c r="K493" t="s">
        <v>476</v>
      </c>
      <c r="L493">
        <v>0</v>
      </c>
      <c r="N493" t="s">
        <v>477</v>
      </c>
      <c r="O493" t="s">
        <v>478</v>
      </c>
      <c r="P493" t="s">
        <v>16</v>
      </c>
      <c r="Q493">
        <f t="shared" si="21"/>
        <v>0.3512184578808018</v>
      </c>
      <c r="R493">
        <f t="shared" si="22"/>
        <v>9.4558815583292807E-2</v>
      </c>
      <c r="S493">
        <f t="shared" si="23"/>
        <v>0.61154896604075693</v>
      </c>
    </row>
    <row r="494" spans="1:19" x14ac:dyDescent="0.2">
      <c r="A494">
        <v>123</v>
      </c>
      <c r="B494" t="s">
        <v>25</v>
      </c>
      <c r="C494">
        <v>2</v>
      </c>
      <c r="D494">
        <v>9</v>
      </c>
      <c r="E494">
        <v>1008</v>
      </c>
      <c r="F494" t="b">
        <v>1</v>
      </c>
      <c r="G494">
        <v>68.396000000000001</v>
      </c>
      <c r="H494">
        <v>24</v>
      </c>
      <c r="I494">
        <v>3</v>
      </c>
      <c r="J494">
        <v>1.56</v>
      </c>
      <c r="K494" t="s">
        <v>335</v>
      </c>
      <c r="L494">
        <v>0</v>
      </c>
      <c r="N494" t="s">
        <v>336</v>
      </c>
      <c r="O494" t="s">
        <v>337</v>
      </c>
      <c r="P494" t="s">
        <v>16</v>
      </c>
      <c r="Q494">
        <f t="shared" si="21"/>
        <v>0.35089771331656822</v>
      </c>
      <c r="R494">
        <f t="shared" si="22"/>
        <v>4.3862214164571027E-2</v>
      </c>
      <c r="S494">
        <f t="shared" si="23"/>
        <v>0.3550755763231952</v>
      </c>
    </row>
    <row r="495" spans="1:19" hidden="1" x14ac:dyDescent="0.2">
      <c r="A495">
        <v>31</v>
      </c>
      <c r="B495" t="s">
        <v>21</v>
      </c>
      <c r="C495">
        <v>-1</v>
      </c>
      <c r="D495">
        <v>3</v>
      </c>
      <c r="E495">
        <v>1032</v>
      </c>
      <c r="F495" t="b">
        <v>1</v>
      </c>
      <c r="G495">
        <v>82.927999999999997</v>
      </c>
      <c r="H495">
        <v>29</v>
      </c>
      <c r="I495">
        <v>11</v>
      </c>
      <c r="J495">
        <v>15.48</v>
      </c>
      <c r="K495" t="s">
        <v>1174</v>
      </c>
      <c r="L495">
        <v>0</v>
      </c>
      <c r="N495" t="s">
        <v>1175</v>
      </c>
      <c r="O495" t="s">
        <v>1176</v>
      </c>
      <c r="P495" t="s">
        <v>16</v>
      </c>
      <c r="Q495">
        <f t="shared" si="21"/>
        <v>0.3497009453984179</v>
      </c>
      <c r="R495">
        <f t="shared" si="22"/>
        <v>0.13264518618560681</v>
      </c>
      <c r="S495">
        <f t="shared" si="23"/>
        <v>0.73458267008072453</v>
      </c>
    </row>
    <row r="496" spans="1:19" hidden="1" x14ac:dyDescent="0.2">
      <c r="A496">
        <v>49</v>
      </c>
      <c r="B496" t="s">
        <v>37</v>
      </c>
      <c r="C496">
        <v>-1</v>
      </c>
      <c r="D496">
        <v>4</v>
      </c>
      <c r="E496">
        <v>1033</v>
      </c>
      <c r="F496" t="b">
        <v>1</v>
      </c>
      <c r="G496">
        <v>65.78</v>
      </c>
      <c r="H496">
        <v>23</v>
      </c>
      <c r="I496">
        <v>6</v>
      </c>
      <c r="J496">
        <v>11.7</v>
      </c>
      <c r="K496" t="s">
        <v>1222</v>
      </c>
      <c r="L496">
        <v>0</v>
      </c>
      <c r="N496" t="s">
        <v>1223</v>
      </c>
      <c r="O496" t="s">
        <v>1224</v>
      </c>
      <c r="P496" t="s">
        <v>16</v>
      </c>
      <c r="Q496">
        <f t="shared" si="21"/>
        <v>0.34965034965034963</v>
      </c>
      <c r="R496">
        <f t="shared" si="22"/>
        <v>9.1213134691395553E-2</v>
      </c>
      <c r="S496">
        <f t="shared" si="23"/>
        <v>0.59833278111698684</v>
      </c>
    </row>
    <row r="497" spans="1:19" x14ac:dyDescent="0.2">
      <c r="A497">
        <v>40</v>
      </c>
      <c r="B497" t="s">
        <v>29</v>
      </c>
      <c r="C497">
        <v>2</v>
      </c>
      <c r="D497">
        <v>3</v>
      </c>
      <c r="E497">
        <v>1022</v>
      </c>
      <c r="F497" t="b">
        <v>1</v>
      </c>
      <c r="G497">
        <v>51.527999999999999</v>
      </c>
      <c r="H497">
        <v>18</v>
      </c>
      <c r="I497">
        <v>2</v>
      </c>
      <c r="J497">
        <v>0.48</v>
      </c>
      <c r="K497" t="s">
        <v>840</v>
      </c>
      <c r="L497">
        <v>0</v>
      </c>
      <c r="N497" t="s">
        <v>841</v>
      </c>
      <c r="O497" t="s">
        <v>842</v>
      </c>
      <c r="P497" t="s">
        <v>16</v>
      </c>
      <c r="Q497">
        <f t="shared" si="21"/>
        <v>0.34932463903120636</v>
      </c>
      <c r="R497">
        <f t="shared" si="22"/>
        <v>3.881384878124515E-2</v>
      </c>
      <c r="S497">
        <f t="shared" si="23"/>
        <v>0.3216816020719625</v>
      </c>
    </row>
    <row r="498" spans="1:19" hidden="1" x14ac:dyDescent="0.2">
      <c r="A498">
        <v>102</v>
      </c>
      <c r="B498" t="s">
        <v>25</v>
      </c>
      <c r="C498">
        <v>-1</v>
      </c>
      <c r="D498">
        <v>8</v>
      </c>
      <c r="E498">
        <v>1037</v>
      </c>
      <c r="F498" t="b">
        <v>1</v>
      </c>
      <c r="G498">
        <v>71.628</v>
      </c>
      <c r="H498">
        <v>25</v>
      </c>
      <c r="I498">
        <v>13</v>
      </c>
      <c r="J498">
        <v>9.84</v>
      </c>
      <c r="K498" t="s">
        <v>1357</v>
      </c>
      <c r="L498">
        <v>0</v>
      </c>
      <c r="N498" t="s">
        <v>1358</v>
      </c>
      <c r="O498" t="s">
        <v>1359</v>
      </c>
      <c r="P498" t="s">
        <v>16</v>
      </c>
      <c r="Q498">
        <f t="shared" si="21"/>
        <v>0.34902552074607696</v>
      </c>
      <c r="R498">
        <f t="shared" si="22"/>
        <v>0.18149327078796001</v>
      </c>
      <c r="S498">
        <f t="shared" si="23"/>
        <v>0.83715113353297399</v>
      </c>
    </row>
    <row r="499" spans="1:19" x14ac:dyDescent="0.2">
      <c r="A499">
        <v>136</v>
      </c>
      <c r="B499" t="s">
        <v>21</v>
      </c>
      <c r="C499">
        <v>2</v>
      </c>
      <c r="D499">
        <v>10</v>
      </c>
      <c r="E499">
        <v>1019</v>
      </c>
      <c r="F499" t="b">
        <v>1</v>
      </c>
      <c r="G499">
        <v>68.792000000000002</v>
      </c>
      <c r="H499">
        <v>24</v>
      </c>
      <c r="I499">
        <v>3</v>
      </c>
      <c r="J499">
        <v>1.62</v>
      </c>
      <c r="K499" t="s">
        <v>726</v>
      </c>
      <c r="L499">
        <v>0</v>
      </c>
      <c r="N499" t="s">
        <v>727</v>
      </c>
      <c r="O499" t="s">
        <v>728</v>
      </c>
      <c r="P499" t="s">
        <v>16</v>
      </c>
      <c r="Q499">
        <f t="shared" si="21"/>
        <v>0.34887777648563784</v>
      </c>
      <c r="R499">
        <f t="shared" si="22"/>
        <v>4.360972206070473E-2</v>
      </c>
      <c r="S499">
        <f t="shared" si="23"/>
        <v>0.3534451355766367</v>
      </c>
    </row>
    <row r="500" spans="1:19" x14ac:dyDescent="0.2">
      <c r="A500">
        <v>80</v>
      </c>
      <c r="B500" t="s">
        <v>21</v>
      </c>
      <c r="C500">
        <v>2</v>
      </c>
      <c r="D500">
        <v>6</v>
      </c>
      <c r="E500">
        <v>1015</v>
      </c>
      <c r="F500" t="b">
        <v>1</v>
      </c>
      <c r="G500">
        <v>74.572000000000003</v>
      </c>
      <c r="H500">
        <v>26</v>
      </c>
      <c r="I500">
        <v>3</v>
      </c>
      <c r="J500">
        <v>1.86</v>
      </c>
      <c r="K500" t="s">
        <v>583</v>
      </c>
      <c r="L500">
        <v>0</v>
      </c>
      <c r="N500" t="s">
        <v>584</v>
      </c>
      <c r="O500" t="s">
        <v>585</v>
      </c>
      <c r="P500" t="s">
        <v>16</v>
      </c>
      <c r="Q500">
        <f t="shared" si="21"/>
        <v>0.34865633213538594</v>
      </c>
      <c r="R500">
        <f t="shared" si="22"/>
        <v>4.0229576784852221E-2</v>
      </c>
      <c r="S500">
        <f t="shared" si="23"/>
        <v>0.33121708804763716</v>
      </c>
    </row>
    <row r="501" spans="1:19" x14ac:dyDescent="0.2">
      <c r="A501">
        <v>109</v>
      </c>
      <c r="B501" t="s">
        <v>25</v>
      </c>
      <c r="C501">
        <v>2</v>
      </c>
      <c r="D501">
        <v>8</v>
      </c>
      <c r="E501">
        <v>1037</v>
      </c>
      <c r="F501" t="b">
        <v>1</v>
      </c>
      <c r="G501">
        <v>72.128</v>
      </c>
      <c r="H501">
        <v>25</v>
      </c>
      <c r="I501">
        <v>2</v>
      </c>
      <c r="J501">
        <v>2.7</v>
      </c>
      <c r="K501" t="s">
        <v>1375</v>
      </c>
      <c r="L501">
        <v>0</v>
      </c>
      <c r="N501" t="s">
        <v>1376</v>
      </c>
      <c r="O501" t="s">
        <v>1377</v>
      </c>
      <c r="P501" t="s">
        <v>16</v>
      </c>
      <c r="Q501">
        <f t="shared" si="21"/>
        <v>0.34660603371783494</v>
      </c>
      <c r="R501">
        <f t="shared" si="22"/>
        <v>2.7728482697426796E-2</v>
      </c>
      <c r="S501">
        <f t="shared" si="23"/>
        <v>0.24216138651203489</v>
      </c>
    </row>
    <row r="502" spans="1:19" x14ac:dyDescent="0.2">
      <c r="A502">
        <v>112</v>
      </c>
      <c r="B502" t="s">
        <v>37</v>
      </c>
      <c r="C502">
        <v>2</v>
      </c>
      <c r="D502">
        <v>8</v>
      </c>
      <c r="E502">
        <v>1037</v>
      </c>
      <c r="F502" t="b">
        <v>1</v>
      </c>
      <c r="G502">
        <v>66.468000000000004</v>
      </c>
      <c r="H502">
        <v>23</v>
      </c>
      <c r="I502">
        <v>5</v>
      </c>
      <c r="J502">
        <v>1.1399999999999999</v>
      </c>
      <c r="K502" t="s">
        <v>1384</v>
      </c>
      <c r="L502">
        <v>0</v>
      </c>
      <c r="N502" t="s">
        <v>1385</v>
      </c>
      <c r="O502" t="s">
        <v>1386</v>
      </c>
      <c r="P502" t="s">
        <v>16</v>
      </c>
      <c r="Q502">
        <f t="shared" si="21"/>
        <v>0.34603117289522778</v>
      </c>
      <c r="R502">
        <f t="shared" si="22"/>
        <v>7.5224168020701684E-2</v>
      </c>
      <c r="S502">
        <f t="shared" si="23"/>
        <v>0.52869115604536909</v>
      </c>
    </row>
    <row r="503" spans="1:19" x14ac:dyDescent="0.2">
      <c r="A503">
        <v>124</v>
      </c>
      <c r="B503" t="s">
        <v>29</v>
      </c>
      <c r="C503">
        <v>2</v>
      </c>
      <c r="D503">
        <v>9</v>
      </c>
      <c r="E503">
        <v>1038</v>
      </c>
      <c r="F503" t="b">
        <v>1</v>
      </c>
      <c r="G503">
        <v>74.096000000000004</v>
      </c>
      <c r="H503">
        <v>25</v>
      </c>
      <c r="I503">
        <v>2</v>
      </c>
      <c r="J503">
        <v>0.42</v>
      </c>
      <c r="K503" t="s">
        <v>1414</v>
      </c>
      <c r="L503">
        <v>0</v>
      </c>
      <c r="N503" t="s">
        <v>1415</v>
      </c>
      <c r="O503" t="s">
        <v>1416</v>
      </c>
      <c r="P503" t="s">
        <v>16</v>
      </c>
      <c r="Q503">
        <f t="shared" si="21"/>
        <v>0.33740012956164972</v>
      </c>
      <c r="R503">
        <f t="shared" si="22"/>
        <v>2.6992010364931977E-2</v>
      </c>
      <c r="S503">
        <f t="shared" si="23"/>
        <v>0.23655951199081171</v>
      </c>
    </row>
    <row r="504" spans="1:19" hidden="1" x14ac:dyDescent="0.2">
      <c r="A504">
        <v>33</v>
      </c>
      <c r="B504" t="s">
        <v>29</v>
      </c>
      <c r="C504">
        <v>-1</v>
      </c>
      <c r="D504">
        <v>3</v>
      </c>
      <c r="E504">
        <v>1022</v>
      </c>
      <c r="F504" t="b">
        <v>1</v>
      </c>
      <c r="G504">
        <v>59.287999999999997</v>
      </c>
      <c r="H504">
        <v>20</v>
      </c>
      <c r="I504">
        <v>7</v>
      </c>
      <c r="J504">
        <v>7.62</v>
      </c>
      <c r="K504" t="s">
        <v>822</v>
      </c>
      <c r="L504">
        <v>0</v>
      </c>
      <c r="N504" t="s">
        <v>823</v>
      </c>
      <c r="O504" t="s">
        <v>824</v>
      </c>
      <c r="P504" t="s">
        <v>16</v>
      </c>
      <c r="Q504">
        <f t="shared" si="21"/>
        <v>0.33733639184995279</v>
      </c>
      <c r="R504">
        <f t="shared" si="22"/>
        <v>0.11806773714748348</v>
      </c>
      <c r="S504">
        <f t="shared" si="23"/>
        <v>0.69292933277245794</v>
      </c>
    </row>
    <row r="505" spans="1:19" hidden="1" x14ac:dyDescent="0.2">
      <c r="A505">
        <v>74</v>
      </c>
      <c r="B505" t="s">
        <v>25</v>
      </c>
      <c r="C505">
        <v>-1</v>
      </c>
      <c r="D505">
        <v>6</v>
      </c>
      <c r="E505">
        <v>1035</v>
      </c>
      <c r="F505" t="b">
        <v>1</v>
      </c>
      <c r="G505">
        <v>72.055999999999997</v>
      </c>
      <c r="H505">
        <v>24</v>
      </c>
      <c r="I505">
        <v>7</v>
      </c>
      <c r="J505">
        <v>9.06</v>
      </c>
      <c r="K505" t="s">
        <v>1285</v>
      </c>
      <c r="L505">
        <v>0</v>
      </c>
      <c r="N505" t="s">
        <v>1286</v>
      </c>
      <c r="O505" t="s">
        <v>1287</v>
      </c>
      <c r="P505" t="s">
        <v>16</v>
      </c>
      <c r="Q505">
        <f t="shared" si="21"/>
        <v>0.33307427556345065</v>
      </c>
      <c r="R505">
        <f t="shared" si="22"/>
        <v>9.7146663706006442E-2</v>
      </c>
      <c r="S505">
        <f t="shared" si="23"/>
        <v>0.62147253161996563</v>
      </c>
    </row>
    <row r="506" spans="1:19" x14ac:dyDescent="0.2">
      <c r="A506">
        <v>68</v>
      </c>
      <c r="B506" t="s">
        <v>29</v>
      </c>
      <c r="C506">
        <v>2</v>
      </c>
      <c r="D506">
        <v>5</v>
      </c>
      <c r="E506">
        <v>1004</v>
      </c>
      <c r="F506" t="b">
        <v>1</v>
      </c>
      <c r="G506">
        <v>84.123999999999995</v>
      </c>
      <c r="H506">
        <v>28</v>
      </c>
      <c r="I506">
        <v>7</v>
      </c>
      <c r="J506">
        <v>2.04</v>
      </c>
      <c r="K506" t="s">
        <v>194</v>
      </c>
      <c r="L506">
        <v>0</v>
      </c>
      <c r="N506" t="s">
        <v>195</v>
      </c>
      <c r="O506" t="s">
        <v>196</v>
      </c>
      <c r="P506" t="s">
        <v>16</v>
      </c>
      <c r="Q506">
        <f t="shared" si="21"/>
        <v>0.33284199515001667</v>
      </c>
      <c r="R506">
        <f t="shared" si="22"/>
        <v>8.3210498787504167E-2</v>
      </c>
      <c r="S506">
        <f t="shared" si="23"/>
        <v>0.56486762675506941</v>
      </c>
    </row>
    <row r="507" spans="1:19" hidden="1" x14ac:dyDescent="0.2">
      <c r="A507">
        <v>7</v>
      </c>
      <c r="B507" t="s">
        <v>37</v>
      </c>
      <c r="C507">
        <v>-1</v>
      </c>
      <c r="D507">
        <v>1</v>
      </c>
      <c r="E507">
        <v>1010</v>
      </c>
      <c r="F507" t="b">
        <v>1</v>
      </c>
      <c r="G507">
        <v>81.38</v>
      </c>
      <c r="H507">
        <v>27</v>
      </c>
      <c r="I507">
        <v>9</v>
      </c>
      <c r="J507">
        <v>11.16</v>
      </c>
      <c r="K507" t="s">
        <v>398</v>
      </c>
      <c r="L507">
        <v>0</v>
      </c>
      <c r="N507" t="s">
        <v>399</v>
      </c>
      <c r="O507" t="s">
        <v>400</v>
      </c>
      <c r="P507" t="s">
        <v>16</v>
      </c>
      <c r="Q507">
        <f t="shared" si="21"/>
        <v>0.33177684934873436</v>
      </c>
      <c r="R507">
        <f t="shared" si="22"/>
        <v>0.11059228311624478</v>
      </c>
      <c r="S507">
        <f t="shared" si="23"/>
        <v>0.66909462849239909</v>
      </c>
    </row>
    <row r="508" spans="1:19" x14ac:dyDescent="0.2">
      <c r="A508">
        <v>81</v>
      </c>
      <c r="B508" t="s">
        <v>25</v>
      </c>
      <c r="C508">
        <v>2</v>
      </c>
      <c r="D508">
        <v>6</v>
      </c>
      <c r="E508">
        <v>1025</v>
      </c>
      <c r="F508" t="b">
        <v>1</v>
      </c>
      <c r="G508">
        <v>66.751999999999995</v>
      </c>
      <c r="H508">
        <v>22</v>
      </c>
      <c r="I508">
        <v>2</v>
      </c>
      <c r="J508">
        <v>0.54</v>
      </c>
      <c r="K508" t="s">
        <v>945</v>
      </c>
      <c r="L508">
        <v>0</v>
      </c>
      <c r="N508" t="s">
        <v>946</v>
      </c>
      <c r="O508" t="s">
        <v>947</v>
      </c>
      <c r="P508" t="s">
        <v>16</v>
      </c>
      <c r="Q508">
        <f t="shared" si="21"/>
        <v>0.32957813998082458</v>
      </c>
      <c r="R508">
        <f t="shared" si="22"/>
        <v>2.9961649089165869E-2</v>
      </c>
      <c r="S508">
        <f t="shared" si="23"/>
        <v>0.25889761429657132</v>
      </c>
    </row>
    <row r="509" spans="1:19" x14ac:dyDescent="0.2">
      <c r="A509">
        <v>27</v>
      </c>
      <c r="B509" t="s">
        <v>33</v>
      </c>
      <c r="C509">
        <v>2</v>
      </c>
      <c r="D509">
        <v>2</v>
      </c>
      <c r="E509">
        <v>1021</v>
      </c>
      <c r="F509" t="b">
        <v>1</v>
      </c>
      <c r="G509">
        <v>73.12</v>
      </c>
      <c r="H509">
        <v>24</v>
      </c>
      <c r="I509">
        <v>1</v>
      </c>
      <c r="J509">
        <v>0.06</v>
      </c>
      <c r="K509" t="s">
        <v>807</v>
      </c>
      <c r="L509">
        <v>0</v>
      </c>
      <c r="N509" t="s">
        <v>808</v>
      </c>
      <c r="O509" t="s">
        <v>809</v>
      </c>
      <c r="P509" t="s">
        <v>16</v>
      </c>
      <c r="Q509">
        <f t="shared" si="21"/>
        <v>0.32822757111597373</v>
      </c>
      <c r="R509">
        <f t="shared" si="22"/>
        <v>1.3676148796498906E-2</v>
      </c>
      <c r="S509">
        <f t="shared" si="23"/>
        <v>0.12782177367049774</v>
      </c>
    </row>
    <row r="510" spans="1:19" x14ac:dyDescent="0.2">
      <c r="A510">
        <v>97</v>
      </c>
      <c r="B510" t="s">
        <v>33</v>
      </c>
      <c r="C510">
        <v>2</v>
      </c>
      <c r="D510">
        <v>7</v>
      </c>
      <c r="E510">
        <v>1036</v>
      </c>
      <c r="F510" t="b">
        <v>1</v>
      </c>
      <c r="G510">
        <v>76.531999999999996</v>
      </c>
      <c r="H510">
        <v>25</v>
      </c>
      <c r="I510">
        <v>2</v>
      </c>
      <c r="J510">
        <v>0.18</v>
      </c>
      <c r="K510" t="s">
        <v>1345</v>
      </c>
      <c r="L510">
        <v>0</v>
      </c>
      <c r="N510" t="s">
        <v>1346</v>
      </c>
      <c r="O510" t="s">
        <v>1347</v>
      </c>
      <c r="P510" t="s">
        <v>16</v>
      </c>
      <c r="Q510">
        <f t="shared" si="21"/>
        <v>0.32666074321852301</v>
      </c>
      <c r="R510">
        <f t="shared" si="22"/>
        <v>2.6132859457481838E-2</v>
      </c>
      <c r="S510">
        <f t="shared" si="23"/>
        <v>0.22997214893543905</v>
      </c>
    </row>
    <row r="511" spans="1:19" hidden="1" x14ac:dyDescent="0.2">
      <c r="A511">
        <v>103</v>
      </c>
      <c r="B511" t="s">
        <v>29</v>
      </c>
      <c r="C511">
        <v>-1</v>
      </c>
      <c r="D511">
        <v>8</v>
      </c>
      <c r="E511">
        <v>1037</v>
      </c>
      <c r="F511" t="b">
        <v>1</v>
      </c>
      <c r="G511">
        <v>73.531999999999996</v>
      </c>
      <c r="H511">
        <v>24</v>
      </c>
      <c r="I511">
        <v>9</v>
      </c>
      <c r="J511">
        <v>11.28</v>
      </c>
      <c r="K511" t="s">
        <v>1360</v>
      </c>
      <c r="L511">
        <v>0</v>
      </c>
      <c r="N511" t="s">
        <v>1361</v>
      </c>
      <c r="O511" t="s">
        <v>1362</v>
      </c>
      <c r="P511" t="s">
        <v>16</v>
      </c>
      <c r="Q511">
        <f t="shared" si="21"/>
        <v>0.32638851112440842</v>
      </c>
      <c r="R511">
        <f t="shared" si="22"/>
        <v>0.12239569167165316</v>
      </c>
      <c r="S511">
        <f t="shared" si="23"/>
        <v>0.70593572606676247</v>
      </c>
    </row>
    <row r="512" spans="1:19" x14ac:dyDescent="0.2">
      <c r="A512">
        <v>56</v>
      </c>
      <c r="B512" t="s">
        <v>37</v>
      </c>
      <c r="C512">
        <v>2</v>
      </c>
      <c r="D512">
        <v>4</v>
      </c>
      <c r="E512">
        <v>1013</v>
      </c>
      <c r="F512" t="b">
        <v>1</v>
      </c>
      <c r="G512">
        <v>74.591999999999999</v>
      </c>
      <c r="H512">
        <v>24</v>
      </c>
      <c r="I512">
        <v>2</v>
      </c>
      <c r="J512">
        <v>0.48</v>
      </c>
      <c r="K512" t="s">
        <v>523</v>
      </c>
      <c r="L512">
        <v>0</v>
      </c>
      <c r="N512" t="s">
        <v>524</v>
      </c>
      <c r="O512" t="s">
        <v>525</v>
      </c>
      <c r="P512" t="s">
        <v>16</v>
      </c>
      <c r="Q512">
        <f t="shared" si="21"/>
        <v>0.32175032175032175</v>
      </c>
      <c r="R512">
        <f t="shared" si="22"/>
        <v>2.6812526812526813E-2</v>
      </c>
      <c r="S512">
        <f t="shared" si="23"/>
        <v>0.23518803145962242</v>
      </c>
    </row>
    <row r="513" spans="1:19" x14ac:dyDescent="0.2">
      <c r="A513">
        <v>40</v>
      </c>
      <c r="B513" t="s">
        <v>29</v>
      </c>
      <c r="C513">
        <v>2</v>
      </c>
      <c r="D513">
        <v>3</v>
      </c>
      <c r="E513">
        <v>1032</v>
      </c>
      <c r="F513" t="b">
        <v>1</v>
      </c>
      <c r="G513">
        <v>99.652000000000001</v>
      </c>
      <c r="H513">
        <v>32</v>
      </c>
      <c r="I513">
        <v>2</v>
      </c>
      <c r="J513">
        <v>0.24</v>
      </c>
      <c r="K513" t="s">
        <v>1198</v>
      </c>
      <c r="L513">
        <v>0</v>
      </c>
      <c r="N513" t="s">
        <v>1199</v>
      </c>
      <c r="O513" t="s">
        <v>1200</v>
      </c>
      <c r="P513" t="s">
        <v>16</v>
      </c>
      <c r="Q513">
        <f t="shared" si="21"/>
        <v>0.32111748886123709</v>
      </c>
      <c r="R513">
        <f t="shared" si="22"/>
        <v>2.0069843053827318E-2</v>
      </c>
      <c r="S513">
        <f t="shared" si="23"/>
        <v>0.18184087383850689</v>
      </c>
    </row>
    <row r="514" spans="1:19" x14ac:dyDescent="0.2">
      <c r="A514">
        <v>13</v>
      </c>
      <c r="B514" t="s">
        <v>33</v>
      </c>
      <c r="C514">
        <v>2</v>
      </c>
      <c r="D514">
        <v>1</v>
      </c>
      <c r="E514">
        <v>1030</v>
      </c>
      <c r="F514" t="b">
        <v>1</v>
      </c>
      <c r="G514">
        <v>84.12</v>
      </c>
      <c r="H514">
        <v>27</v>
      </c>
      <c r="I514">
        <v>4</v>
      </c>
      <c r="J514">
        <v>1.86</v>
      </c>
      <c r="K514" t="s">
        <v>1129</v>
      </c>
      <c r="L514">
        <v>0</v>
      </c>
      <c r="N514" t="s">
        <v>1130</v>
      </c>
      <c r="O514" t="s">
        <v>1131</v>
      </c>
      <c r="P514" t="s">
        <v>16</v>
      </c>
      <c r="Q514">
        <f t="shared" ref="Q514:Q561" si="24">H514/G514</f>
        <v>0.32097004279600566</v>
      </c>
      <c r="R514">
        <f t="shared" ref="R514:R561" si="25">I514/G514</f>
        <v>4.7551117451260103E-2</v>
      </c>
      <c r="S514">
        <f t="shared" ref="S514:S577" si="26">1-EXP((-10*R514))</f>
        <v>0.37843275409036414</v>
      </c>
    </row>
    <row r="515" spans="1:19" x14ac:dyDescent="0.2">
      <c r="A515">
        <v>95</v>
      </c>
      <c r="B515" t="s">
        <v>25</v>
      </c>
      <c r="C515">
        <v>2</v>
      </c>
      <c r="D515">
        <v>7</v>
      </c>
      <c r="E515">
        <v>1016</v>
      </c>
      <c r="F515" t="b">
        <v>1</v>
      </c>
      <c r="G515">
        <v>68.616</v>
      </c>
      <c r="H515">
        <v>22</v>
      </c>
      <c r="I515">
        <v>4</v>
      </c>
      <c r="J515">
        <v>1.02</v>
      </c>
      <c r="K515" t="s">
        <v>622</v>
      </c>
      <c r="L515">
        <v>0</v>
      </c>
      <c r="N515" t="s">
        <v>623</v>
      </c>
      <c r="O515" t="s">
        <v>624</v>
      </c>
      <c r="P515" t="s">
        <v>16</v>
      </c>
      <c r="Q515">
        <f t="shared" si="24"/>
        <v>0.3206249271306984</v>
      </c>
      <c r="R515">
        <f t="shared" si="25"/>
        <v>5.8295441296490613E-2</v>
      </c>
      <c r="S515">
        <f t="shared" si="26"/>
        <v>0.44175336328033865</v>
      </c>
    </row>
    <row r="516" spans="1:19" x14ac:dyDescent="0.2">
      <c r="A516">
        <v>27</v>
      </c>
      <c r="B516" t="s">
        <v>33</v>
      </c>
      <c r="C516">
        <v>2</v>
      </c>
      <c r="D516">
        <v>2</v>
      </c>
      <c r="E516">
        <v>1001</v>
      </c>
      <c r="F516" t="b">
        <v>1</v>
      </c>
      <c r="G516">
        <v>87.391999999999996</v>
      </c>
      <c r="H516">
        <v>28</v>
      </c>
      <c r="I516">
        <v>3</v>
      </c>
      <c r="J516">
        <v>0.24</v>
      </c>
      <c r="K516" t="s">
        <v>89</v>
      </c>
      <c r="L516">
        <v>0</v>
      </c>
      <c r="N516" t="s">
        <v>90</v>
      </c>
      <c r="O516" t="s">
        <v>91</v>
      </c>
      <c r="P516" t="s">
        <v>16</v>
      </c>
      <c r="Q516">
        <f t="shared" si="24"/>
        <v>0.32039545953863058</v>
      </c>
      <c r="R516">
        <f t="shared" si="25"/>
        <v>3.4328084950567557E-2</v>
      </c>
      <c r="S516">
        <f t="shared" si="26"/>
        <v>0.2905610619964667</v>
      </c>
    </row>
    <row r="517" spans="1:19" x14ac:dyDescent="0.2">
      <c r="A517">
        <v>42</v>
      </c>
      <c r="B517" t="s">
        <v>37</v>
      </c>
      <c r="C517">
        <v>2</v>
      </c>
      <c r="D517">
        <v>3</v>
      </c>
      <c r="E517">
        <v>1002</v>
      </c>
      <c r="F517" t="b">
        <v>1</v>
      </c>
      <c r="G517">
        <v>78.400000000000006</v>
      </c>
      <c r="H517">
        <v>25</v>
      </c>
      <c r="I517">
        <v>0</v>
      </c>
      <c r="J517">
        <v>0</v>
      </c>
      <c r="K517" t="s">
        <v>128</v>
      </c>
      <c r="L517">
        <v>0</v>
      </c>
      <c r="N517" t="s">
        <v>129</v>
      </c>
      <c r="O517" t="s">
        <v>130</v>
      </c>
      <c r="P517" t="s">
        <v>16</v>
      </c>
      <c r="Q517">
        <f t="shared" si="24"/>
        <v>0.31887755102040816</v>
      </c>
      <c r="R517">
        <f t="shared" si="25"/>
        <v>0</v>
      </c>
      <c r="S517">
        <f t="shared" si="26"/>
        <v>0</v>
      </c>
    </row>
    <row r="518" spans="1:19" x14ac:dyDescent="0.2">
      <c r="A518">
        <v>140</v>
      </c>
      <c r="B518" t="s">
        <v>37</v>
      </c>
      <c r="C518">
        <v>2</v>
      </c>
      <c r="D518">
        <v>10</v>
      </c>
      <c r="E518">
        <v>1009</v>
      </c>
      <c r="F518" t="b">
        <v>1</v>
      </c>
      <c r="G518">
        <v>85.936000000000007</v>
      </c>
      <c r="H518">
        <v>27</v>
      </c>
      <c r="I518">
        <v>2</v>
      </c>
      <c r="J518">
        <v>0.54</v>
      </c>
      <c r="K518" t="s">
        <v>380</v>
      </c>
      <c r="L518">
        <v>0</v>
      </c>
      <c r="N518" t="s">
        <v>381</v>
      </c>
      <c r="O518" t="s">
        <v>382</v>
      </c>
      <c r="P518" t="s">
        <v>16</v>
      </c>
      <c r="Q518">
        <f t="shared" si="24"/>
        <v>0.31418730217836527</v>
      </c>
      <c r="R518">
        <f t="shared" si="25"/>
        <v>2.3273133494693725E-2</v>
      </c>
      <c r="S518">
        <f t="shared" si="26"/>
        <v>0.2076335739020776</v>
      </c>
    </row>
    <row r="519" spans="1:19" x14ac:dyDescent="0.2">
      <c r="A519">
        <v>52</v>
      </c>
      <c r="B519" t="s">
        <v>21</v>
      </c>
      <c r="C519">
        <v>2</v>
      </c>
      <c r="D519">
        <v>4</v>
      </c>
      <c r="E519">
        <v>1033</v>
      </c>
      <c r="F519" t="b">
        <v>1</v>
      </c>
      <c r="G519">
        <v>66.988</v>
      </c>
      <c r="H519">
        <v>21</v>
      </c>
      <c r="I519">
        <v>1</v>
      </c>
      <c r="J519">
        <v>0.3</v>
      </c>
      <c r="K519" t="s">
        <v>1228</v>
      </c>
      <c r="L519">
        <v>0</v>
      </c>
      <c r="N519" t="s">
        <v>1229</v>
      </c>
      <c r="O519" t="s">
        <v>1230</v>
      </c>
      <c r="P519" t="s">
        <v>16</v>
      </c>
      <c r="Q519">
        <f t="shared" si="24"/>
        <v>0.31348898310145101</v>
      </c>
      <c r="R519">
        <f t="shared" si="25"/>
        <v>1.492804681435481E-2</v>
      </c>
      <c r="S519">
        <f t="shared" si="26"/>
        <v>0.13867249390786529</v>
      </c>
    </row>
    <row r="520" spans="1:19" x14ac:dyDescent="0.2">
      <c r="A520">
        <v>109</v>
      </c>
      <c r="B520" t="s">
        <v>25</v>
      </c>
      <c r="C520">
        <v>2</v>
      </c>
      <c r="D520">
        <v>8</v>
      </c>
      <c r="E520">
        <v>1027</v>
      </c>
      <c r="F520" t="b">
        <v>1</v>
      </c>
      <c r="G520">
        <v>76.775999999999996</v>
      </c>
      <c r="H520">
        <v>24</v>
      </c>
      <c r="I520">
        <v>1</v>
      </c>
      <c r="J520">
        <v>1.02</v>
      </c>
      <c r="K520" t="s">
        <v>1015</v>
      </c>
      <c r="L520">
        <v>0</v>
      </c>
      <c r="N520" t="s">
        <v>1016</v>
      </c>
      <c r="O520" t="s">
        <v>1017</v>
      </c>
      <c r="P520" t="s">
        <v>16</v>
      </c>
      <c r="Q520">
        <f t="shared" si="24"/>
        <v>0.31259768677711786</v>
      </c>
      <c r="R520">
        <f t="shared" si="25"/>
        <v>1.3024903615713245E-2</v>
      </c>
      <c r="S520">
        <f t="shared" si="26"/>
        <v>0.1221232193641073</v>
      </c>
    </row>
    <row r="521" spans="1:19" hidden="1" x14ac:dyDescent="0.2">
      <c r="A521">
        <v>74</v>
      </c>
      <c r="B521" t="s">
        <v>25</v>
      </c>
      <c r="C521">
        <v>-1</v>
      </c>
      <c r="D521">
        <v>6</v>
      </c>
      <c r="E521">
        <v>1005</v>
      </c>
      <c r="F521" t="b">
        <v>1</v>
      </c>
      <c r="G521">
        <v>89.9</v>
      </c>
      <c r="H521">
        <v>28</v>
      </c>
      <c r="I521">
        <v>10</v>
      </c>
      <c r="J521">
        <v>8.64</v>
      </c>
      <c r="K521" t="s">
        <v>209</v>
      </c>
      <c r="L521">
        <v>0</v>
      </c>
      <c r="N521" t="s">
        <v>210</v>
      </c>
      <c r="O521" t="s">
        <v>211</v>
      </c>
      <c r="P521" t="s">
        <v>16</v>
      </c>
      <c r="Q521">
        <f t="shared" si="24"/>
        <v>0.31145717463848721</v>
      </c>
      <c r="R521">
        <f t="shared" si="25"/>
        <v>0.11123470522803114</v>
      </c>
      <c r="S521">
        <f t="shared" si="26"/>
        <v>0.67121362403242157</v>
      </c>
    </row>
    <row r="522" spans="1:19" x14ac:dyDescent="0.2">
      <c r="A522">
        <v>41</v>
      </c>
      <c r="B522" t="s">
        <v>33</v>
      </c>
      <c r="C522">
        <v>2</v>
      </c>
      <c r="D522">
        <v>3</v>
      </c>
      <c r="E522">
        <v>1032</v>
      </c>
      <c r="F522" t="b">
        <v>1</v>
      </c>
      <c r="G522">
        <v>104.80800000000001</v>
      </c>
      <c r="H522">
        <v>32</v>
      </c>
      <c r="I522">
        <v>1</v>
      </c>
      <c r="J522">
        <v>0.06</v>
      </c>
      <c r="K522" t="s">
        <v>1201</v>
      </c>
      <c r="L522">
        <v>0</v>
      </c>
      <c r="N522" t="s">
        <v>1202</v>
      </c>
      <c r="O522" t="s">
        <v>1203</v>
      </c>
      <c r="P522" t="s">
        <v>16</v>
      </c>
      <c r="Q522">
        <f t="shared" si="24"/>
        <v>0.30532020456453701</v>
      </c>
      <c r="R522">
        <f t="shared" si="25"/>
        <v>9.5412563926417816E-3</v>
      </c>
      <c r="S522">
        <f t="shared" si="26"/>
        <v>9.1002162619106874E-2</v>
      </c>
    </row>
    <row r="523" spans="1:19" x14ac:dyDescent="0.2">
      <c r="A523">
        <v>112</v>
      </c>
      <c r="B523" t="s">
        <v>37</v>
      </c>
      <c r="C523">
        <v>2</v>
      </c>
      <c r="D523">
        <v>8</v>
      </c>
      <c r="E523">
        <v>1027</v>
      </c>
      <c r="F523" t="b">
        <v>1</v>
      </c>
      <c r="G523">
        <v>85.632000000000005</v>
      </c>
      <c r="H523">
        <v>26</v>
      </c>
      <c r="I523">
        <v>1</v>
      </c>
      <c r="J523">
        <v>0.06</v>
      </c>
      <c r="K523" t="s">
        <v>1024</v>
      </c>
      <c r="L523">
        <v>0</v>
      </c>
      <c r="N523" t="s">
        <v>1025</v>
      </c>
      <c r="O523" t="s">
        <v>1026</v>
      </c>
      <c r="P523" t="s">
        <v>16</v>
      </c>
      <c r="Q523">
        <f t="shared" si="24"/>
        <v>0.30362481315396112</v>
      </c>
      <c r="R523">
        <f t="shared" si="25"/>
        <v>1.1677877428998505E-2</v>
      </c>
      <c r="S523">
        <f t="shared" si="26"/>
        <v>0.11021798595049492</v>
      </c>
    </row>
    <row r="524" spans="1:19" x14ac:dyDescent="0.2">
      <c r="A524">
        <v>69</v>
      </c>
      <c r="B524" t="s">
        <v>33</v>
      </c>
      <c r="C524">
        <v>2</v>
      </c>
      <c r="D524">
        <v>5</v>
      </c>
      <c r="E524">
        <v>1004</v>
      </c>
      <c r="F524" t="b">
        <v>1</v>
      </c>
      <c r="G524">
        <v>89.323999999999998</v>
      </c>
      <c r="H524">
        <v>27</v>
      </c>
      <c r="I524">
        <v>5</v>
      </c>
      <c r="J524">
        <v>1.2</v>
      </c>
      <c r="K524" t="s">
        <v>197</v>
      </c>
      <c r="L524">
        <v>0</v>
      </c>
      <c r="N524" t="s">
        <v>198</v>
      </c>
      <c r="O524" t="s">
        <v>199</v>
      </c>
      <c r="P524" t="s">
        <v>16</v>
      </c>
      <c r="Q524">
        <f t="shared" si="24"/>
        <v>0.30227038645828669</v>
      </c>
      <c r="R524">
        <f t="shared" si="25"/>
        <v>5.597599749227531E-2</v>
      </c>
      <c r="S524">
        <f t="shared" si="26"/>
        <v>0.42865381519593504</v>
      </c>
    </row>
    <row r="525" spans="1:19" x14ac:dyDescent="0.2">
      <c r="A525">
        <v>82</v>
      </c>
      <c r="B525" t="s">
        <v>29</v>
      </c>
      <c r="C525">
        <v>2</v>
      </c>
      <c r="D525">
        <v>6</v>
      </c>
      <c r="E525">
        <v>1005</v>
      </c>
      <c r="F525" t="b">
        <v>1</v>
      </c>
      <c r="G525">
        <v>76.319999999999993</v>
      </c>
      <c r="H525">
        <v>23</v>
      </c>
      <c r="I525">
        <v>3</v>
      </c>
      <c r="J525">
        <v>0.54</v>
      </c>
      <c r="K525" t="s">
        <v>230</v>
      </c>
      <c r="L525">
        <v>0</v>
      </c>
      <c r="N525" t="s">
        <v>231</v>
      </c>
      <c r="O525" t="s">
        <v>232</v>
      </c>
      <c r="P525" t="s">
        <v>16</v>
      </c>
      <c r="Q525">
        <f t="shared" si="24"/>
        <v>0.30136268343815514</v>
      </c>
      <c r="R525">
        <f t="shared" si="25"/>
        <v>3.9308176100628936E-2</v>
      </c>
      <c r="S525">
        <f t="shared" si="26"/>
        <v>0.32502644118736812</v>
      </c>
    </row>
    <row r="526" spans="1:19" x14ac:dyDescent="0.2">
      <c r="A526">
        <v>38</v>
      </c>
      <c r="B526" t="s">
        <v>21</v>
      </c>
      <c r="C526">
        <v>2</v>
      </c>
      <c r="D526">
        <v>3</v>
      </c>
      <c r="E526">
        <v>1022</v>
      </c>
      <c r="F526" t="b">
        <v>1</v>
      </c>
      <c r="G526">
        <v>56.448</v>
      </c>
      <c r="H526">
        <v>17</v>
      </c>
      <c r="I526">
        <v>1</v>
      </c>
      <c r="J526">
        <v>2.52</v>
      </c>
      <c r="K526" t="s">
        <v>834</v>
      </c>
      <c r="L526">
        <v>0</v>
      </c>
      <c r="N526" t="s">
        <v>835</v>
      </c>
      <c r="O526" t="s">
        <v>836</v>
      </c>
      <c r="P526" t="s">
        <v>16</v>
      </c>
      <c r="Q526">
        <f t="shared" si="24"/>
        <v>0.3011621315192744</v>
      </c>
      <c r="R526">
        <f t="shared" si="25"/>
        <v>1.7715419501133787E-2</v>
      </c>
      <c r="S526">
        <f t="shared" si="26"/>
        <v>0.16234938698132262</v>
      </c>
    </row>
    <row r="527" spans="1:19" x14ac:dyDescent="0.2">
      <c r="A527">
        <v>81</v>
      </c>
      <c r="B527" t="s">
        <v>25</v>
      </c>
      <c r="C527">
        <v>2</v>
      </c>
      <c r="D527">
        <v>6</v>
      </c>
      <c r="E527">
        <v>1005</v>
      </c>
      <c r="F527" t="b">
        <v>1</v>
      </c>
      <c r="G527">
        <v>83.248000000000005</v>
      </c>
      <c r="H527">
        <v>25</v>
      </c>
      <c r="I527">
        <v>1</v>
      </c>
      <c r="J527">
        <v>0.18</v>
      </c>
      <c r="K527" t="s">
        <v>227</v>
      </c>
      <c r="L527">
        <v>0</v>
      </c>
      <c r="N527" t="s">
        <v>228</v>
      </c>
      <c r="O527" t="s">
        <v>229</v>
      </c>
      <c r="P527" t="s">
        <v>16</v>
      </c>
      <c r="Q527">
        <f t="shared" si="24"/>
        <v>0.3003075148952527</v>
      </c>
      <c r="R527">
        <f t="shared" si="25"/>
        <v>1.201230059581011E-2</v>
      </c>
      <c r="S527">
        <f t="shared" si="26"/>
        <v>0.11318865307143577</v>
      </c>
    </row>
    <row r="528" spans="1:19" x14ac:dyDescent="0.2">
      <c r="A528">
        <v>83</v>
      </c>
      <c r="B528" t="s">
        <v>33</v>
      </c>
      <c r="C528">
        <v>2</v>
      </c>
      <c r="D528">
        <v>6</v>
      </c>
      <c r="E528">
        <v>1035</v>
      </c>
      <c r="F528" t="b">
        <v>1</v>
      </c>
      <c r="G528">
        <v>86.843999999999994</v>
      </c>
      <c r="H528">
        <v>26</v>
      </c>
      <c r="I528">
        <v>2</v>
      </c>
      <c r="J528">
        <v>0.3</v>
      </c>
      <c r="K528" t="s">
        <v>1309</v>
      </c>
      <c r="L528">
        <v>0</v>
      </c>
      <c r="N528" t="s">
        <v>1310</v>
      </c>
      <c r="O528" t="s">
        <v>1311</v>
      </c>
      <c r="P528" t="s">
        <v>16</v>
      </c>
      <c r="Q528">
        <f t="shared" si="24"/>
        <v>0.29938740730505276</v>
      </c>
      <c r="R528">
        <f t="shared" si="25"/>
        <v>2.3029800561927136E-2</v>
      </c>
      <c r="S528">
        <f t="shared" si="26"/>
        <v>0.2057031376982047</v>
      </c>
    </row>
    <row r="529" spans="1:19" x14ac:dyDescent="0.2">
      <c r="A529">
        <v>28</v>
      </c>
      <c r="B529" t="s">
        <v>37</v>
      </c>
      <c r="C529">
        <v>2</v>
      </c>
      <c r="D529">
        <v>2</v>
      </c>
      <c r="E529">
        <v>1021</v>
      </c>
      <c r="F529" t="b">
        <v>1</v>
      </c>
      <c r="G529">
        <v>93.632000000000005</v>
      </c>
      <c r="H529">
        <v>28</v>
      </c>
      <c r="I529">
        <v>4</v>
      </c>
      <c r="J529">
        <v>1.86</v>
      </c>
      <c r="K529" t="s">
        <v>810</v>
      </c>
      <c r="L529">
        <v>0</v>
      </c>
      <c r="N529" t="s">
        <v>811</v>
      </c>
      <c r="O529" t="s">
        <v>812</v>
      </c>
      <c r="P529" t="s">
        <v>16</v>
      </c>
      <c r="Q529">
        <f t="shared" si="24"/>
        <v>0.29904306220095694</v>
      </c>
      <c r="R529">
        <f t="shared" si="25"/>
        <v>4.2720437457279561E-2</v>
      </c>
      <c r="S529">
        <f t="shared" si="26"/>
        <v>0.34766978110641511</v>
      </c>
    </row>
    <row r="530" spans="1:19" x14ac:dyDescent="0.2">
      <c r="A530">
        <v>14</v>
      </c>
      <c r="B530" t="s">
        <v>37</v>
      </c>
      <c r="C530">
        <v>2</v>
      </c>
      <c r="D530">
        <v>1</v>
      </c>
      <c r="E530">
        <v>1020</v>
      </c>
      <c r="F530" t="b">
        <v>1</v>
      </c>
      <c r="G530">
        <v>103.8</v>
      </c>
      <c r="H530">
        <v>31</v>
      </c>
      <c r="I530">
        <v>2</v>
      </c>
      <c r="J530">
        <v>0.72</v>
      </c>
      <c r="K530" t="s">
        <v>774</v>
      </c>
      <c r="L530">
        <v>0</v>
      </c>
      <c r="N530" t="s">
        <v>775</v>
      </c>
      <c r="O530" t="s">
        <v>776</v>
      </c>
      <c r="P530" t="s">
        <v>16</v>
      </c>
      <c r="Q530">
        <f t="shared" si="24"/>
        <v>0.29865125240847784</v>
      </c>
      <c r="R530">
        <f t="shared" si="25"/>
        <v>1.926782273603083E-2</v>
      </c>
      <c r="S530">
        <f t="shared" si="26"/>
        <v>0.17525268743266098</v>
      </c>
    </row>
    <row r="531" spans="1:19" x14ac:dyDescent="0.2">
      <c r="A531">
        <v>54</v>
      </c>
      <c r="B531" t="s">
        <v>29</v>
      </c>
      <c r="C531">
        <v>2</v>
      </c>
      <c r="D531">
        <v>4</v>
      </c>
      <c r="E531">
        <v>1023</v>
      </c>
      <c r="F531" t="b">
        <v>1</v>
      </c>
      <c r="G531">
        <v>84.132000000000005</v>
      </c>
      <c r="H531">
        <v>25</v>
      </c>
      <c r="I531">
        <v>2</v>
      </c>
      <c r="J531">
        <v>0.3</v>
      </c>
      <c r="K531" t="s">
        <v>876</v>
      </c>
      <c r="L531">
        <v>0</v>
      </c>
      <c r="N531" t="s">
        <v>877</v>
      </c>
      <c r="O531" t="s">
        <v>878</v>
      </c>
      <c r="P531" t="s">
        <v>16</v>
      </c>
      <c r="Q531">
        <f t="shared" si="24"/>
        <v>0.2971520943279608</v>
      </c>
      <c r="R531">
        <f t="shared" si="25"/>
        <v>2.3772167546236865E-2</v>
      </c>
      <c r="S531">
        <f t="shared" si="26"/>
        <v>0.21157790222495587</v>
      </c>
    </row>
    <row r="532" spans="1:19" x14ac:dyDescent="0.2">
      <c r="A532">
        <v>24</v>
      </c>
      <c r="B532" t="s">
        <v>21</v>
      </c>
      <c r="C532">
        <v>2</v>
      </c>
      <c r="D532">
        <v>2</v>
      </c>
      <c r="E532">
        <v>1011</v>
      </c>
      <c r="F532" t="b">
        <v>1</v>
      </c>
      <c r="G532">
        <v>94.408000000000001</v>
      </c>
      <c r="H532">
        <v>28</v>
      </c>
      <c r="I532">
        <v>5</v>
      </c>
      <c r="J532">
        <v>1.74</v>
      </c>
      <c r="K532" t="s">
        <v>440</v>
      </c>
      <c r="L532">
        <v>0</v>
      </c>
      <c r="N532" t="s">
        <v>441</v>
      </c>
      <c r="O532" t="s">
        <v>442</v>
      </c>
      <c r="P532" t="s">
        <v>16</v>
      </c>
      <c r="Q532">
        <f t="shared" si="24"/>
        <v>0.2965850351665113</v>
      </c>
      <c r="R532">
        <f t="shared" si="25"/>
        <v>5.2961613422591307E-2</v>
      </c>
      <c r="S532">
        <f t="shared" si="26"/>
        <v>0.41116904164744417</v>
      </c>
    </row>
    <row r="533" spans="1:19" x14ac:dyDescent="0.2">
      <c r="A533">
        <v>83</v>
      </c>
      <c r="B533" t="s">
        <v>33</v>
      </c>
      <c r="C533">
        <v>2</v>
      </c>
      <c r="D533">
        <v>6</v>
      </c>
      <c r="E533">
        <v>1005</v>
      </c>
      <c r="F533" t="b">
        <v>1</v>
      </c>
      <c r="G533">
        <v>78.64</v>
      </c>
      <c r="H533">
        <v>23</v>
      </c>
      <c r="I533">
        <v>1</v>
      </c>
      <c r="J533">
        <v>0.36</v>
      </c>
      <c r="K533" t="s">
        <v>233</v>
      </c>
      <c r="L533">
        <v>0</v>
      </c>
      <c r="N533" t="s">
        <v>234</v>
      </c>
      <c r="O533" t="s">
        <v>235</v>
      </c>
      <c r="P533" t="s">
        <v>16</v>
      </c>
      <c r="Q533">
        <f t="shared" si="24"/>
        <v>0.29247202441505593</v>
      </c>
      <c r="R533">
        <f t="shared" si="25"/>
        <v>1.2716174974567651E-2</v>
      </c>
      <c r="S533">
        <f t="shared" si="26"/>
        <v>0.11940877432970676</v>
      </c>
    </row>
    <row r="534" spans="1:19" x14ac:dyDescent="0.2">
      <c r="A534">
        <v>125</v>
      </c>
      <c r="B534" t="s">
        <v>33</v>
      </c>
      <c r="C534">
        <v>2</v>
      </c>
      <c r="D534">
        <v>9</v>
      </c>
      <c r="E534">
        <v>1008</v>
      </c>
      <c r="F534" t="b">
        <v>1</v>
      </c>
      <c r="G534">
        <v>86.724000000000004</v>
      </c>
      <c r="H534">
        <v>25</v>
      </c>
      <c r="I534">
        <v>8</v>
      </c>
      <c r="J534">
        <v>2.76</v>
      </c>
      <c r="K534" t="s">
        <v>341</v>
      </c>
      <c r="L534">
        <v>0</v>
      </c>
      <c r="N534" t="s">
        <v>342</v>
      </c>
      <c r="O534" t="s">
        <v>343</v>
      </c>
      <c r="P534" t="s">
        <v>16</v>
      </c>
      <c r="Q534">
        <f t="shared" si="24"/>
        <v>0.28827083621604166</v>
      </c>
      <c r="R534">
        <f t="shared" si="25"/>
        <v>9.2246667589133344E-2</v>
      </c>
      <c r="S534">
        <f t="shared" si="26"/>
        <v>0.60246276483006089</v>
      </c>
    </row>
    <row r="535" spans="1:19" x14ac:dyDescent="0.2">
      <c r="A535">
        <v>112</v>
      </c>
      <c r="B535" t="s">
        <v>37</v>
      </c>
      <c r="C535">
        <v>2</v>
      </c>
      <c r="D535">
        <v>8</v>
      </c>
      <c r="E535">
        <v>1017</v>
      </c>
      <c r="F535" t="b">
        <v>1</v>
      </c>
      <c r="G535">
        <v>104.27200000000001</v>
      </c>
      <c r="H535">
        <v>30</v>
      </c>
      <c r="I535">
        <v>1</v>
      </c>
      <c r="J535">
        <v>0.12</v>
      </c>
      <c r="K535" t="s">
        <v>666</v>
      </c>
      <c r="L535">
        <v>0</v>
      </c>
      <c r="N535" t="s">
        <v>667</v>
      </c>
      <c r="O535" t="s">
        <v>668</v>
      </c>
      <c r="P535" t="s">
        <v>16</v>
      </c>
      <c r="Q535">
        <f t="shared" si="24"/>
        <v>0.28770906858984191</v>
      </c>
      <c r="R535">
        <f t="shared" si="25"/>
        <v>9.5903022863280639E-3</v>
      </c>
      <c r="S535">
        <f t="shared" si="26"/>
        <v>9.1447879420210376E-2</v>
      </c>
    </row>
    <row r="536" spans="1:19" x14ac:dyDescent="0.2">
      <c r="A536">
        <v>96</v>
      </c>
      <c r="B536" t="s">
        <v>29</v>
      </c>
      <c r="C536">
        <v>2</v>
      </c>
      <c r="D536">
        <v>7</v>
      </c>
      <c r="E536">
        <v>1036</v>
      </c>
      <c r="F536" t="b">
        <v>1</v>
      </c>
      <c r="G536">
        <v>83.62</v>
      </c>
      <c r="H536">
        <v>24</v>
      </c>
      <c r="I536">
        <v>7</v>
      </c>
      <c r="J536">
        <v>4.1399999999999997</v>
      </c>
      <c r="K536" t="s">
        <v>1342</v>
      </c>
      <c r="L536">
        <v>0</v>
      </c>
      <c r="N536" t="s">
        <v>1343</v>
      </c>
      <c r="O536" t="s">
        <v>1344</v>
      </c>
      <c r="P536" t="s">
        <v>16</v>
      </c>
      <c r="Q536">
        <f t="shared" si="24"/>
        <v>0.28701267639320738</v>
      </c>
      <c r="R536">
        <f t="shared" si="25"/>
        <v>8.3712030614685476E-2</v>
      </c>
      <c r="S536">
        <f t="shared" si="26"/>
        <v>0.56704449070153695</v>
      </c>
    </row>
    <row r="537" spans="1:19" x14ac:dyDescent="0.2">
      <c r="A537">
        <v>94</v>
      </c>
      <c r="B537" t="s">
        <v>21</v>
      </c>
      <c r="C537">
        <v>2</v>
      </c>
      <c r="D537">
        <v>7</v>
      </c>
      <c r="E537">
        <v>1026</v>
      </c>
      <c r="F537" t="b">
        <v>1</v>
      </c>
      <c r="G537">
        <v>83.78</v>
      </c>
      <c r="H537">
        <v>24</v>
      </c>
      <c r="I537">
        <v>7</v>
      </c>
      <c r="J537">
        <v>2.82</v>
      </c>
      <c r="K537" t="s">
        <v>977</v>
      </c>
      <c r="L537">
        <v>0</v>
      </c>
      <c r="N537" t="s">
        <v>978</v>
      </c>
      <c r="O537" t="s">
        <v>979</v>
      </c>
      <c r="P537" t="s">
        <v>16</v>
      </c>
      <c r="Q537">
        <f t="shared" si="24"/>
        <v>0.28646455001193599</v>
      </c>
      <c r="R537">
        <f t="shared" si="25"/>
        <v>8.3552160420148E-2</v>
      </c>
      <c r="S537">
        <f t="shared" si="26"/>
        <v>0.5663517703073806</v>
      </c>
    </row>
    <row r="538" spans="1:19" x14ac:dyDescent="0.2">
      <c r="A538">
        <v>124</v>
      </c>
      <c r="B538" t="s">
        <v>29</v>
      </c>
      <c r="C538">
        <v>2</v>
      </c>
      <c r="D538">
        <v>9</v>
      </c>
      <c r="E538">
        <v>1008</v>
      </c>
      <c r="F538" t="b">
        <v>1</v>
      </c>
      <c r="G538">
        <v>87.316000000000003</v>
      </c>
      <c r="H538">
        <v>25</v>
      </c>
      <c r="I538">
        <v>4</v>
      </c>
      <c r="J538">
        <v>2.04</v>
      </c>
      <c r="K538" t="s">
        <v>338</v>
      </c>
      <c r="L538">
        <v>0</v>
      </c>
      <c r="N538" t="s">
        <v>339</v>
      </c>
      <c r="O538" t="s">
        <v>340</v>
      </c>
      <c r="P538" t="s">
        <v>16</v>
      </c>
      <c r="Q538">
        <f t="shared" si="24"/>
        <v>0.28631636813413347</v>
      </c>
      <c r="R538">
        <f t="shared" si="25"/>
        <v>4.5810618901461354E-2</v>
      </c>
      <c r="S538">
        <f t="shared" si="26"/>
        <v>0.36751968981962113</v>
      </c>
    </row>
    <row r="539" spans="1:19" x14ac:dyDescent="0.2">
      <c r="A539">
        <v>54</v>
      </c>
      <c r="B539" t="s">
        <v>29</v>
      </c>
      <c r="C539">
        <v>2</v>
      </c>
      <c r="D539">
        <v>4</v>
      </c>
      <c r="E539">
        <v>1013</v>
      </c>
      <c r="F539" t="b">
        <v>1</v>
      </c>
      <c r="G539">
        <v>87.915999999999997</v>
      </c>
      <c r="H539">
        <v>25</v>
      </c>
      <c r="I539">
        <v>2</v>
      </c>
      <c r="J539">
        <v>0.3</v>
      </c>
      <c r="K539" t="s">
        <v>517</v>
      </c>
      <c r="L539">
        <v>0</v>
      </c>
      <c r="N539" t="s">
        <v>518</v>
      </c>
      <c r="O539" t="s">
        <v>519</v>
      </c>
      <c r="P539" t="s">
        <v>16</v>
      </c>
      <c r="Q539">
        <f t="shared" si="24"/>
        <v>0.28436234587560855</v>
      </c>
      <c r="R539">
        <f t="shared" si="25"/>
        <v>2.2748987670048685E-2</v>
      </c>
      <c r="S539">
        <f t="shared" si="26"/>
        <v>0.20346951502665189</v>
      </c>
    </row>
    <row r="540" spans="1:19" x14ac:dyDescent="0.2">
      <c r="A540">
        <v>53</v>
      </c>
      <c r="B540" t="s">
        <v>25</v>
      </c>
      <c r="C540">
        <v>2</v>
      </c>
      <c r="D540">
        <v>4</v>
      </c>
      <c r="E540">
        <v>1033</v>
      </c>
      <c r="F540" t="b">
        <v>1</v>
      </c>
      <c r="G540">
        <v>63.472000000000001</v>
      </c>
      <c r="H540">
        <v>18</v>
      </c>
      <c r="I540">
        <v>3</v>
      </c>
      <c r="J540">
        <v>0.66</v>
      </c>
      <c r="K540" t="s">
        <v>1231</v>
      </c>
      <c r="L540">
        <v>0</v>
      </c>
      <c r="N540" t="s">
        <v>1232</v>
      </c>
      <c r="O540" t="s">
        <v>1233</v>
      </c>
      <c r="P540" t="s">
        <v>16</v>
      </c>
      <c r="Q540">
        <f t="shared" si="24"/>
        <v>0.28358961431812452</v>
      </c>
      <c r="R540">
        <f t="shared" si="25"/>
        <v>4.7264935719687422E-2</v>
      </c>
      <c r="S540">
        <f t="shared" si="26"/>
        <v>0.37665139443595663</v>
      </c>
    </row>
    <row r="541" spans="1:19" hidden="1" x14ac:dyDescent="0.2">
      <c r="A541">
        <v>104</v>
      </c>
      <c r="B541" t="s">
        <v>33</v>
      </c>
      <c r="C541">
        <v>-1</v>
      </c>
      <c r="D541">
        <v>8</v>
      </c>
      <c r="E541">
        <v>1037</v>
      </c>
      <c r="F541" t="b">
        <v>1</v>
      </c>
      <c r="G541">
        <v>77.671999999999997</v>
      </c>
      <c r="H541">
        <v>22</v>
      </c>
      <c r="I541">
        <v>16</v>
      </c>
      <c r="J541">
        <v>19.739999999999998</v>
      </c>
      <c r="K541" t="s">
        <v>1363</v>
      </c>
      <c r="L541">
        <v>0</v>
      </c>
      <c r="N541" t="s">
        <v>1364</v>
      </c>
      <c r="O541" t="s">
        <v>1365</v>
      </c>
      <c r="P541" t="s">
        <v>16</v>
      </c>
      <c r="Q541">
        <f t="shared" si="24"/>
        <v>0.28324235245648366</v>
      </c>
      <c r="R541">
        <f t="shared" si="25"/>
        <v>0.20599443815016996</v>
      </c>
      <c r="S541">
        <f t="shared" si="26"/>
        <v>0.87253894110963348</v>
      </c>
    </row>
    <row r="542" spans="1:19" x14ac:dyDescent="0.2">
      <c r="A542">
        <v>52</v>
      </c>
      <c r="B542" t="s">
        <v>21</v>
      </c>
      <c r="C542">
        <v>2</v>
      </c>
      <c r="D542">
        <v>4</v>
      </c>
      <c r="E542">
        <v>1013</v>
      </c>
      <c r="F542" t="b">
        <v>1</v>
      </c>
      <c r="G542">
        <v>88.847999999999999</v>
      </c>
      <c r="H542">
        <v>25</v>
      </c>
      <c r="I542">
        <v>0</v>
      </c>
      <c r="J542">
        <v>0</v>
      </c>
      <c r="K542" t="s">
        <v>511</v>
      </c>
      <c r="L542">
        <v>0</v>
      </c>
      <c r="N542" t="s">
        <v>512</v>
      </c>
      <c r="O542" t="s">
        <v>513</v>
      </c>
      <c r="P542" t="s">
        <v>16</v>
      </c>
      <c r="Q542">
        <f t="shared" si="24"/>
        <v>0.28137943453988834</v>
      </c>
      <c r="R542">
        <f t="shared" si="25"/>
        <v>0</v>
      </c>
      <c r="S542">
        <f t="shared" si="26"/>
        <v>0</v>
      </c>
    </row>
    <row r="543" spans="1:19" x14ac:dyDescent="0.2">
      <c r="A543">
        <v>136</v>
      </c>
      <c r="B543" t="s">
        <v>21</v>
      </c>
      <c r="C543">
        <v>2</v>
      </c>
      <c r="D543">
        <v>10</v>
      </c>
      <c r="E543">
        <v>1039</v>
      </c>
      <c r="F543" t="b">
        <v>1</v>
      </c>
      <c r="G543">
        <v>100.02</v>
      </c>
      <c r="H543">
        <v>28</v>
      </c>
      <c r="I543">
        <v>6</v>
      </c>
      <c r="J543">
        <v>0.72</v>
      </c>
      <c r="K543" t="s">
        <v>1444</v>
      </c>
      <c r="L543">
        <v>0</v>
      </c>
      <c r="N543" t="s">
        <v>1445</v>
      </c>
      <c r="O543" t="s">
        <v>1446</v>
      </c>
      <c r="P543" t="s">
        <v>16</v>
      </c>
      <c r="Q543">
        <f t="shared" si="24"/>
        <v>0.27994401119776047</v>
      </c>
      <c r="R543">
        <f t="shared" si="25"/>
        <v>5.9988002399520096E-2</v>
      </c>
      <c r="S543">
        <f t="shared" si="26"/>
        <v>0.45112251572846607</v>
      </c>
    </row>
    <row r="544" spans="1:19" x14ac:dyDescent="0.2">
      <c r="A544">
        <v>84</v>
      </c>
      <c r="B544" t="s">
        <v>37</v>
      </c>
      <c r="C544">
        <v>2</v>
      </c>
      <c r="D544">
        <v>6</v>
      </c>
      <c r="E544">
        <v>1015</v>
      </c>
      <c r="F544" t="b">
        <v>1</v>
      </c>
      <c r="G544">
        <v>93.188000000000002</v>
      </c>
      <c r="H544">
        <v>26</v>
      </c>
      <c r="I544">
        <v>2</v>
      </c>
      <c r="J544">
        <v>1.38</v>
      </c>
      <c r="K544" t="s">
        <v>595</v>
      </c>
      <c r="L544">
        <v>0</v>
      </c>
      <c r="N544" t="s">
        <v>596</v>
      </c>
      <c r="O544" t="s">
        <v>597</v>
      </c>
      <c r="P544" t="s">
        <v>16</v>
      </c>
      <c r="Q544">
        <f t="shared" si="24"/>
        <v>0.27900588058548309</v>
      </c>
      <c r="R544">
        <f t="shared" si="25"/>
        <v>2.1461990814267931E-2</v>
      </c>
      <c r="S544">
        <f t="shared" si="26"/>
        <v>0.19315194172083949</v>
      </c>
    </row>
    <row r="545" spans="1:19" x14ac:dyDescent="0.2">
      <c r="A545">
        <v>56</v>
      </c>
      <c r="B545" t="s">
        <v>37</v>
      </c>
      <c r="C545">
        <v>2</v>
      </c>
      <c r="D545">
        <v>4</v>
      </c>
      <c r="E545">
        <v>1003</v>
      </c>
      <c r="F545" t="b">
        <v>1</v>
      </c>
      <c r="G545">
        <v>102.428</v>
      </c>
      <c r="H545">
        <v>28</v>
      </c>
      <c r="I545">
        <v>5</v>
      </c>
      <c r="J545">
        <v>1.62</v>
      </c>
      <c r="K545" t="s">
        <v>164</v>
      </c>
      <c r="L545">
        <v>0</v>
      </c>
      <c r="N545" t="s">
        <v>165</v>
      </c>
      <c r="O545" t="s">
        <v>166</v>
      </c>
      <c r="P545" t="s">
        <v>16</v>
      </c>
      <c r="Q545">
        <f t="shared" si="24"/>
        <v>0.27336275237239815</v>
      </c>
      <c r="R545">
        <f t="shared" si="25"/>
        <v>4.881477720935682E-2</v>
      </c>
      <c r="S545">
        <f t="shared" si="26"/>
        <v>0.38623783057947825</v>
      </c>
    </row>
    <row r="546" spans="1:19" x14ac:dyDescent="0.2">
      <c r="A546">
        <v>110</v>
      </c>
      <c r="B546" t="s">
        <v>29</v>
      </c>
      <c r="C546">
        <v>2</v>
      </c>
      <c r="D546">
        <v>8</v>
      </c>
      <c r="E546">
        <v>1037</v>
      </c>
      <c r="F546" t="b">
        <v>1</v>
      </c>
      <c r="G546">
        <v>82.688000000000002</v>
      </c>
      <c r="H546">
        <v>22</v>
      </c>
      <c r="I546">
        <v>0</v>
      </c>
      <c r="J546">
        <v>0</v>
      </c>
      <c r="K546" t="s">
        <v>1378</v>
      </c>
      <c r="L546">
        <v>0</v>
      </c>
      <c r="N546" t="s">
        <v>1379</v>
      </c>
      <c r="O546" t="s">
        <v>1380</v>
      </c>
      <c r="P546" t="s">
        <v>16</v>
      </c>
      <c r="Q546">
        <f t="shared" si="24"/>
        <v>0.26606037151702788</v>
      </c>
      <c r="R546">
        <f t="shared" si="25"/>
        <v>0</v>
      </c>
      <c r="S546">
        <f t="shared" si="26"/>
        <v>0</v>
      </c>
    </row>
    <row r="547" spans="1:19" x14ac:dyDescent="0.2">
      <c r="A547">
        <v>67</v>
      </c>
      <c r="B547" t="s">
        <v>25</v>
      </c>
      <c r="C547">
        <v>2</v>
      </c>
      <c r="D547">
        <v>5</v>
      </c>
      <c r="E547">
        <v>1034</v>
      </c>
      <c r="F547" t="b">
        <v>1</v>
      </c>
      <c r="G547">
        <v>102.376</v>
      </c>
      <c r="H547">
        <v>27</v>
      </c>
      <c r="I547">
        <v>1</v>
      </c>
      <c r="J547">
        <v>0.12</v>
      </c>
      <c r="K547" t="s">
        <v>1267</v>
      </c>
      <c r="L547">
        <v>0</v>
      </c>
      <c r="N547" t="s">
        <v>1268</v>
      </c>
      <c r="O547" t="s">
        <v>1269</v>
      </c>
      <c r="P547" t="s">
        <v>16</v>
      </c>
      <c r="Q547">
        <f t="shared" si="24"/>
        <v>0.26373368758302723</v>
      </c>
      <c r="R547">
        <f t="shared" si="25"/>
        <v>9.7679143549269359E-3</v>
      </c>
      <c r="S547">
        <f t="shared" si="26"/>
        <v>9.3060145422533602E-2</v>
      </c>
    </row>
    <row r="548" spans="1:19" x14ac:dyDescent="0.2">
      <c r="A548">
        <v>126</v>
      </c>
      <c r="B548" t="s">
        <v>37</v>
      </c>
      <c r="C548">
        <v>2</v>
      </c>
      <c r="D548">
        <v>9</v>
      </c>
      <c r="E548">
        <v>1038</v>
      </c>
      <c r="F548" t="b">
        <v>1</v>
      </c>
      <c r="G548">
        <v>92.231999999999999</v>
      </c>
      <c r="H548">
        <v>24</v>
      </c>
      <c r="I548">
        <v>3</v>
      </c>
      <c r="J548">
        <v>1.56</v>
      </c>
      <c r="K548" t="s">
        <v>1420</v>
      </c>
      <c r="L548">
        <v>0</v>
      </c>
      <c r="N548" t="s">
        <v>1421</v>
      </c>
      <c r="O548" t="s">
        <v>1422</v>
      </c>
      <c r="P548" t="s">
        <v>16</v>
      </c>
      <c r="Q548">
        <f t="shared" si="24"/>
        <v>0.26021337496747332</v>
      </c>
      <c r="R548">
        <f t="shared" si="25"/>
        <v>3.2526671870934165E-2</v>
      </c>
      <c r="S548">
        <f t="shared" si="26"/>
        <v>0.27766533222355028</v>
      </c>
    </row>
    <row r="549" spans="1:19" x14ac:dyDescent="0.2">
      <c r="A549">
        <v>95</v>
      </c>
      <c r="B549" t="s">
        <v>25</v>
      </c>
      <c r="C549">
        <v>2</v>
      </c>
      <c r="D549">
        <v>7</v>
      </c>
      <c r="E549">
        <v>1006</v>
      </c>
      <c r="F549" t="b">
        <v>1</v>
      </c>
      <c r="G549">
        <v>92.975999999999999</v>
      </c>
      <c r="H549">
        <v>24</v>
      </c>
      <c r="I549">
        <v>2</v>
      </c>
      <c r="J549">
        <v>0.24</v>
      </c>
      <c r="K549" t="s">
        <v>263</v>
      </c>
      <c r="L549">
        <v>0</v>
      </c>
      <c r="N549" t="s">
        <v>264</v>
      </c>
      <c r="O549" t="s">
        <v>265</v>
      </c>
      <c r="P549" t="s">
        <v>16</v>
      </c>
      <c r="Q549">
        <f t="shared" si="24"/>
        <v>0.25813113061435211</v>
      </c>
      <c r="R549">
        <f t="shared" si="25"/>
        <v>2.1510927551196008E-2</v>
      </c>
      <c r="S549">
        <f t="shared" si="26"/>
        <v>0.1935466902361298</v>
      </c>
    </row>
    <row r="550" spans="1:19" x14ac:dyDescent="0.2">
      <c r="A550">
        <v>11</v>
      </c>
      <c r="B550" t="s">
        <v>25</v>
      </c>
      <c r="C550">
        <v>2</v>
      </c>
      <c r="D550">
        <v>1</v>
      </c>
      <c r="E550">
        <v>1000</v>
      </c>
      <c r="F550" t="b">
        <v>1</v>
      </c>
      <c r="G550">
        <v>109.83199999999999</v>
      </c>
      <c r="H550">
        <v>28</v>
      </c>
      <c r="I550">
        <v>7</v>
      </c>
      <c r="J550">
        <v>1.1399999999999999</v>
      </c>
      <c r="K550" t="s">
        <v>47</v>
      </c>
      <c r="L550">
        <v>0</v>
      </c>
      <c r="N550" t="s">
        <v>48</v>
      </c>
      <c r="O550" t="s">
        <v>49</v>
      </c>
      <c r="P550" t="s">
        <v>16</v>
      </c>
      <c r="Q550">
        <f t="shared" si="24"/>
        <v>0.25493480952727804</v>
      </c>
      <c r="R550">
        <f t="shared" si="25"/>
        <v>6.373370238181951E-2</v>
      </c>
      <c r="S550">
        <f t="shared" si="26"/>
        <v>0.47130153749831893</v>
      </c>
    </row>
    <row r="551" spans="1:19" x14ac:dyDescent="0.2">
      <c r="A551">
        <v>138</v>
      </c>
      <c r="B551" t="s">
        <v>29</v>
      </c>
      <c r="C551">
        <v>2</v>
      </c>
      <c r="D551">
        <v>10</v>
      </c>
      <c r="E551">
        <v>1009</v>
      </c>
      <c r="F551" t="b">
        <v>1</v>
      </c>
      <c r="G551">
        <v>116.684</v>
      </c>
      <c r="H551">
        <v>29</v>
      </c>
      <c r="I551">
        <v>7</v>
      </c>
      <c r="J551">
        <v>2.2200000000000002</v>
      </c>
      <c r="K551" t="s">
        <v>374</v>
      </c>
      <c r="L551">
        <v>0</v>
      </c>
      <c r="N551" t="s">
        <v>375</v>
      </c>
      <c r="O551" t="s">
        <v>376</v>
      </c>
      <c r="P551" t="s">
        <v>16</v>
      </c>
      <c r="Q551">
        <f t="shared" si="24"/>
        <v>0.24853450344520242</v>
      </c>
      <c r="R551">
        <f t="shared" si="25"/>
        <v>5.9991087038497141E-2</v>
      </c>
      <c r="S551">
        <f t="shared" si="26"/>
        <v>0.45113944635615644</v>
      </c>
    </row>
    <row r="552" spans="1:19" x14ac:dyDescent="0.2">
      <c r="A552">
        <v>122</v>
      </c>
      <c r="B552" t="s">
        <v>21</v>
      </c>
      <c r="C552">
        <v>2</v>
      </c>
      <c r="D552">
        <v>9</v>
      </c>
      <c r="E552">
        <v>1038</v>
      </c>
      <c r="F552" t="b">
        <v>1</v>
      </c>
      <c r="G552">
        <v>76.58</v>
      </c>
      <c r="H552">
        <v>19</v>
      </c>
      <c r="I552">
        <v>0</v>
      </c>
      <c r="J552">
        <v>0</v>
      </c>
      <c r="K552" t="s">
        <v>1408</v>
      </c>
      <c r="L552">
        <v>0</v>
      </c>
      <c r="N552" t="s">
        <v>1409</v>
      </c>
      <c r="O552" t="s">
        <v>1410</v>
      </c>
      <c r="P552" t="s">
        <v>16</v>
      </c>
      <c r="Q552">
        <f t="shared" si="24"/>
        <v>0.24810655523635414</v>
      </c>
      <c r="R552">
        <f t="shared" si="25"/>
        <v>0</v>
      </c>
      <c r="S552">
        <f t="shared" si="26"/>
        <v>0</v>
      </c>
    </row>
    <row r="553" spans="1:19" x14ac:dyDescent="0.2">
      <c r="A553">
        <v>81</v>
      </c>
      <c r="B553" t="s">
        <v>25</v>
      </c>
      <c r="C553">
        <v>2</v>
      </c>
      <c r="D553">
        <v>6</v>
      </c>
      <c r="E553">
        <v>1035</v>
      </c>
      <c r="F553" t="b">
        <v>1</v>
      </c>
      <c r="G553">
        <v>85.796000000000006</v>
      </c>
      <c r="H553">
        <v>21</v>
      </c>
      <c r="I553">
        <v>2</v>
      </c>
      <c r="J553">
        <v>1.08</v>
      </c>
      <c r="K553" t="s">
        <v>1303</v>
      </c>
      <c r="L553">
        <v>0</v>
      </c>
      <c r="N553" t="s">
        <v>1304</v>
      </c>
      <c r="O553" t="s">
        <v>1305</v>
      </c>
      <c r="P553" t="s">
        <v>16</v>
      </c>
      <c r="Q553">
        <f t="shared" si="24"/>
        <v>0.2447666557881486</v>
      </c>
      <c r="R553">
        <f t="shared" si="25"/>
        <v>2.3311110075061772E-2</v>
      </c>
      <c r="S553">
        <f t="shared" si="26"/>
        <v>0.20793443044356508</v>
      </c>
    </row>
    <row r="554" spans="1:19" x14ac:dyDescent="0.2">
      <c r="A554">
        <v>53</v>
      </c>
      <c r="B554" t="s">
        <v>25</v>
      </c>
      <c r="C554">
        <v>2</v>
      </c>
      <c r="D554">
        <v>4</v>
      </c>
      <c r="E554">
        <v>1023</v>
      </c>
      <c r="F554" t="b">
        <v>1</v>
      </c>
      <c r="G554">
        <v>107.032</v>
      </c>
      <c r="H554">
        <v>25</v>
      </c>
      <c r="I554">
        <v>1</v>
      </c>
      <c r="J554">
        <v>0.12</v>
      </c>
      <c r="K554" t="s">
        <v>873</v>
      </c>
      <c r="L554">
        <v>0</v>
      </c>
      <c r="N554" t="s">
        <v>874</v>
      </c>
      <c r="O554" t="s">
        <v>875</v>
      </c>
      <c r="P554" t="s">
        <v>16</v>
      </c>
      <c r="Q554">
        <f t="shared" si="24"/>
        <v>0.23357500560580013</v>
      </c>
      <c r="R554">
        <f t="shared" si="25"/>
        <v>9.3430002242320051E-3</v>
      </c>
      <c r="S554">
        <f t="shared" si="26"/>
        <v>8.9198230723529837E-2</v>
      </c>
    </row>
    <row r="555" spans="1:19" x14ac:dyDescent="0.2">
      <c r="A555">
        <v>11</v>
      </c>
      <c r="B555" t="s">
        <v>25</v>
      </c>
      <c r="C555">
        <v>2</v>
      </c>
      <c r="D555">
        <v>1</v>
      </c>
      <c r="E555">
        <v>1010</v>
      </c>
      <c r="F555" t="b">
        <v>1</v>
      </c>
      <c r="G555">
        <v>113.396</v>
      </c>
      <c r="H555">
        <v>26</v>
      </c>
      <c r="I555">
        <v>1</v>
      </c>
      <c r="J555">
        <v>0.06</v>
      </c>
      <c r="K555" t="s">
        <v>407</v>
      </c>
      <c r="L555">
        <v>0</v>
      </c>
      <c r="N555" t="s">
        <v>408</v>
      </c>
      <c r="O555" t="s">
        <v>409</v>
      </c>
      <c r="P555" t="s">
        <v>16</v>
      </c>
      <c r="Q555">
        <f t="shared" si="24"/>
        <v>0.22928498359730501</v>
      </c>
      <c r="R555">
        <f t="shared" si="25"/>
        <v>8.8186532152809624E-3</v>
      </c>
      <c r="S555">
        <f t="shared" si="26"/>
        <v>8.4409926193855234E-2</v>
      </c>
    </row>
    <row r="556" spans="1:19" x14ac:dyDescent="0.2">
      <c r="A556">
        <v>81</v>
      </c>
      <c r="B556" t="s">
        <v>25</v>
      </c>
      <c r="C556">
        <v>2</v>
      </c>
      <c r="D556">
        <v>6</v>
      </c>
      <c r="E556">
        <v>1015</v>
      </c>
      <c r="F556" t="b">
        <v>1</v>
      </c>
      <c r="G556">
        <v>89.004000000000005</v>
      </c>
      <c r="H556">
        <v>20</v>
      </c>
      <c r="I556">
        <v>3</v>
      </c>
      <c r="J556">
        <v>1.98</v>
      </c>
      <c r="K556" t="s">
        <v>586</v>
      </c>
      <c r="L556">
        <v>0</v>
      </c>
      <c r="N556" t="s">
        <v>587</v>
      </c>
      <c r="O556" t="s">
        <v>588</v>
      </c>
      <c r="P556" t="s">
        <v>16</v>
      </c>
      <c r="Q556">
        <f t="shared" si="24"/>
        <v>0.2247090018426138</v>
      </c>
      <c r="R556">
        <f t="shared" si="25"/>
        <v>3.3706350276392072E-2</v>
      </c>
      <c r="S556">
        <f t="shared" si="26"/>
        <v>0.28613649384237683</v>
      </c>
    </row>
    <row r="557" spans="1:19" x14ac:dyDescent="0.2">
      <c r="A557">
        <v>11</v>
      </c>
      <c r="B557" t="s">
        <v>25</v>
      </c>
      <c r="C557">
        <v>2</v>
      </c>
      <c r="D557">
        <v>1</v>
      </c>
      <c r="E557">
        <v>1030</v>
      </c>
      <c r="F557" t="b">
        <v>1</v>
      </c>
      <c r="G557">
        <v>124.636</v>
      </c>
      <c r="H557">
        <v>28</v>
      </c>
      <c r="I557">
        <v>6</v>
      </c>
      <c r="J557">
        <v>2.34</v>
      </c>
      <c r="K557" t="s">
        <v>1123</v>
      </c>
      <c r="L557">
        <v>0</v>
      </c>
      <c r="N557" t="s">
        <v>1124</v>
      </c>
      <c r="O557" t="s">
        <v>1125</v>
      </c>
      <c r="P557" t="s">
        <v>16</v>
      </c>
      <c r="Q557">
        <f t="shared" si="24"/>
        <v>0.22465419301004527</v>
      </c>
      <c r="R557">
        <f t="shared" si="25"/>
        <v>4.8140184216438273E-2</v>
      </c>
      <c r="S557">
        <f t="shared" si="26"/>
        <v>0.38208343712248716</v>
      </c>
    </row>
    <row r="558" spans="1:19" x14ac:dyDescent="0.2">
      <c r="A558">
        <v>108</v>
      </c>
      <c r="B558" t="s">
        <v>21</v>
      </c>
      <c r="C558">
        <v>2</v>
      </c>
      <c r="D558">
        <v>8</v>
      </c>
      <c r="E558">
        <v>1037</v>
      </c>
      <c r="F558" t="b">
        <v>1</v>
      </c>
      <c r="G558">
        <v>116.496</v>
      </c>
      <c r="H558">
        <v>26</v>
      </c>
      <c r="I558">
        <v>5</v>
      </c>
      <c r="J558">
        <v>2.94</v>
      </c>
      <c r="K558" t="s">
        <v>1372</v>
      </c>
      <c r="L558">
        <v>0</v>
      </c>
      <c r="N558" t="s">
        <v>1373</v>
      </c>
      <c r="O558" t="s">
        <v>1374</v>
      </c>
      <c r="P558" t="s">
        <v>16</v>
      </c>
      <c r="Q558">
        <f t="shared" si="24"/>
        <v>0.22318362862244198</v>
      </c>
      <c r="R558">
        <f t="shared" si="25"/>
        <v>4.2919928581238845E-2</v>
      </c>
      <c r="S558">
        <f t="shared" si="26"/>
        <v>0.34896982482495342</v>
      </c>
    </row>
    <row r="559" spans="1:19" x14ac:dyDescent="0.2">
      <c r="A559">
        <v>97</v>
      </c>
      <c r="B559" t="s">
        <v>33</v>
      </c>
      <c r="C559">
        <v>2</v>
      </c>
      <c r="D559">
        <v>7</v>
      </c>
      <c r="E559">
        <v>1006</v>
      </c>
      <c r="F559" t="b">
        <v>1</v>
      </c>
      <c r="G559">
        <v>124.35599999999999</v>
      </c>
      <c r="H559">
        <v>25</v>
      </c>
      <c r="I559">
        <v>6</v>
      </c>
      <c r="J559">
        <v>1.5</v>
      </c>
      <c r="K559" t="s">
        <v>269</v>
      </c>
      <c r="L559">
        <v>0</v>
      </c>
      <c r="N559" t="s">
        <v>270</v>
      </c>
      <c r="O559" t="s">
        <v>271</v>
      </c>
      <c r="P559" t="s">
        <v>16</v>
      </c>
      <c r="Q559">
        <f t="shared" si="24"/>
        <v>0.20103573611245135</v>
      </c>
      <c r="R559">
        <f t="shared" si="25"/>
        <v>4.8248576666988327E-2</v>
      </c>
      <c r="S559">
        <f t="shared" si="26"/>
        <v>0.38275284916574515</v>
      </c>
    </row>
    <row r="560" spans="1:19" x14ac:dyDescent="0.2">
      <c r="A560">
        <v>137</v>
      </c>
      <c r="B560" t="s">
        <v>25</v>
      </c>
      <c r="C560">
        <v>2</v>
      </c>
      <c r="D560">
        <v>10</v>
      </c>
      <c r="E560">
        <v>1029</v>
      </c>
      <c r="F560" t="b">
        <v>1</v>
      </c>
      <c r="G560">
        <v>105.416</v>
      </c>
      <c r="H560">
        <v>21</v>
      </c>
      <c r="I560">
        <v>4</v>
      </c>
      <c r="J560">
        <v>2.34</v>
      </c>
      <c r="K560" t="s">
        <v>1087</v>
      </c>
      <c r="L560">
        <v>0</v>
      </c>
      <c r="N560" t="s">
        <v>1088</v>
      </c>
      <c r="O560" t="s">
        <v>1089</v>
      </c>
      <c r="P560" t="s">
        <v>16</v>
      </c>
      <c r="Q560">
        <f t="shared" si="24"/>
        <v>0.19921074599681263</v>
      </c>
      <c r="R560">
        <f t="shared" si="25"/>
        <v>3.7944903999392883E-2</v>
      </c>
      <c r="S560">
        <f t="shared" si="26"/>
        <v>0.31576170668697323</v>
      </c>
    </row>
    <row r="561" spans="1:19" x14ac:dyDescent="0.2">
      <c r="A561">
        <v>80</v>
      </c>
      <c r="B561" t="s">
        <v>21</v>
      </c>
      <c r="C561">
        <v>2</v>
      </c>
      <c r="D561">
        <v>6</v>
      </c>
      <c r="E561">
        <v>1035</v>
      </c>
      <c r="F561" t="b">
        <v>1</v>
      </c>
      <c r="G561">
        <v>180</v>
      </c>
      <c r="H561">
        <v>24</v>
      </c>
      <c r="I561">
        <v>2</v>
      </c>
      <c r="J561">
        <v>0.24</v>
      </c>
      <c r="K561" t="s">
        <v>1300</v>
      </c>
      <c r="L561">
        <v>0</v>
      </c>
      <c r="N561" t="s">
        <v>1301</v>
      </c>
      <c r="O561" t="s">
        <v>1302</v>
      </c>
      <c r="P561" t="s">
        <v>16</v>
      </c>
      <c r="Q561">
        <f t="shared" si="24"/>
        <v>0.13333333333333333</v>
      </c>
      <c r="R561">
        <f t="shared" si="25"/>
        <v>1.1111111111111112E-2</v>
      </c>
      <c r="S561">
        <f t="shared" si="26"/>
        <v>0.10516068318563021</v>
      </c>
    </row>
  </sheetData>
  <autoFilter ref="B1:E561" xr:uid="{E2EBA2AE-1630-1C44-9E2A-892A100B0E70}">
    <filterColumn colId="1">
      <filters>
        <filter val="2"/>
      </filters>
    </filterColumn>
  </autoFilter>
  <sortState xmlns:xlrd2="http://schemas.microsoft.com/office/spreadsheetml/2017/richdata2" ref="A2:S250">
    <sortCondition ref="E1:E561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benchmark_merged_all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Yucong Cao</cp:lastModifiedBy>
  <dcterms:created xsi:type="dcterms:W3CDTF">2026-02-21T11:25:28Z</dcterms:created>
  <dcterms:modified xsi:type="dcterms:W3CDTF">2026-02-23T20:04:38Z</dcterms:modified>
</cp:coreProperties>
</file>